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mssclgis10.ams.gmams.cl\CL_MLP_PAO\"/>
    </mc:Choice>
  </mc:AlternateContent>
  <bookViews>
    <workbookView xWindow="0" yWindow="0" windowWidth="16380" windowHeight="8190" tabRatio="500"/>
  </bookViews>
  <sheets>
    <sheet name="URL_ALL" sheetId="1" r:id="rId1"/>
    <sheet name="Hoja1" sheetId="2" r:id="rId2"/>
    <sheet name="Orden de Imagen" sheetId="3" r:id="rId3"/>
    <sheet name="URL PARA REFERIDO" sheetId="4" state="hidden" r:id="rId4"/>
  </sheets>
  <definedNames>
    <definedName name="_xlnm._FilterDatabase" localSheetId="1" hidden="1">Hoja1!$A$1:$A$36</definedName>
    <definedName name="_xlnm._FilterDatabase" localSheetId="2" hidden="1">'Orden de Imagen'!$A$1:$C$1</definedName>
    <definedName name="_xlnm._FilterDatabase" localSheetId="0" hidden="1">URL_ALL!$A$1:$Z$488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490" i="1" l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D537" i="1" s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C553" i="1" s="1"/>
  <c r="K553" i="1" s="1"/>
  <c r="R554" i="1"/>
  <c r="R555" i="1"/>
  <c r="R556" i="1"/>
  <c r="R557" i="1"/>
  <c r="R558" i="1"/>
  <c r="D558" i="1" s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D578" i="1" s="1"/>
  <c r="R579" i="1"/>
  <c r="R580" i="1"/>
  <c r="R581" i="1"/>
  <c r="R582" i="1"/>
  <c r="D582" i="1" s="1"/>
  <c r="R583" i="1"/>
  <c r="R584" i="1"/>
  <c r="R585" i="1"/>
  <c r="C585" i="1" s="1"/>
  <c r="K585" i="1" s="1"/>
  <c r="R586" i="1"/>
  <c r="R587" i="1"/>
  <c r="R588" i="1"/>
  <c r="R589" i="1"/>
  <c r="R590" i="1"/>
  <c r="R591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D573" i="1" s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D589" i="1" s="1"/>
  <c r="Q590" i="1"/>
  <c r="Q591" i="1"/>
  <c r="P490" i="1"/>
  <c r="P491" i="1"/>
  <c r="D491" i="1" s="1"/>
  <c r="P492" i="1"/>
  <c r="P493" i="1"/>
  <c r="C493" i="1" s="1"/>
  <c r="K493" i="1" s="1"/>
  <c r="P494" i="1"/>
  <c r="P495" i="1"/>
  <c r="P496" i="1"/>
  <c r="C496" i="1" s="1"/>
  <c r="K496" i="1" s="1"/>
  <c r="P497" i="1"/>
  <c r="P498" i="1"/>
  <c r="P499" i="1"/>
  <c r="D499" i="1" s="1"/>
  <c r="P500" i="1"/>
  <c r="P501" i="1"/>
  <c r="C501" i="1" s="1"/>
  <c r="K501" i="1" s="1"/>
  <c r="P502" i="1"/>
  <c r="P503" i="1"/>
  <c r="P504" i="1"/>
  <c r="C504" i="1" s="1"/>
  <c r="K504" i="1" s="1"/>
  <c r="P505" i="1"/>
  <c r="P506" i="1"/>
  <c r="P507" i="1"/>
  <c r="D507" i="1" s="1"/>
  <c r="P508" i="1"/>
  <c r="P509" i="1"/>
  <c r="C509" i="1" s="1"/>
  <c r="K509" i="1" s="1"/>
  <c r="P510" i="1"/>
  <c r="P511" i="1"/>
  <c r="P512" i="1"/>
  <c r="C512" i="1" s="1"/>
  <c r="K512" i="1" s="1"/>
  <c r="P513" i="1"/>
  <c r="P514" i="1"/>
  <c r="P515" i="1"/>
  <c r="D515" i="1" s="1"/>
  <c r="P516" i="1"/>
  <c r="P517" i="1"/>
  <c r="C517" i="1" s="1"/>
  <c r="K517" i="1" s="1"/>
  <c r="P518" i="1"/>
  <c r="P519" i="1"/>
  <c r="P520" i="1"/>
  <c r="C520" i="1" s="1"/>
  <c r="K520" i="1" s="1"/>
  <c r="P521" i="1"/>
  <c r="P522" i="1"/>
  <c r="P523" i="1"/>
  <c r="D523" i="1" s="1"/>
  <c r="P524" i="1"/>
  <c r="P525" i="1"/>
  <c r="C525" i="1" s="1"/>
  <c r="K525" i="1" s="1"/>
  <c r="P526" i="1"/>
  <c r="P527" i="1"/>
  <c r="P528" i="1"/>
  <c r="C528" i="1" s="1"/>
  <c r="K528" i="1" s="1"/>
  <c r="P529" i="1"/>
  <c r="P530" i="1"/>
  <c r="P531" i="1"/>
  <c r="D531" i="1" s="1"/>
  <c r="P532" i="1"/>
  <c r="P533" i="1"/>
  <c r="C533" i="1" s="1"/>
  <c r="K533" i="1" s="1"/>
  <c r="P534" i="1"/>
  <c r="P535" i="1"/>
  <c r="P536" i="1"/>
  <c r="C536" i="1" s="1"/>
  <c r="K536" i="1" s="1"/>
  <c r="P537" i="1"/>
  <c r="P538" i="1"/>
  <c r="P539" i="1"/>
  <c r="D539" i="1" s="1"/>
  <c r="P540" i="1"/>
  <c r="P541" i="1"/>
  <c r="C541" i="1" s="1"/>
  <c r="K541" i="1" s="1"/>
  <c r="P542" i="1"/>
  <c r="P543" i="1"/>
  <c r="C543" i="1" s="1"/>
  <c r="K543" i="1" s="1"/>
  <c r="P544" i="1"/>
  <c r="C544" i="1" s="1"/>
  <c r="K544" i="1" s="1"/>
  <c r="P545" i="1"/>
  <c r="P546" i="1"/>
  <c r="P547" i="1"/>
  <c r="D547" i="1" s="1"/>
  <c r="P548" i="1"/>
  <c r="P549" i="1"/>
  <c r="C549" i="1" s="1"/>
  <c r="K549" i="1" s="1"/>
  <c r="P550" i="1"/>
  <c r="P551" i="1"/>
  <c r="D551" i="1" s="1"/>
  <c r="P552" i="1"/>
  <c r="C552" i="1" s="1"/>
  <c r="K552" i="1" s="1"/>
  <c r="P553" i="1"/>
  <c r="P554" i="1"/>
  <c r="P555" i="1"/>
  <c r="D555" i="1" s="1"/>
  <c r="P556" i="1"/>
  <c r="P557" i="1"/>
  <c r="C557" i="1" s="1"/>
  <c r="K557" i="1" s="1"/>
  <c r="P558" i="1"/>
  <c r="P559" i="1"/>
  <c r="D559" i="1" s="1"/>
  <c r="P560" i="1"/>
  <c r="C560" i="1" s="1"/>
  <c r="K560" i="1" s="1"/>
  <c r="P561" i="1"/>
  <c r="P562" i="1"/>
  <c r="P563" i="1"/>
  <c r="D563" i="1" s="1"/>
  <c r="P564" i="1"/>
  <c r="P565" i="1"/>
  <c r="C565" i="1" s="1"/>
  <c r="K565" i="1" s="1"/>
  <c r="P566" i="1"/>
  <c r="P567" i="1"/>
  <c r="P568" i="1"/>
  <c r="C568" i="1" s="1"/>
  <c r="K568" i="1" s="1"/>
  <c r="P569" i="1"/>
  <c r="P570" i="1"/>
  <c r="P571" i="1"/>
  <c r="D571" i="1" s="1"/>
  <c r="P572" i="1"/>
  <c r="P573" i="1"/>
  <c r="C573" i="1" s="1"/>
  <c r="K573" i="1" s="1"/>
  <c r="P574" i="1"/>
  <c r="P575" i="1"/>
  <c r="P576" i="1"/>
  <c r="C576" i="1" s="1"/>
  <c r="K576" i="1" s="1"/>
  <c r="P577" i="1"/>
  <c r="P578" i="1"/>
  <c r="P579" i="1"/>
  <c r="D579" i="1" s="1"/>
  <c r="P580" i="1"/>
  <c r="P581" i="1"/>
  <c r="C581" i="1" s="1"/>
  <c r="K581" i="1" s="1"/>
  <c r="P582" i="1"/>
  <c r="P583" i="1"/>
  <c r="P584" i="1"/>
  <c r="C584" i="1" s="1"/>
  <c r="K584" i="1" s="1"/>
  <c r="P585" i="1"/>
  <c r="P586" i="1"/>
  <c r="P587" i="1"/>
  <c r="D587" i="1" s="1"/>
  <c r="P588" i="1"/>
  <c r="P589" i="1"/>
  <c r="C589" i="1" s="1"/>
  <c r="K589" i="1" s="1"/>
  <c r="P590" i="1"/>
  <c r="P591" i="1"/>
  <c r="D490" i="1"/>
  <c r="D492" i="1"/>
  <c r="D493" i="1"/>
  <c r="D494" i="1"/>
  <c r="D495" i="1"/>
  <c r="D497" i="1"/>
  <c r="D498" i="1"/>
  <c r="D500" i="1"/>
  <c r="D501" i="1"/>
  <c r="D502" i="1"/>
  <c r="D503" i="1"/>
  <c r="D505" i="1"/>
  <c r="D506" i="1"/>
  <c r="D508" i="1"/>
  <c r="D509" i="1"/>
  <c r="D510" i="1"/>
  <c r="D511" i="1"/>
  <c r="D514" i="1"/>
  <c r="D516" i="1"/>
  <c r="D517" i="1"/>
  <c r="D518" i="1"/>
  <c r="D519" i="1"/>
  <c r="D522" i="1"/>
  <c r="D524" i="1"/>
  <c r="D525" i="1"/>
  <c r="D526" i="1"/>
  <c r="D527" i="1"/>
  <c r="D530" i="1"/>
  <c r="D532" i="1"/>
  <c r="D533" i="1"/>
  <c r="D534" i="1"/>
  <c r="D535" i="1"/>
  <c r="D538" i="1"/>
  <c r="D540" i="1"/>
  <c r="D541" i="1"/>
  <c r="D542" i="1"/>
  <c r="D546" i="1"/>
  <c r="D548" i="1"/>
  <c r="D549" i="1"/>
  <c r="D550" i="1"/>
  <c r="D554" i="1"/>
  <c r="D556" i="1"/>
  <c r="D557" i="1"/>
  <c r="D562" i="1"/>
  <c r="D564" i="1"/>
  <c r="D565" i="1"/>
  <c r="D566" i="1"/>
  <c r="D570" i="1"/>
  <c r="D572" i="1"/>
  <c r="D574" i="1"/>
  <c r="D580" i="1"/>
  <c r="D581" i="1"/>
  <c r="D586" i="1"/>
  <c r="D588" i="1"/>
  <c r="D590" i="1"/>
  <c r="C490" i="1"/>
  <c r="K490" i="1" s="1"/>
  <c r="C492" i="1"/>
  <c r="K492" i="1" s="1"/>
  <c r="C494" i="1"/>
  <c r="K494" i="1" s="1"/>
  <c r="C495" i="1"/>
  <c r="K495" i="1" s="1"/>
  <c r="C498" i="1"/>
  <c r="K498" i="1" s="1"/>
  <c r="C499" i="1"/>
  <c r="K499" i="1" s="1"/>
  <c r="C500" i="1"/>
  <c r="K500" i="1" s="1"/>
  <c r="C502" i="1"/>
  <c r="K502" i="1" s="1"/>
  <c r="C503" i="1"/>
  <c r="K503" i="1" s="1"/>
  <c r="C506" i="1"/>
  <c r="K506" i="1" s="1"/>
  <c r="C507" i="1"/>
  <c r="K507" i="1" s="1"/>
  <c r="C508" i="1"/>
  <c r="K508" i="1" s="1"/>
  <c r="C510" i="1"/>
  <c r="K510" i="1" s="1"/>
  <c r="C511" i="1"/>
  <c r="K511" i="1" s="1"/>
  <c r="C514" i="1"/>
  <c r="K514" i="1" s="1"/>
  <c r="C515" i="1"/>
  <c r="K515" i="1" s="1"/>
  <c r="C516" i="1"/>
  <c r="K516" i="1" s="1"/>
  <c r="C518" i="1"/>
  <c r="K518" i="1" s="1"/>
  <c r="C519" i="1"/>
  <c r="K519" i="1" s="1"/>
  <c r="C522" i="1"/>
  <c r="K522" i="1" s="1"/>
  <c r="C523" i="1"/>
  <c r="K523" i="1" s="1"/>
  <c r="C524" i="1"/>
  <c r="K524" i="1" s="1"/>
  <c r="C526" i="1"/>
  <c r="K526" i="1" s="1"/>
  <c r="C527" i="1"/>
  <c r="K527" i="1" s="1"/>
  <c r="C530" i="1"/>
  <c r="K530" i="1" s="1"/>
  <c r="C531" i="1"/>
  <c r="K531" i="1" s="1"/>
  <c r="C532" i="1"/>
  <c r="K532" i="1" s="1"/>
  <c r="C534" i="1"/>
  <c r="K534" i="1" s="1"/>
  <c r="C535" i="1"/>
  <c r="K535" i="1" s="1"/>
  <c r="C538" i="1"/>
  <c r="K538" i="1" s="1"/>
  <c r="C539" i="1"/>
  <c r="K539" i="1" s="1"/>
  <c r="C540" i="1"/>
  <c r="K540" i="1" s="1"/>
  <c r="C542" i="1"/>
  <c r="K542" i="1" s="1"/>
  <c r="C546" i="1"/>
  <c r="K546" i="1" s="1"/>
  <c r="C547" i="1"/>
  <c r="K547" i="1" s="1"/>
  <c r="C548" i="1"/>
  <c r="K548" i="1" s="1"/>
  <c r="C550" i="1"/>
  <c r="K550" i="1" s="1"/>
  <c r="C551" i="1"/>
  <c r="K551" i="1" s="1"/>
  <c r="C554" i="1"/>
  <c r="K554" i="1" s="1"/>
  <c r="C555" i="1"/>
  <c r="K555" i="1" s="1"/>
  <c r="C556" i="1"/>
  <c r="K556" i="1" s="1"/>
  <c r="C558" i="1"/>
  <c r="K558" i="1" s="1"/>
  <c r="C559" i="1"/>
  <c r="K559" i="1" s="1"/>
  <c r="C562" i="1"/>
  <c r="K562" i="1" s="1"/>
  <c r="C563" i="1"/>
  <c r="K563" i="1" s="1"/>
  <c r="C564" i="1"/>
  <c r="K564" i="1" s="1"/>
  <c r="C566" i="1"/>
  <c r="K566" i="1" s="1"/>
  <c r="C567" i="1"/>
  <c r="K567" i="1" s="1"/>
  <c r="C570" i="1"/>
  <c r="K570" i="1" s="1"/>
  <c r="C571" i="1"/>
  <c r="K571" i="1" s="1"/>
  <c r="C572" i="1"/>
  <c r="K572" i="1" s="1"/>
  <c r="C574" i="1"/>
  <c r="K574" i="1" s="1"/>
  <c r="C575" i="1"/>
  <c r="K575" i="1" s="1"/>
  <c r="C578" i="1"/>
  <c r="K578" i="1" s="1"/>
  <c r="C579" i="1"/>
  <c r="K579" i="1" s="1"/>
  <c r="C580" i="1"/>
  <c r="K580" i="1" s="1"/>
  <c r="C582" i="1"/>
  <c r="K582" i="1" s="1"/>
  <c r="C583" i="1"/>
  <c r="K583" i="1" s="1"/>
  <c r="C586" i="1"/>
  <c r="K586" i="1" s="1"/>
  <c r="C587" i="1"/>
  <c r="K587" i="1" s="1"/>
  <c r="C588" i="1"/>
  <c r="K588" i="1" s="1"/>
  <c r="C590" i="1"/>
  <c r="K590" i="1" s="1"/>
  <c r="C591" i="1"/>
  <c r="K591" i="1" s="1"/>
  <c r="D585" i="1" l="1"/>
  <c r="D577" i="1"/>
  <c r="D569" i="1"/>
  <c r="C561" i="1"/>
  <c r="K561" i="1" s="1"/>
  <c r="D553" i="1"/>
  <c r="C545" i="1"/>
  <c r="K545" i="1" s="1"/>
  <c r="C537" i="1"/>
  <c r="K537" i="1" s="1"/>
  <c r="D529" i="1"/>
  <c r="C521" i="1"/>
  <c r="K521" i="1" s="1"/>
  <c r="C513" i="1"/>
  <c r="K513" i="1" s="1"/>
  <c r="C505" i="1"/>
  <c r="K505" i="1" s="1"/>
  <c r="C497" i="1"/>
  <c r="K497" i="1" s="1"/>
  <c r="D591" i="1"/>
  <c r="D583" i="1"/>
  <c r="D575" i="1"/>
  <c r="D567" i="1"/>
  <c r="C529" i="1"/>
  <c r="K529" i="1" s="1"/>
  <c r="D561" i="1"/>
  <c r="D513" i="1"/>
  <c r="D545" i="1"/>
  <c r="C569" i="1"/>
  <c r="K569" i="1" s="1"/>
  <c r="D521" i="1"/>
  <c r="C577" i="1"/>
  <c r="K577" i="1" s="1"/>
  <c r="C491" i="1"/>
  <c r="K491" i="1" s="1"/>
  <c r="D584" i="1"/>
  <c r="D576" i="1"/>
  <c r="D568" i="1"/>
  <c r="D560" i="1"/>
  <c r="D552" i="1"/>
  <c r="D544" i="1"/>
  <c r="D536" i="1"/>
  <c r="D528" i="1"/>
  <c r="D520" i="1"/>
  <c r="D512" i="1"/>
  <c r="D504" i="1"/>
  <c r="D496" i="1"/>
  <c r="D543" i="1"/>
  <c r="Y489" i="1"/>
  <c r="C489" i="1"/>
  <c r="K489" i="1" s="1"/>
  <c r="D489" i="1"/>
  <c r="W489" i="1"/>
  <c r="P489" i="1"/>
  <c r="Q489" i="1"/>
  <c r="R489" i="1"/>
  <c r="Y222" i="4"/>
  <c r="Z222" i="4" s="1"/>
  <c r="Z221" i="4"/>
  <c r="Y221" i="4"/>
  <c r="Y220" i="4"/>
  <c r="Z220" i="4" s="1"/>
  <c r="Y219" i="4"/>
  <c r="Z219" i="4" s="1"/>
  <c r="Y218" i="4"/>
  <c r="Z218" i="4" s="1"/>
  <c r="Z217" i="4"/>
  <c r="Y217" i="4"/>
  <c r="Y216" i="4"/>
  <c r="Z216" i="4" s="1"/>
  <c r="Y215" i="4"/>
  <c r="Z215" i="4" s="1"/>
  <c r="Y214" i="4"/>
  <c r="Z214" i="4" s="1"/>
  <c r="Z213" i="4"/>
  <c r="Y213" i="4"/>
  <c r="Y212" i="4"/>
  <c r="Z212" i="4" s="1"/>
  <c r="Y211" i="4"/>
  <c r="Z211" i="4" s="1"/>
  <c r="Y210" i="4"/>
  <c r="Z210" i="4" s="1"/>
  <c r="Z209" i="4"/>
  <c r="Y209" i="4"/>
  <c r="Y208" i="4"/>
  <c r="Z208" i="4" s="1"/>
  <c r="Y207" i="4"/>
  <c r="Z207" i="4" s="1"/>
  <c r="Y206" i="4"/>
  <c r="Z206" i="4" s="1"/>
  <c r="Z205" i="4"/>
  <c r="Y205" i="4"/>
  <c r="Y204" i="4"/>
  <c r="Z204" i="4" s="1"/>
  <c r="Y203" i="4"/>
  <c r="Z203" i="4" s="1"/>
  <c r="Y202" i="4"/>
  <c r="Z202" i="4" s="1"/>
  <c r="Z201" i="4"/>
  <c r="Y201" i="4"/>
  <c r="Y200" i="4"/>
  <c r="Z200" i="4" s="1"/>
  <c r="Y199" i="4"/>
  <c r="Z199" i="4" s="1"/>
  <c r="Y198" i="4"/>
  <c r="Z198" i="4" s="1"/>
  <c r="Z197" i="4"/>
  <c r="Y197" i="4"/>
  <c r="Y196" i="4"/>
  <c r="Z196" i="4" s="1"/>
  <c r="Y195" i="4"/>
  <c r="Z195" i="4" s="1"/>
  <c r="Y194" i="4"/>
  <c r="Z194" i="4" s="1"/>
  <c r="Z193" i="4"/>
  <c r="Y193" i="4"/>
  <c r="Y192" i="4"/>
  <c r="Z192" i="4" s="1"/>
  <c r="Y191" i="4"/>
  <c r="Z191" i="4" s="1"/>
  <c r="Y190" i="4"/>
  <c r="Z190" i="4" s="1"/>
  <c r="Y189" i="4"/>
  <c r="Z189" i="4" s="1"/>
  <c r="Y188" i="4"/>
  <c r="Z188" i="4" s="1"/>
  <c r="Y187" i="4"/>
  <c r="Z187" i="4" s="1"/>
  <c r="Y186" i="4"/>
  <c r="Z186" i="4" s="1"/>
  <c r="Y185" i="4"/>
  <c r="Z185" i="4" s="1"/>
  <c r="Y184" i="4"/>
  <c r="Z184" i="4" s="1"/>
  <c r="Y183" i="4"/>
  <c r="Z183" i="4" s="1"/>
  <c r="Y182" i="4"/>
  <c r="Z182" i="4" s="1"/>
  <c r="Y181" i="4"/>
  <c r="Z181" i="4" s="1"/>
  <c r="Y180" i="4"/>
  <c r="Z180" i="4" s="1"/>
  <c r="Y179" i="4"/>
  <c r="Z179" i="4" s="1"/>
  <c r="Y178" i="4"/>
  <c r="Z178" i="4" s="1"/>
  <c r="Y177" i="4"/>
  <c r="Z177" i="4" s="1"/>
  <c r="Y176" i="4"/>
  <c r="Z176" i="4" s="1"/>
  <c r="Y175" i="4"/>
  <c r="Z175" i="4" s="1"/>
  <c r="Y174" i="4"/>
  <c r="Z174" i="4" s="1"/>
  <c r="Y173" i="4"/>
  <c r="Z173" i="4" s="1"/>
  <c r="Y172" i="4"/>
  <c r="Z172" i="4" s="1"/>
  <c r="Y171" i="4"/>
  <c r="Z171" i="4" s="1"/>
  <c r="Y170" i="4"/>
  <c r="Z170" i="4" s="1"/>
  <c r="Y169" i="4"/>
  <c r="Z169" i="4" s="1"/>
  <c r="Y168" i="4"/>
  <c r="Z168" i="4" s="1"/>
  <c r="Y167" i="4"/>
  <c r="Z167" i="4" s="1"/>
  <c r="Y166" i="4"/>
  <c r="Z166" i="4" s="1"/>
  <c r="Y165" i="4"/>
  <c r="Z165" i="4" s="1"/>
  <c r="Y164" i="4"/>
  <c r="Z164" i="4" s="1"/>
  <c r="Y163" i="4"/>
  <c r="Z163" i="4" s="1"/>
  <c r="Y162" i="4"/>
  <c r="Z162" i="4" s="1"/>
  <c r="Y161" i="4"/>
  <c r="Z161" i="4" s="1"/>
  <c r="Y160" i="4"/>
  <c r="Z160" i="4" s="1"/>
  <c r="Y159" i="4"/>
  <c r="Z159" i="4" s="1"/>
  <c r="Y158" i="4"/>
  <c r="Z158" i="4" s="1"/>
  <c r="Y157" i="4"/>
  <c r="Z157" i="4" s="1"/>
  <c r="Y156" i="4"/>
  <c r="Z156" i="4" s="1"/>
  <c r="Y155" i="4"/>
  <c r="Z155" i="4" s="1"/>
  <c r="Y154" i="4"/>
  <c r="Z154" i="4" s="1"/>
  <c r="Y153" i="4"/>
  <c r="Z153" i="4" s="1"/>
  <c r="Y152" i="4"/>
  <c r="Z152" i="4" s="1"/>
  <c r="Y151" i="4"/>
  <c r="Z151" i="4" s="1"/>
  <c r="Y150" i="4"/>
  <c r="Z150" i="4" s="1"/>
  <c r="Y149" i="4"/>
  <c r="Z149" i="4" s="1"/>
  <c r="Y148" i="4"/>
  <c r="Z148" i="4" s="1"/>
  <c r="Y147" i="4"/>
  <c r="Z147" i="4" s="1"/>
  <c r="Y146" i="4"/>
  <c r="Z146" i="4" s="1"/>
  <c r="Y145" i="4"/>
  <c r="Z145" i="4" s="1"/>
  <c r="Y144" i="4"/>
  <c r="Z144" i="4" s="1"/>
  <c r="Y143" i="4"/>
  <c r="Z143" i="4" s="1"/>
  <c r="Y142" i="4"/>
  <c r="Z142" i="4" s="1"/>
  <c r="Z141" i="4"/>
  <c r="Y141" i="4"/>
  <c r="Y140" i="4"/>
  <c r="Z140" i="4" s="1"/>
  <c r="Y139" i="4"/>
  <c r="Z139" i="4" s="1"/>
  <c r="Y138" i="4"/>
  <c r="Z138" i="4" s="1"/>
  <c r="Z137" i="4"/>
  <c r="Y137" i="4"/>
  <c r="Y136" i="4"/>
  <c r="Z136" i="4" s="1"/>
  <c r="Y135" i="4"/>
  <c r="Z135" i="4" s="1"/>
  <c r="Y134" i="4"/>
  <c r="Z134" i="4" s="1"/>
  <c r="Y133" i="4"/>
  <c r="Z133" i="4" s="1"/>
  <c r="Y132" i="4"/>
  <c r="Z132" i="4" s="1"/>
  <c r="Y131" i="4"/>
  <c r="Z131" i="4" s="1"/>
  <c r="Y130" i="4"/>
  <c r="Z130" i="4" s="1"/>
  <c r="Y129" i="4"/>
  <c r="Z129" i="4" s="1"/>
  <c r="Y128" i="4"/>
  <c r="Z128" i="4" s="1"/>
  <c r="Y127" i="4"/>
  <c r="Z127" i="4" s="1"/>
  <c r="Y126" i="4"/>
  <c r="Z126" i="4" s="1"/>
  <c r="Z125" i="4"/>
  <c r="Y125" i="4"/>
  <c r="Y124" i="4"/>
  <c r="Z124" i="4" s="1"/>
  <c r="Y123" i="4"/>
  <c r="Z123" i="4" s="1"/>
  <c r="Y122" i="4"/>
  <c r="Z122" i="4" s="1"/>
  <c r="Y121" i="4"/>
  <c r="Z121" i="4" s="1"/>
  <c r="Y120" i="4"/>
  <c r="Z120" i="4" s="1"/>
  <c r="Y119" i="4"/>
  <c r="Z119" i="4" s="1"/>
  <c r="Y118" i="4"/>
  <c r="Z118" i="4" s="1"/>
  <c r="Y117" i="4"/>
  <c r="Z117" i="4" s="1"/>
  <c r="Y116" i="4"/>
  <c r="Z116" i="4" s="1"/>
  <c r="Y115" i="4"/>
  <c r="Z115" i="4" s="1"/>
  <c r="Y114" i="4"/>
  <c r="Z114" i="4" s="1"/>
  <c r="Y113" i="4"/>
  <c r="Z113" i="4" s="1"/>
  <c r="Y112" i="4"/>
  <c r="Z112" i="4" s="1"/>
  <c r="Y111" i="4"/>
  <c r="Z111" i="4" s="1"/>
  <c r="Y110" i="4"/>
  <c r="Z110" i="4" s="1"/>
  <c r="Z109" i="4"/>
  <c r="Y109" i="4"/>
  <c r="Y108" i="4"/>
  <c r="Z108" i="4" s="1"/>
  <c r="Y107" i="4"/>
  <c r="Z107" i="4" s="1"/>
  <c r="Y106" i="4"/>
  <c r="Z106" i="4" s="1"/>
  <c r="Z105" i="4"/>
  <c r="Y105" i="4"/>
  <c r="Y104" i="4"/>
  <c r="Z104" i="4" s="1"/>
  <c r="Y103" i="4"/>
  <c r="Z103" i="4" s="1"/>
  <c r="Y102" i="4"/>
  <c r="Z102" i="4" s="1"/>
  <c r="Y101" i="4"/>
  <c r="Z101" i="4" s="1"/>
  <c r="Y100" i="4"/>
  <c r="Z100" i="4" s="1"/>
  <c r="Y99" i="4"/>
  <c r="Z99" i="4" s="1"/>
  <c r="Y98" i="4"/>
  <c r="Z98" i="4" s="1"/>
  <c r="Y97" i="4"/>
  <c r="Z97" i="4" s="1"/>
  <c r="Y96" i="4"/>
  <c r="Z96" i="4" s="1"/>
  <c r="Y95" i="4"/>
  <c r="Z95" i="4" s="1"/>
  <c r="Y94" i="4"/>
  <c r="Z94" i="4" s="1"/>
  <c r="Z93" i="4"/>
  <c r="Y93" i="4"/>
  <c r="Y92" i="4"/>
  <c r="Z92" i="4" s="1"/>
  <c r="Y91" i="4"/>
  <c r="Z91" i="4" s="1"/>
  <c r="Y90" i="4"/>
  <c r="Z90" i="4" s="1"/>
  <c r="Y89" i="4"/>
  <c r="Z89" i="4" s="1"/>
  <c r="Y88" i="4"/>
  <c r="Z88" i="4" s="1"/>
  <c r="Y87" i="4"/>
  <c r="Z87" i="4" s="1"/>
  <c r="Y86" i="4"/>
  <c r="Z86" i="4" s="1"/>
  <c r="Y85" i="4"/>
  <c r="Z85" i="4" s="1"/>
  <c r="Y84" i="4"/>
  <c r="Z84" i="4" s="1"/>
  <c r="Y83" i="4"/>
  <c r="Z83" i="4" s="1"/>
  <c r="Y82" i="4"/>
  <c r="Z82" i="4" s="1"/>
  <c r="Y81" i="4"/>
  <c r="Z81" i="4" s="1"/>
  <c r="Y80" i="4"/>
  <c r="Z80" i="4" s="1"/>
  <c r="Y79" i="4"/>
  <c r="Z79" i="4" s="1"/>
  <c r="Y78" i="4"/>
  <c r="Z78" i="4" s="1"/>
  <c r="Z77" i="4"/>
  <c r="Y77" i="4"/>
  <c r="Y76" i="4"/>
  <c r="Z76" i="4" s="1"/>
  <c r="Y75" i="4"/>
  <c r="Z75" i="4" s="1"/>
  <c r="Y74" i="4"/>
  <c r="Z74" i="4" s="1"/>
  <c r="Z73" i="4"/>
  <c r="Y73" i="4"/>
  <c r="Y72" i="4"/>
  <c r="Z72" i="4" s="1"/>
  <c r="Y71" i="4"/>
  <c r="Z71" i="4" s="1"/>
  <c r="Y70" i="4"/>
  <c r="Z70" i="4" s="1"/>
  <c r="Y69" i="4"/>
  <c r="Z69" i="4" s="1"/>
  <c r="Y68" i="4"/>
  <c r="Z68" i="4" s="1"/>
  <c r="Y67" i="4"/>
  <c r="Z67" i="4" s="1"/>
  <c r="Y66" i="4"/>
  <c r="Z66" i="4" s="1"/>
  <c r="Y65" i="4"/>
  <c r="Z65" i="4" s="1"/>
  <c r="Y64" i="4"/>
  <c r="Z64" i="4" s="1"/>
  <c r="Y63" i="4"/>
  <c r="Z63" i="4" s="1"/>
  <c r="Y62" i="4"/>
  <c r="Z62" i="4" s="1"/>
  <c r="Z61" i="4"/>
  <c r="Y61" i="4"/>
  <c r="Y60" i="4"/>
  <c r="Z60" i="4" s="1"/>
  <c r="Y59" i="4"/>
  <c r="Z59" i="4" s="1"/>
  <c r="Y58" i="4"/>
  <c r="Z58" i="4" s="1"/>
  <c r="Y57" i="4"/>
  <c r="Z57" i="4" s="1"/>
  <c r="Y56" i="4"/>
  <c r="Z56" i="4" s="1"/>
  <c r="Y55" i="4"/>
  <c r="Z55" i="4" s="1"/>
  <c r="Y54" i="4"/>
  <c r="Z54" i="4" s="1"/>
  <c r="Y53" i="4"/>
  <c r="Z53" i="4" s="1"/>
  <c r="Y52" i="4"/>
  <c r="Z52" i="4" s="1"/>
  <c r="Y51" i="4"/>
  <c r="Z51" i="4" s="1"/>
  <c r="Y50" i="4"/>
  <c r="Z50" i="4" s="1"/>
  <c r="Y49" i="4"/>
  <c r="Z49" i="4" s="1"/>
  <c r="Y48" i="4"/>
  <c r="Z48" i="4" s="1"/>
  <c r="Y47" i="4"/>
  <c r="Z47" i="4" s="1"/>
  <c r="Y46" i="4"/>
  <c r="Z46" i="4" s="1"/>
  <c r="Z45" i="4"/>
  <c r="Y45" i="4"/>
  <c r="Y44" i="4"/>
  <c r="Z44" i="4" s="1"/>
  <c r="Y43" i="4"/>
  <c r="Z43" i="4" s="1"/>
  <c r="Y42" i="4"/>
  <c r="Z42" i="4" s="1"/>
  <c r="Z41" i="4"/>
  <c r="Y41" i="4"/>
  <c r="Y40" i="4"/>
  <c r="Z40" i="4" s="1"/>
  <c r="Y39" i="4"/>
  <c r="Z39" i="4" s="1"/>
  <c r="Y38" i="4"/>
  <c r="Z38" i="4" s="1"/>
  <c r="Y37" i="4"/>
  <c r="Z37" i="4" s="1"/>
  <c r="Y36" i="4"/>
  <c r="Z36" i="4" s="1"/>
  <c r="Y35" i="4"/>
  <c r="Z35" i="4" s="1"/>
  <c r="Y34" i="4"/>
  <c r="Z34" i="4" s="1"/>
  <c r="Y33" i="4"/>
  <c r="Z33" i="4" s="1"/>
  <c r="Y32" i="4"/>
  <c r="Z32" i="4" s="1"/>
  <c r="Y31" i="4"/>
  <c r="Z31" i="4" s="1"/>
  <c r="Y30" i="4"/>
  <c r="Z30" i="4" s="1"/>
  <c r="Y29" i="4"/>
  <c r="Z29" i="4" s="1"/>
  <c r="Y28" i="4"/>
  <c r="Z28" i="4" s="1"/>
  <c r="Y27" i="4"/>
  <c r="Z27" i="4" s="1"/>
  <c r="Y26" i="4"/>
  <c r="Z26" i="4" s="1"/>
  <c r="Y25" i="4"/>
  <c r="Z25" i="4" s="1"/>
  <c r="Y24" i="4"/>
  <c r="Z24" i="4" s="1"/>
  <c r="Y23" i="4"/>
  <c r="Z23" i="4" s="1"/>
  <c r="Y22" i="4"/>
  <c r="Z22" i="4" s="1"/>
  <c r="Y21" i="4"/>
  <c r="Z21" i="4" s="1"/>
  <c r="Y20" i="4"/>
  <c r="Z20" i="4" s="1"/>
  <c r="Y19" i="4"/>
  <c r="Z19" i="4" s="1"/>
  <c r="Y18" i="4"/>
  <c r="Z18" i="4" s="1"/>
  <c r="Y17" i="4"/>
  <c r="Z17" i="4" s="1"/>
  <c r="Y16" i="4"/>
  <c r="Z16" i="4" s="1"/>
  <c r="Y15" i="4"/>
  <c r="Z15" i="4" s="1"/>
  <c r="Y14" i="4"/>
  <c r="Z14" i="4" s="1"/>
  <c r="Z13" i="4"/>
  <c r="Y13" i="4"/>
  <c r="Y12" i="4"/>
  <c r="Z12" i="4" s="1"/>
  <c r="Y11" i="4"/>
  <c r="Z11" i="4" s="1"/>
  <c r="Y10" i="4"/>
  <c r="Z10" i="4" s="1"/>
  <c r="Z9" i="4"/>
  <c r="Y9" i="4"/>
  <c r="Y8" i="4"/>
  <c r="Z8" i="4" s="1"/>
  <c r="Y7" i="4"/>
  <c r="Z7" i="4" s="1"/>
  <c r="Y6" i="4"/>
  <c r="Z6" i="4" s="1"/>
  <c r="Y5" i="4"/>
  <c r="Z5" i="4" s="1"/>
  <c r="Y4" i="4"/>
  <c r="Z4" i="4" s="1"/>
  <c r="Y3" i="4"/>
  <c r="Z3" i="4" s="1"/>
  <c r="Y2" i="4"/>
  <c r="Z2" i="4" s="1"/>
  <c r="E460" i="3"/>
  <c r="D460" i="3"/>
  <c r="B460" i="3"/>
  <c r="E459" i="3"/>
  <c r="D459" i="3"/>
  <c r="B459" i="3"/>
  <c r="E458" i="3"/>
  <c r="D458" i="3"/>
  <c r="B458" i="3"/>
  <c r="E457" i="3"/>
  <c r="D457" i="3"/>
  <c r="B457" i="3"/>
  <c r="E456" i="3"/>
  <c r="D456" i="3"/>
  <c r="B456" i="3"/>
  <c r="E455" i="3"/>
  <c r="D455" i="3"/>
  <c r="B455" i="3"/>
  <c r="E454" i="3"/>
  <c r="D454" i="3"/>
  <c r="B454" i="3"/>
  <c r="E453" i="3"/>
  <c r="D453" i="3"/>
  <c r="B453" i="3"/>
  <c r="E452" i="3"/>
  <c r="D452" i="3"/>
  <c r="B452" i="3"/>
  <c r="E451" i="3"/>
  <c r="D451" i="3"/>
  <c r="B451" i="3"/>
  <c r="E450" i="3"/>
  <c r="D450" i="3"/>
  <c r="B450" i="3"/>
  <c r="E449" i="3"/>
  <c r="D449" i="3"/>
  <c r="B449" i="3"/>
  <c r="E448" i="3"/>
  <c r="D448" i="3"/>
  <c r="B448" i="3"/>
  <c r="E447" i="3"/>
  <c r="D447" i="3"/>
  <c r="B447" i="3"/>
  <c r="E446" i="3"/>
  <c r="D446" i="3"/>
  <c r="B446" i="3"/>
  <c r="E445" i="3"/>
  <c r="D445" i="3"/>
  <c r="B445" i="3"/>
  <c r="E444" i="3"/>
  <c r="D444" i="3"/>
  <c r="B444" i="3"/>
  <c r="E443" i="3"/>
  <c r="D443" i="3"/>
  <c r="B443" i="3"/>
  <c r="E442" i="3"/>
  <c r="D442" i="3"/>
  <c r="B442" i="3"/>
  <c r="E441" i="3"/>
  <c r="D441" i="3"/>
  <c r="B441" i="3"/>
  <c r="E440" i="3"/>
  <c r="D440" i="3"/>
  <c r="B440" i="3"/>
  <c r="E439" i="3"/>
  <c r="D439" i="3"/>
  <c r="B439" i="3"/>
  <c r="E438" i="3"/>
  <c r="D438" i="3"/>
  <c r="B438" i="3"/>
  <c r="E437" i="3"/>
  <c r="D437" i="3"/>
  <c r="B437" i="3"/>
  <c r="E436" i="3"/>
  <c r="D436" i="3"/>
  <c r="B436" i="3"/>
  <c r="E435" i="3"/>
  <c r="D435" i="3"/>
  <c r="B435" i="3"/>
  <c r="E434" i="3"/>
  <c r="D434" i="3"/>
  <c r="B434" i="3"/>
  <c r="E433" i="3"/>
  <c r="D433" i="3"/>
  <c r="B433" i="3"/>
  <c r="E432" i="3"/>
  <c r="D432" i="3"/>
  <c r="B432" i="3"/>
  <c r="E431" i="3"/>
  <c r="D431" i="3"/>
  <c r="B431" i="3"/>
  <c r="E430" i="3"/>
  <c r="D430" i="3"/>
  <c r="B430" i="3"/>
  <c r="E429" i="3"/>
  <c r="D429" i="3"/>
  <c r="B429" i="3"/>
  <c r="E428" i="3"/>
  <c r="D428" i="3"/>
  <c r="B428" i="3"/>
  <c r="E427" i="3"/>
  <c r="D427" i="3"/>
  <c r="B427" i="3"/>
  <c r="E426" i="3"/>
  <c r="D426" i="3"/>
  <c r="B426" i="3"/>
  <c r="E425" i="3"/>
  <c r="D425" i="3"/>
  <c r="B425" i="3"/>
  <c r="E424" i="3"/>
  <c r="D424" i="3"/>
  <c r="B424" i="3"/>
  <c r="E423" i="3"/>
  <c r="D423" i="3"/>
  <c r="B423" i="3"/>
  <c r="E422" i="3"/>
  <c r="D422" i="3"/>
  <c r="B422" i="3"/>
  <c r="E421" i="3"/>
  <c r="D421" i="3"/>
  <c r="B421" i="3"/>
  <c r="E420" i="3"/>
  <c r="D420" i="3"/>
  <c r="B420" i="3"/>
  <c r="E419" i="3"/>
  <c r="D419" i="3"/>
  <c r="B419" i="3"/>
  <c r="E418" i="3"/>
  <c r="D418" i="3"/>
  <c r="B418" i="3"/>
  <c r="E417" i="3"/>
  <c r="D417" i="3"/>
  <c r="B417" i="3"/>
  <c r="E416" i="3"/>
  <c r="D416" i="3"/>
  <c r="B416" i="3"/>
  <c r="E415" i="3"/>
  <c r="D415" i="3"/>
  <c r="B415" i="3"/>
  <c r="E414" i="3"/>
  <c r="D414" i="3"/>
  <c r="B414" i="3"/>
  <c r="E413" i="3"/>
  <c r="D413" i="3"/>
  <c r="B413" i="3"/>
  <c r="E412" i="3"/>
  <c r="D412" i="3"/>
  <c r="B412" i="3"/>
  <c r="E411" i="3"/>
  <c r="D411" i="3"/>
  <c r="B411" i="3"/>
  <c r="E410" i="3"/>
  <c r="D410" i="3"/>
  <c r="B410" i="3"/>
  <c r="E409" i="3"/>
  <c r="D409" i="3"/>
  <c r="B409" i="3"/>
  <c r="E408" i="3"/>
  <c r="D408" i="3"/>
  <c r="B408" i="3"/>
  <c r="E407" i="3"/>
  <c r="D407" i="3"/>
  <c r="B407" i="3"/>
  <c r="E406" i="3"/>
  <c r="D406" i="3"/>
  <c r="B406" i="3"/>
  <c r="E405" i="3"/>
  <c r="D405" i="3"/>
  <c r="B405" i="3"/>
  <c r="E404" i="3"/>
  <c r="D404" i="3"/>
  <c r="B404" i="3"/>
  <c r="E403" i="3"/>
  <c r="D403" i="3"/>
  <c r="B403" i="3"/>
  <c r="E402" i="3"/>
  <c r="D402" i="3"/>
  <c r="B402" i="3"/>
  <c r="E401" i="3"/>
  <c r="D401" i="3"/>
  <c r="B401" i="3"/>
  <c r="E400" i="3"/>
  <c r="D400" i="3"/>
  <c r="B400" i="3"/>
  <c r="E399" i="3"/>
  <c r="D399" i="3"/>
  <c r="B399" i="3"/>
  <c r="E398" i="3"/>
  <c r="D398" i="3"/>
  <c r="B398" i="3"/>
  <c r="E397" i="3"/>
  <c r="D397" i="3"/>
  <c r="B397" i="3"/>
  <c r="E396" i="3"/>
  <c r="D396" i="3"/>
  <c r="B396" i="3"/>
  <c r="E395" i="3"/>
  <c r="D395" i="3"/>
  <c r="B395" i="3"/>
  <c r="E394" i="3"/>
  <c r="D394" i="3"/>
  <c r="B394" i="3"/>
  <c r="E393" i="3"/>
  <c r="D393" i="3"/>
  <c r="B393" i="3"/>
  <c r="E392" i="3"/>
  <c r="D392" i="3"/>
  <c r="B392" i="3"/>
  <c r="E391" i="3"/>
  <c r="D391" i="3"/>
  <c r="B391" i="3"/>
  <c r="E390" i="3"/>
  <c r="D390" i="3"/>
  <c r="B390" i="3"/>
  <c r="E389" i="3"/>
  <c r="D389" i="3"/>
  <c r="B389" i="3"/>
  <c r="E388" i="3"/>
  <c r="D388" i="3"/>
  <c r="B388" i="3"/>
  <c r="E387" i="3"/>
  <c r="D387" i="3"/>
  <c r="B387" i="3"/>
  <c r="E386" i="3"/>
  <c r="D386" i="3"/>
  <c r="B386" i="3"/>
  <c r="E385" i="3"/>
  <c r="D385" i="3"/>
  <c r="B385" i="3"/>
  <c r="E384" i="3"/>
  <c r="D384" i="3"/>
  <c r="B384" i="3"/>
  <c r="E383" i="3"/>
  <c r="D383" i="3"/>
  <c r="B383" i="3"/>
  <c r="E382" i="3"/>
  <c r="D382" i="3"/>
  <c r="B382" i="3"/>
  <c r="E381" i="3"/>
  <c r="D381" i="3"/>
  <c r="B381" i="3"/>
  <c r="E380" i="3"/>
  <c r="D380" i="3"/>
  <c r="B380" i="3"/>
  <c r="E379" i="3"/>
  <c r="D379" i="3"/>
  <c r="B379" i="3"/>
  <c r="E378" i="3"/>
  <c r="D378" i="3"/>
  <c r="B378" i="3"/>
  <c r="E377" i="3"/>
  <c r="D377" i="3"/>
  <c r="B377" i="3"/>
  <c r="E376" i="3"/>
  <c r="D376" i="3"/>
  <c r="B376" i="3"/>
  <c r="E375" i="3"/>
  <c r="D375" i="3"/>
  <c r="B375" i="3"/>
  <c r="E374" i="3"/>
  <c r="D374" i="3"/>
  <c r="B374" i="3"/>
  <c r="E373" i="3"/>
  <c r="D373" i="3"/>
  <c r="B373" i="3"/>
  <c r="E372" i="3"/>
  <c r="D372" i="3"/>
  <c r="B372" i="3"/>
  <c r="E371" i="3"/>
  <c r="D371" i="3"/>
  <c r="B371" i="3"/>
  <c r="E370" i="3"/>
  <c r="D370" i="3"/>
  <c r="B370" i="3"/>
  <c r="E369" i="3"/>
  <c r="D369" i="3"/>
  <c r="B369" i="3"/>
  <c r="E368" i="3"/>
  <c r="D368" i="3"/>
  <c r="B368" i="3"/>
  <c r="E367" i="3"/>
  <c r="D367" i="3"/>
  <c r="B367" i="3"/>
  <c r="E366" i="3"/>
  <c r="D366" i="3"/>
  <c r="B366" i="3"/>
  <c r="E365" i="3"/>
  <c r="D365" i="3"/>
  <c r="B365" i="3"/>
  <c r="E364" i="3"/>
  <c r="D364" i="3"/>
  <c r="B364" i="3"/>
  <c r="E363" i="3"/>
  <c r="D363" i="3"/>
  <c r="B363" i="3"/>
  <c r="E362" i="3"/>
  <c r="D362" i="3"/>
  <c r="B362" i="3"/>
  <c r="E361" i="3"/>
  <c r="D361" i="3"/>
  <c r="B361" i="3"/>
  <c r="E360" i="3"/>
  <c r="D360" i="3"/>
  <c r="B360" i="3"/>
  <c r="E359" i="3"/>
  <c r="D359" i="3"/>
  <c r="B359" i="3"/>
  <c r="E358" i="3"/>
  <c r="D358" i="3"/>
  <c r="B358" i="3"/>
  <c r="E357" i="3"/>
  <c r="D357" i="3"/>
  <c r="B357" i="3"/>
  <c r="E356" i="3"/>
  <c r="D356" i="3"/>
  <c r="B356" i="3"/>
  <c r="E355" i="3"/>
  <c r="D355" i="3"/>
  <c r="B355" i="3"/>
  <c r="E354" i="3"/>
  <c r="D354" i="3"/>
  <c r="B354" i="3"/>
  <c r="E353" i="3"/>
  <c r="D353" i="3"/>
  <c r="B353" i="3"/>
  <c r="E352" i="3"/>
  <c r="D352" i="3"/>
  <c r="B352" i="3"/>
  <c r="E351" i="3"/>
  <c r="D351" i="3"/>
  <c r="B351" i="3"/>
  <c r="E350" i="3"/>
  <c r="D350" i="3"/>
  <c r="B350" i="3"/>
  <c r="E349" i="3"/>
  <c r="D349" i="3"/>
  <c r="B349" i="3"/>
  <c r="E348" i="3"/>
  <c r="D348" i="3"/>
  <c r="B348" i="3"/>
  <c r="E347" i="3"/>
  <c r="D347" i="3"/>
  <c r="B347" i="3"/>
  <c r="E346" i="3"/>
  <c r="D346" i="3"/>
  <c r="B346" i="3"/>
  <c r="E345" i="3"/>
  <c r="D345" i="3"/>
  <c r="B345" i="3"/>
  <c r="E344" i="3"/>
  <c r="D344" i="3"/>
  <c r="B344" i="3"/>
  <c r="E343" i="3"/>
  <c r="D343" i="3"/>
  <c r="B343" i="3"/>
  <c r="E342" i="3"/>
  <c r="D342" i="3"/>
  <c r="B342" i="3"/>
  <c r="E341" i="3"/>
  <c r="D341" i="3"/>
  <c r="B341" i="3"/>
  <c r="E340" i="3"/>
  <c r="D340" i="3"/>
  <c r="B340" i="3"/>
  <c r="E339" i="3"/>
  <c r="D339" i="3"/>
  <c r="B339" i="3"/>
  <c r="E338" i="3"/>
  <c r="D338" i="3"/>
  <c r="B338" i="3"/>
  <c r="E337" i="3"/>
  <c r="D337" i="3"/>
  <c r="B337" i="3"/>
  <c r="E336" i="3"/>
  <c r="D336" i="3"/>
  <c r="B336" i="3"/>
  <c r="E335" i="3"/>
  <c r="D335" i="3"/>
  <c r="B335" i="3"/>
  <c r="E334" i="3"/>
  <c r="D334" i="3"/>
  <c r="B334" i="3"/>
  <c r="E333" i="3"/>
  <c r="D333" i="3"/>
  <c r="B333" i="3"/>
  <c r="E332" i="3"/>
  <c r="D332" i="3"/>
  <c r="B332" i="3"/>
  <c r="E331" i="3"/>
  <c r="D331" i="3"/>
  <c r="B331" i="3"/>
  <c r="E330" i="3"/>
  <c r="D330" i="3"/>
  <c r="B330" i="3"/>
  <c r="E329" i="3"/>
  <c r="D329" i="3"/>
  <c r="B329" i="3"/>
  <c r="E328" i="3"/>
  <c r="D328" i="3"/>
  <c r="B328" i="3"/>
  <c r="E327" i="3"/>
  <c r="D327" i="3"/>
  <c r="B327" i="3"/>
  <c r="E326" i="3"/>
  <c r="D326" i="3"/>
  <c r="B326" i="3"/>
  <c r="E325" i="3"/>
  <c r="D325" i="3"/>
  <c r="B325" i="3"/>
  <c r="E324" i="3"/>
  <c r="D324" i="3"/>
  <c r="B324" i="3"/>
  <c r="E323" i="3"/>
  <c r="D323" i="3"/>
  <c r="B323" i="3"/>
  <c r="E322" i="3"/>
  <c r="D322" i="3"/>
  <c r="B322" i="3"/>
  <c r="E321" i="3"/>
  <c r="D321" i="3"/>
  <c r="B321" i="3"/>
  <c r="E320" i="3"/>
  <c r="D320" i="3"/>
  <c r="B320" i="3"/>
  <c r="E319" i="3"/>
  <c r="D319" i="3"/>
  <c r="B319" i="3"/>
  <c r="E318" i="3"/>
  <c r="D318" i="3"/>
  <c r="B318" i="3"/>
  <c r="E317" i="3"/>
  <c r="D317" i="3"/>
  <c r="B317" i="3"/>
  <c r="E316" i="3"/>
  <c r="D316" i="3"/>
  <c r="B316" i="3"/>
  <c r="E315" i="3"/>
  <c r="D315" i="3"/>
  <c r="B315" i="3"/>
  <c r="E314" i="3"/>
  <c r="D314" i="3"/>
  <c r="B314" i="3"/>
  <c r="E313" i="3"/>
  <c r="D313" i="3"/>
  <c r="B313" i="3"/>
  <c r="E312" i="3"/>
  <c r="D312" i="3"/>
  <c r="B312" i="3"/>
  <c r="E311" i="3"/>
  <c r="D311" i="3"/>
  <c r="B311" i="3"/>
  <c r="E310" i="3"/>
  <c r="D310" i="3"/>
  <c r="B310" i="3"/>
  <c r="E309" i="3"/>
  <c r="D309" i="3"/>
  <c r="B309" i="3"/>
  <c r="E308" i="3"/>
  <c r="D308" i="3"/>
  <c r="B308" i="3"/>
  <c r="E307" i="3"/>
  <c r="D307" i="3"/>
  <c r="B307" i="3"/>
  <c r="E306" i="3"/>
  <c r="D306" i="3"/>
  <c r="B306" i="3"/>
  <c r="E305" i="3"/>
  <c r="D305" i="3"/>
  <c r="B305" i="3"/>
  <c r="E304" i="3"/>
  <c r="D304" i="3"/>
  <c r="B304" i="3"/>
  <c r="E303" i="3"/>
  <c r="D303" i="3"/>
  <c r="B303" i="3"/>
  <c r="E302" i="3"/>
  <c r="D302" i="3"/>
  <c r="B302" i="3"/>
  <c r="E301" i="3"/>
  <c r="D301" i="3"/>
  <c r="B301" i="3"/>
  <c r="E300" i="3"/>
  <c r="D300" i="3"/>
  <c r="B300" i="3"/>
  <c r="E299" i="3"/>
  <c r="D299" i="3"/>
  <c r="B299" i="3"/>
  <c r="E298" i="3"/>
  <c r="D298" i="3"/>
  <c r="B298" i="3"/>
  <c r="E297" i="3"/>
  <c r="D297" i="3"/>
  <c r="B297" i="3"/>
  <c r="E296" i="3"/>
  <c r="D296" i="3"/>
  <c r="B296" i="3"/>
  <c r="E295" i="3"/>
  <c r="D295" i="3"/>
  <c r="B295" i="3"/>
  <c r="E294" i="3"/>
  <c r="D294" i="3"/>
  <c r="B294" i="3"/>
  <c r="E293" i="3"/>
  <c r="D293" i="3"/>
  <c r="B293" i="3"/>
  <c r="E292" i="3"/>
  <c r="D292" i="3"/>
  <c r="B292" i="3"/>
  <c r="E291" i="3"/>
  <c r="D291" i="3"/>
  <c r="B291" i="3"/>
  <c r="E290" i="3"/>
  <c r="D290" i="3"/>
  <c r="B290" i="3"/>
  <c r="E289" i="3"/>
  <c r="D289" i="3"/>
  <c r="B289" i="3"/>
  <c r="E288" i="3"/>
  <c r="D288" i="3"/>
  <c r="B288" i="3"/>
  <c r="E287" i="3"/>
  <c r="D287" i="3"/>
  <c r="B287" i="3"/>
  <c r="E286" i="3"/>
  <c r="D286" i="3"/>
  <c r="B286" i="3"/>
  <c r="E285" i="3"/>
  <c r="D285" i="3"/>
  <c r="B285" i="3"/>
  <c r="E284" i="3"/>
  <c r="D284" i="3"/>
  <c r="B284" i="3"/>
  <c r="E283" i="3"/>
  <c r="D283" i="3"/>
  <c r="B283" i="3"/>
  <c r="E282" i="3"/>
  <c r="D282" i="3"/>
  <c r="B282" i="3"/>
  <c r="E281" i="3"/>
  <c r="D281" i="3"/>
  <c r="B281" i="3"/>
  <c r="E280" i="3"/>
  <c r="D280" i="3"/>
  <c r="B280" i="3"/>
  <c r="E279" i="3"/>
  <c r="D279" i="3"/>
  <c r="B279" i="3"/>
  <c r="E278" i="3"/>
  <c r="D278" i="3"/>
  <c r="B278" i="3"/>
  <c r="E277" i="3"/>
  <c r="D277" i="3"/>
  <c r="B277" i="3"/>
  <c r="E276" i="3"/>
  <c r="D276" i="3"/>
  <c r="B276" i="3"/>
  <c r="E275" i="3"/>
  <c r="D275" i="3"/>
  <c r="B275" i="3"/>
  <c r="E274" i="3"/>
  <c r="D274" i="3"/>
  <c r="B274" i="3"/>
  <c r="E273" i="3"/>
  <c r="D273" i="3"/>
  <c r="B273" i="3"/>
  <c r="E272" i="3"/>
  <c r="D272" i="3"/>
  <c r="B272" i="3"/>
  <c r="E271" i="3"/>
  <c r="D271" i="3"/>
  <c r="B271" i="3"/>
  <c r="E270" i="3"/>
  <c r="D270" i="3"/>
  <c r="B270" i="3"/>
  <c r="E269" i="3"/>
  <c r="D269" i="3"/>
  <c r="B269" i="3"/>
  <c r="E268" i="3"/>
  <c r="D268" i="3"/>
  <c r="B268" i="3"/>
  <c r="E267" i="3"/>
  <c r="D267" i="3"/>
  <c r="B267" i="3"/>
  <c r="E266" i="3"/>
  <c r="D266" i="3"/>
  <c r="B266" i="3"/>
  <c r="E265" i="3"/>
  <c r="D265" i="3"/>
  <c r="B265" i="3"/>
  <c r="E264" i="3"/>
  <c r="D264" i="3"/>
  <c r="B264" i="3"/>
  <c r="E263" i="3"/>
  <c r="D263" i="3"/>
  <c r="B263" i="3"/>
  <c r="E262" i="3"/>
  <c r="D262" i="3"/>
  <c r="B262" i="3"/>
  <c r="E261" i="3"/>
  <c r="D261" i="3"/>
  <c r="B261" i="3"/>
  <c r="E260" i="3"/>
  <c r="D260" i="3"/>
  <c r="B260" i="3"/>
  <c r="E259" i="3"/>
  <c r="D259" i="3"/>
  <c r="B259" i="3"/>
  <c r="E258" i="3"/>
  <c r="D258" i="3"/>
  <c r="B258" i="3"/>
  <c r="E257" i="3"/>
  <c r="D257" i="3"/>
  <c r="B257" i="3"/>
  <c r="E256" i="3"/>
  <c r="D256" i="3"/>
  <c r="B256" i="3"/>
  <c r="E255" i="3"/>
  <c r="D255" i="3"/>
  <c r="B255" i="3"/>
  <c r="E254" i="3"/>
  <c r="D254" i="3"/>
  <c r="B254" i="3"/>
  <c r="E253" i="3"/>
  <c r="D253" i="3"/>
  <c r="B253" i="3"/>
  <c r="E252" i="3"/>
  <c r="D252" i="3"/>
  <c r="B252" i="3"/>
  <c r="E251" i="3"/>
  <c r="D251" i="3"/>
  <c r="B251" i="3"/>
  <c r="E250" i="3"/>
  <c r="D250" i="3"/>
  <c r="B250" i="3"/>
  <c r="E249" i="3"/>
  <c r="D249" i="3"/>
  <c r="B249" i="3"/>
  <c r="E248" i="3"/>
  <c r="D248" i="3"/>
  <c r="B248" i="3"/>
  <c r="E247" i="3"/>
  <c r="D247" i="3"/>
  <c r="B247" i="3"/>
  <c r="E246" i="3"/>
  <c r="D246" i="3"/>
  <c r="B246" i="3"/>
  <c r="E245" i="3"/>
  <c r="D245" i="3"/>
  <c r="B245" i="3"/>
  <c r="E244" i="3"/>
  <c r="D244" i="3"/>
  <c r="B244" i="3"/>
  <c r="E243" i="3"/>
  <c r="D243" i="3"/>
  <c r="B243" i="3"/>
  <c r="E242" i="3"/>
  <c r="D242" i="3"/>
  <c r="B242" i="3"/>
  <c r="E241" i="3"/>
  <c r="D241" i="3"/>
  <c r="B241" i="3"/>
  <c r="E240" i="3"/>
  <c r="D240" i="3"/>
  <c r="B240" i="3"/>
  <c r="E239" i="3"/>
  <c r="D239" i="3"/>
  <c r="B239" i="3"/>
  <c r="E238" i="3"/>
  <c r="D238" i="3"/>
  <c r="B238" i="3"/>
  <c r="E237" i="3"/>
  <c r="D237" i="3"/>
  <c r="B237" i="3"/>
  <c r="E236" i="3"/>
  <c r="D236" i="3"/>
  <c r="B236" i="3"/>
  <c r="E235" i="3"/>
  <c r="D235" i="3"/>
  <c r="B235" i="3"/>
  <c r="E234" i="3"/>
  <c r="D234" i="3"/>
  <c r="B234" i="3"/>
  <c r="E233" i="3"/>
  <c r="D233" i="3"/>
  <c r="B233" i="3"/>
  <c r="E232" i="3"/>
  <c r="D232" i="3"/>
  <c r="B232" i="3"/>
  <c r="E231" i="3"/>
  <c r="D231" i="3"/>
  <c r="B231" i="3"/>
  <c r="E230" i="3"/>
  <c r="D230" i="3"/>
  <c r="B230" i="3"/>
  <c r="E229" i="3"/>
  <c r="D229" i="3"/>
  <c r="B229" i="3"/>
  <c r="E228" i="3"/>
  <c r="D228" i="3"/>
  <c r="B228" i="3"/>
  <c r="E227" i="3"/>
  <c r="D227" i="3"/>
  <c r="B227" i="3"/>
  <c r="E226" i="3"/>
  <c r="D226" i="3"/>
  <c r="B226" i="3"/>
  <c r="E225" i="3"/>
  <c r="D225" i="3"/>
  <c r="B225" i="3"/>
  <c r="E224" i="3"/>
  <c r="D224" i="3"/>
  <c r="B224" i="3"/>
  <c r="E223" i="3"/>
  <c r="D223" i="3"/>
  <c r="B223" i="3"/>
  <c r="E222" i="3"/>
  <c r="D222" i="3"/>
  <c r="B222" i="3"/>
  <c r="E221" i="3"/>
  <c r="D221" i="3"/>
  <c r="B221" i="3"/>
  <c r="E220" i="3"/>
  <c r="D220" i="3"/>
  <c r="B220" i="3"/>
  <c r="E219" i="3"/>
  <c r="D219" i="3"/>
  <c r="B219" i="3"/>
  <c r="E218" i="3"/>
  <c r="D218" i="3"/>
  <c r="B218" i="3"/>
  <c r="E217" i="3"/>
  <c r="D217" i="3"/>
  <c r="B217" i="3"/>
  <c r="E216" i="3"/>
  <c r="D216" i="3"/>
  <c r="B216" i="3"/>
  <c r="E215" i="3"/>
  <c r="D215" i="3"/>
  <c r="B215" i="3"/>
  <c r="E214" i="3"/>
  <c r="D214" i="3"/>
  <c r="B214" i="3"/>
  <c r="E213" i="3"/>
  <c r="D213" i="3"/>
  <c r="B213" i="3"/>
  <c r="E212" i="3"/>
  <c r="D212" i="3"/>
  <c r="B212" i="3"/>
  <c r="E211" i="3"/>
  <c r="D211" i="3"/>
  <c r="B211" i="3"/>
  <c r="E210" i="3"/>
  <c r="D210" i="3"/>
  <c r="B210" i="3"/>
  <c r="E209" i="3"/>
  <c r="D209" i="3"/>
  <c r="B209" i="3"/>
  <c r="E208" i="3"/>
  <c r="D208" i="3"/>
  <c r="B208" i="3"/>
  <c r="E207" i="3"/>
  <c r="D207" i="3"/>
  <c r="B207" i="3"/>
  <c r="E206" i="3"/>
  <c r="D206" i="3"/>
  <c r="B206" i="3"/>
  <c r="E205" i="3"/>
  <c r="D205" i="3"/>
  <c r="B205" i="3"/>
  <c r="E204" i="3"/>
  <c r="D204" i="3"/>
  <c r="B204" i="3"/>
  <c r="E203" i="3"/>
  <c r="D203" i="3"/>
  <c r="B203" i="3"/>
  <c r="E202" i="3"/>
  <c r="D202" i="3"/>
  <c r="B202" i="3"/>
  <c r="E201" i="3"/>
  <c r="D201" i="3"/>
  <c r="B201" i="3"/>
  <c r="E200" i="3"/>
  <c r="D200" i="3"/>
  <c r="B200" i="3"/>
  <c r="E199" i="3"/>
  <c r="D199" i="3"/>
  <c r="B199" i="3"/>
  <c r="E198" i="3"/>
  <c r="D198" i="3"/>
  <c r="B198" i="3"/>
  <c r="E197" i="3"/>
  <c r="D197" i="3"/>
  <c r="B197" i="3"/>
  <c r="E196" i="3"/>
  <c r="D196" i="3"/>
  <c r="B196" i="3"/>
  <c r="E195" i="3"/>
  <c r="D195" i="3"/>
  <c r="B195" i="3"/>
  <c r="E194" i="3"/>
  <c r="D194" i="3"/>
  <c r="B194" i="3"/>
  <c r="E193" i="3"/>
  <c r="D193" i="3"/>
  <c r="B193" i="3"/>
  <c r="E192" i="3"/>
  <c r="D192" i="3"/>
  <c r="B192" i="3"/>
  <c r="E191" i="3"/>
  <c r="D191" i="3"/>
  <c r="B191" i="3"/>
  <c r="E190" i="3"/>
  <c r="D190" i="3"/>
  <c r="B190" i="3"/>
  <c r="E189" i="3"/>
  <c r="D189" i="3"/>
  <c r="B189" i="3"/>
  <c r="E188" i="3"/>
  <c r="D188" i="3"/>
  <c r="B188" i="3"/>
  <c r="E187" i="3"/>
  <c r="D187" i="3"/>
  <c r="B187" i="3"/>
  <c r="E186" i="3"/>
  <c r="D186" i="3"/>
  <c r="B186" i="3"/>
  <c r="E185" i="3"/>
  <c r="D185" i="3"/>
  <c r="B185" i="3"/>
  <c r="E184" i="3"/>
  <c r="D184" i="3"/>
  <c r="B184" i="3"/>
  <c r="E183" i="3"/>
  <c r="D183" i="3"/>
  <c r="B183" i="3"/>
  <c r="E182" i="3"/>
  <c r="D182" i="3"/>
  <c r="B182" i="3"/>
  <c r="E181" i="3"/>
  <c r="D181" i="3"/>
  <c r="B181" i="3"/>
  <c r="E180" i="3"/>
  <c r="D180" i="3"/>
  <c r="B180" i="3"/>
  <c r="E179" i="3"/>
  <c r="D179" i="3"/>
  <c r="B179" i="3"/>
  <c r="E178" i="3"/>
  <c r="D178" i="3"/>
  <c r="B178" i="3"/>
  <c r="E177" i="3"/>
  <c r="D177" i="3"/>
  <c r="B177" i="3"/>
  <c r="E176" i="3"/>
  <c r="D176" i="3"/>
  <c r="B176" i="3"/>
  <c r="E175" i="3"/>
  <c r="D175" i="3"/>
  <c r="B175" i="3"/>
  <c r="E174" i="3"/>
  <c r="D174" i="3"/>
  <c r="B174" i="3"/>
  <c r="E173" i="3"/>
  <c r="D173" i="3"/>
  <c r="B173" i="3"/>
  <c r="E172" i="3"/>
  <c r="D172" i="3"/>
  <c r="B172" i="3"/>
  <c r="E171" i="3"/>
  <c r="D171" i="3"/>
  <c r="B171" i="3"/>
  <c r="E170" i="3"/>
  <c r="D170" i="3"/>
  <c r="B170" i="3"/>
  <c r="E169" i="3"/>
  <c r="D169" i="3"/>
  <c r="B169" i="3"/>
  <c r="E168" i="3"/>
  <c r="D168" i="3"/>
  <c r="B168" i="3"/>
  <c r="E167" i="3"/>
  <c r="D167" i="3"/>
  <c r="B167" i="3"/>
  <c r="E166" i="3"/>
  <c r="D166" i="3"/>
  <c r="B166" i="3"/>
  <c r="E165" i="3"/>
  <c r="D165" i="3"/>
  <c r="B165" i="3"/>
  <c r="E164" i="3"/>
  <c r="D164" i="3"/>
  <c r="B164" i="3"/>
  <c r="E163" i="3"/>
  <c r="D163" i="3"/>
  <c r="B163" i="3"/>
  <c r="E162" i="3"/>
  <c r="D162" i="3"/>
  <c r="B162" i="3"/>
  <c r="E161" i="3"/>
  <c r="D161" i="3"/>
  <c r="B161" i="3"/>
  <c r="E160" i="3"/>
  <c r="D160" i="3"/>
  <c r="B160" i="3"/>
  <c r="E159" i="3"/>
  <c r="D159" i="3"/>
  <c r="B159" i="3"/>
  <c r="E158" i="3"/>
  <c r="D158" i="3"/>
  <c r="B158" i="3"/>
  <c r="E157" i="3"/>
  <c r="D157" i="3"/>
  <c r="B157" i="3"/>
  <c r="E156" i="3"/>
  <c r="D156" i="3"/>
  <c r="B156" i="3"/>
  <c r="E155" i="3"/>
  <c r="D155" i="3"/>
  <c r="B155" i="3"/>
  <c r="E154" i="3"/>
  <c r="D154" i="3"/>
  <c r="B154" i="3"/>
  <c r="E153" i="3"/>
  <c r="D153" i="3"/>
  <c r="B153" i="3"/>
  <c r="E152" i="3"/>
  <c r="D152" i="3"/>
  <c r="B152" i="3"/>
  <c r="E151" i="3"/>
  <c r="D151" i="3"/>
  <c r="B151" i="3"/>
  <c r="E150" i="3"/>
  <c r="D150" i="3"/>
  <c r="B150" i="3"/>
  <c r="E149" i="3"/>
  <c r="D149" i="3"/>
  <c r="B149" i="3"/>
  <c r="E148" i="3"/>
  <c r="D148" i="3"/>
  <c r="B148" i="3"/>
  <c r="E147" i="3"/>
  <c r="D147" i="3"/>
  <c r="B147" i="3"/>
  <c r="E146" i="3"/>
  <c r="D146" i="3"/>
  <c r="B146" i="3"/>
  <c r="E145" i="3"/>
  <c r="D145" i="3"/>
  <c r="B145" i="3"/>
  <c r="E144" i="3"/>
  <c r="D144" i="3"/>
  <c r="B144" i="3"/>
  <c r="E143" i="3"/>
  <c r="D143" i="3"/>
  <c r="B143" i="3"/>
  <c r="E142" i="3"/>
  <c r="D142" i="3"/>
  <c r="B142" i="3"/>
  <c r="E141" i="3"/>
  <c r="D141" i="3"/>
  <c r="B141" i="3"/>
  <c r="E140" i="3"/>
  <c r="D140" i="3"/>
  <c r="B140" i="3"/>
  <c r="E139" i="3"/>
  <c r="D139" i="3"/>
  <c r="B139" i="3"/>
  <c r="E138" i="3"/>
  <c r="D138" i="3"/>
  <c r="B138" i="3"/>
  <c r="E137" i="3"/>
  <c r="D137" i="3"/>
  <c r="B137" i="3"/>
  <c r="E136" i="3"/>
  <c r="D136" i="3"/>
  <c r="B136" i="3"/>
  <c r="E135" i="3"/>
  <c r="D135" i="3"/>
  <c r="B135" i="3"/>
  <c r="E134" i="3"/>
  <c r="D134" i="3"/>
  <c r="B134" i="3"/>
  <c r="E133" i="3"/>
  <c r="D133" i="3"/>
  <c r="B133" i="3"/>
  <c r="E132" i="3"/>
  <c r="D132" i="3"/>
  <c r="B132" i="3"/>
  <c r="E131" i="3"/>
  <c r="D131" i="3"/>
  <c r="B131" i="3"/>
  <c r="E130" i="3"/>
  <c r="D130" i="3"/>
  <c r="B130" i="3"/>
  <c r="E129" i="3"/>
  <c r="D129" i="3"/>
  <c r="B129" i="3"/>
  <c r="E128" i="3"/>
  <c r="D128" i="3"/>
  <c r="B128" i="3"/>
  <c r="E127" i="3"/>
  <c r="D127" i="3"/>
  <c r="B127" i="3"/>
  <c r="E126" i="3"/>
  <c r="D126" i="3"/>
  <c r="B126" i="3"/>
  <c r="E125" i="3"/>
  <c r="D125" i="3"/>
  <c r="B125" i="3"/>
  <c r="E124" i="3"/>
  <c r="D124" i="3"/>
  <c r="B124" i="3"/>
  <c r="E123" i="3"/>
  <c r="D123" i="3"/>
  <c r="B123" i="3"/>
  <c r="E122" i="3"/>
  <c r="D122" i="3"/>
  <c r="B122" i="3"/>
  <c r="E121" i="3"/>
  <c r="D121" i="3"/>
  <c r="B121" i="3"/>
  <c r="E120" i="3"/>
  <c r="D120" i="3"/>
  <c r="B120" i="3"/>
  <c r="E119" i="3"/>
  <c r="D119" i="3"/>
  <c r="B119" i="3"/>
  <c r="E118" i="3"/>
  <c r="D118" i="3"/>
  <c r="B118" i="3"/>
  <c r="E117" i="3"/>
  <c r="D117" i="3"/>
  <c r="B117" i="3"/>
  <c r="E116" i="3"/>
  <c r="D116" i="3"/>
  <c r="B116" i="3"/>
  <c r="E115" i="3"/>
  <c r="D115" i="3"/>
  <c r="B115" i="3"/>
  <c r="E114" i="3"/>
  <c r="D114" i="3"/>
  <c r="B114" i="3"/>
  <c r="E113" i="3"/>
  <c r="D113" i="3"/>
  <c r="B113" i="3"/>
  <c r="E112" i="3"/>
  <c r="D112" i="3"/>
  <c r="B112" i="3"/>
  <c r="E111" i="3"/>
  <c r="D111" i="3"/>
  <c r="B111" i="3"/>
  <c r="E110" i="3"/>
  <c r="D110" i="3"/>
  <c r="B110" i="3"/>
  <c r="E109" i="3"/>
  <c r="D109" i="3"/>
  <c r="B109" i="3"/>
  <c r="E108" i="3"/>
  <c r="D108" i="3"/>
  <c r="B108" i="3"/>
  <c r="E107" i="3"/>
  <c r="D107" i="3"/>
  <c r="B107" i="3"/>
  <c r="E106" i="3"/>
  <c r="D106" i="3"/>
  <c r="B106" i="3"/>
  <c r="E105" i="3"/>
  <c r="D105" i="3"/>
  <c r="B105" i="3"/>
  <c r="E104" i="3"/>
  <c r="D104" i="3"/>
  <c r="B104" i="3"/>
  <c r="E103" i="3"/>
  <c r="D103" i="3"/>
  <c r="B103" i="3"/>
  <c r="E102" i="3"/>
  <c r="D102" i="3"/>
  <c r="B102" i="3"/>
  <c r="E101" i="3"/>
  <c r="D101" i="3"/>
  <c r="B101" i="3"/>
  <c r="E100" i="3"/>
  <c r="D100" i="3"/>
  <c r="B100" i="3"/>
  <c r="E99" i="3"/>
  <c r="D99" i="3"/>
  <c r="B99" i="3"/>
  <c r="E98" i="3"/>
  <c r="D98" i="3"/>
  <c r="B98" i="3"/>
  <c r="E97" i="3"/>
  <c r="D97" i="3"/>
  <c r="B97" i="3"/>
  <c r="E96" i="3"/>
  <c r="D96" i="3"/>
  <c r="B96" i="3"/>
  <c r="E95" i="3"/>
  <c r="D95" i="3"/>
  <c r="B95" i="3"/>
  <c r="E94" i="3"/>
  <c r="D94" i="3"/>
  <c r="B94" i="3"/>
  <c r="E93" i="3"/>
  <c r="D93" i="3"/>
  <c r="B93" i="3"/>
  <c r="E92" i="3"/>
  <c r="D92" i="3"/>
  <c r="B92" i="3"/>
  <c r="E91" i="3"/>
  <c r="D91" i="3"/>
  <c r="B91" i="3"/>
  <c r="E90" i="3"/>
  <c r="D90" i="3"/>
  <c r="B90" i="3"/>
  <c r="E89" i="3"/>
  <c r="D89" i="3"/>
  <c r="B89" i="3"/>
  <c r="E88" i="3"/>
  <c r="D88" i="3"/>
  <c r="B88" i="3"/>
  <c r="E87" i="3"/>
  <c r="D87" i="3"/>
  <c r="B87" i="3"/>
  <c r="E86" i="3"/>
  <c r="D86" i="3"/>
  <c r="B86" i="3"/>
  <c r="E85" i="3"/>
  <c r="D85" i="3"/>
  <c r="B85" i="3"/>
  <c r="E84" i="3"/>
  <c r="D84" i="3"/>
  <c r="B84" i="3"/>
  <c r="E83" i="3"/>
  <c r="D83" i="3"/>
  <c r="B83" i="3"/>
  <c r="E82" i="3"/>
  <c r="D82" i="3"/>
  <c r="B82" i="3"/>
  <c r="E81" i="3"/>
  <c r="D81" i="3"/>
  <c r="B81" i="3"/>
  <c r="E80" i="3"/>
  <c r="D80" i="3"/>
  <c r="B80" i="3"/>
  <c r="E79" i="3"/>
  <c r="D79" i="3"/>
  <c r="B79" i="3"/>
  <c r="E78" i="3"/>
  <c r="D78" i="3"/>
  <c r="B78" i="3"/>
  <c r="E77" i="3"/>
  <c r="D77" i="3"/>
  <c r="B77" i="3"/>
  <c r="E76" i="3"/>
  <c r="D76" i="3"/>
  <c r="B76" i="3"/>
  <c r="E75" i="3"/>
  <c r="D75" i="3"/>
  <c r="B75" i="3"/>
  <c r="E74" i="3"/>
  <c r="D74" i="3"/>
  <c r="B74" i="3"/>
  <c r="E73" i="3"/>
  <c r="D73" i="3"/>
  <c r="B73" i="3"/>
  <c r="E72" i="3"/>
  <c r="D72" i="3"/>
  <c r="B72" i="3"/>
  <c r="E71" i="3"/>
  <c r="D71" i="3"/>
  <c r="B71" i="3"/>
  <c r="E70" i="3"/>
  <c r="D70" i="3"/>
  <c r="B70" i="3"/>
  <c r="E69" i="3"/>
  <c r="D69" i="3"/>
  <c r="B69" i="3"/>
  <c r="E68" i="3"/>
  <c r="D68" i="3"/>
  <c r="B68" i="3"/>
  <c r="E67" i="3"/>
  <c r="D67" i="3"/>
  <c r="B67" i="3"/>
  <c r="E66" i="3"/>
  <c r="D66" i="3"/>
  <c r="B66" i="3"/>
  <c r="E65" i="3"/>
  <c r="D65" i="3"/>
  <c r="B65" i="3"/>
  <c r="E64" i="3"/>
  <c r="D64" i="3"/>
  <c r="B64" i="3"/>
  <c r="E63" i="3"/>
  <c r="D63" i="3"/>
  <c r="B63" i="3"/>
  <c r="E62" i="3"/>
  <c r="D62" i="3"/>
  <c r="B62" i="3"/>
  <c r="E61" i="3"/>
  <c r="D61" i="3"/>
  <c r="B61" i="3"/>
  <c r="E60" i="3"/>
  <c r="D60" i="3"/>
  <c r="B60" i="3"/>
  <c r="E59" i="3"/>
  <c r="D59" i="3"/>
  <c r="B59" i="3"/>
  <c r="E58" i="3"/>
  <c r="D58" i="3"/>
  <c r="B58" i="3"/>
  <c r="E57" i="3"/>
  <c r="D57" i="3"/>
  <c r="B57" i="3"/>
  <c r="E56" i="3"/>
  <c r="D56" i="3"/>
  <c r="B56" i="3"/>
  <c r="E55" i="3"/>
  <c r="D55" i="3"/>
  <c r="B55" i="3"/>
  <c r="E54" i="3"/>
  <c r="D54" i="3"/>
  <c r="B54" i="3"/>
  <c r="E53" i="3"/>
  <c r="D53" i="3"/>
  <c r="B53" i="3"/>
  <c r="E52" i="3"/>
  <c r="D52" i="3"/>
  <c r="B52" i="3"/>
  <c r="E51" i="3"/>
  <c r="D51" i="3"/>
  <c r="B51" i="3"/>
  <c r="E50" i="3"/>
  <c r="D50" i="3"/>
  <c r="B50" i="3"/>
  <c r="E49" i="3"/>
  <c r="D49" i="3"/>
  <c r="B49" i="3"/>
  <c r="E48" i="3"/>
  <c r="D48" i="3"/>
  <c r="B48" i="3"/>
  <c r="E47" i="3"/>
  <c r="D47" i="3"/>
  <c r="B47" i="3"/>
  <c r="E46" i="3"/>
  <c r="D46" i="3"/>
  <c r="B46" i="3"/>
  <c r="E45" i="3"/>
  <c r="D45" i="3"/>
  <c r="B45" i="3"/>
  <c r="E44" i="3"/>
  <c r="D44" i="3"/>
  <c r="B44" i="3"/>
  <c r="E43" i="3"/>
  <c r="D43" i="3"/>
  <c r="B43" i="3"/>
  <c r="E42" i="3"/>
  <c r="D42" i="3"/>
  <c r="B42" i="3"/>
  <c r="E41" i="3"/>
  <c r="D41" i="3"/>
  <c r="B41" i="3"/>
  <c r="E40" i="3"/>
  <c r="D40" i="3"/>
  <c r="B40" i="3"/>
  <c r="E39" i="3"/>
  <c r="D39" i="3"/>
  <c r="B39" i="3"/>
  <c r="E38" i="3"/>
  <c r="D38" i="3"/>
  <c r="B38" i="3"/>
  <c r="E37" i="3"/>
  <c r="D37" i="3"/>
  <c r="B37" i="3"/>
  <c r="E36" i="3"/>
  <c r="D36" i="3"/>
  <c r="B36" i="3"/>
  <c r="E35" i="3"/>
  <c r="D35" i="3"/>
  <c r="B35" i="3"/>
  <c r="E34" i="3"/>
  <c r="D34" i="3"/>
  <c r="B34" i="3"/>
  <c r="E33" i="3"/>
  <c r="D33" i="3"/>
  <c r="B33" i="3"/>
  <c r="E32" i="3"/>
  <c r="D32" i="3"/>
  <c r="B32" i="3"/>
  <c r="E31" i="3"/>
  <c r="D31" i="3"/>
  <c r="B31" i="3"/>
  <c r="E30" i="3"/>
  <c r="D30" i="3"/>
  <c r="B30" i="3"/>
  <c r="E29" i="3"/>
  <c r="D29" i="3"/>
  <c r="B29" i="3"/>
  <c r="E28" i="3"/>
  <c r="D28" i="3"/>
  <c r="B28" i="3"/>
  <c r="E27" i="3"/>
  <c r="D27" i="3"/>
  <c r="B27" i="3"/>
  <c r="E26" i="3"/>
  <c r="D26" i="3"/>
  <c r="B26" i="3"/>
  <c r="E25" i="3"/>
  <c r="D25" i="3"/>
  <c r="B25" i="3"/>
  <c r="E24" i="3"/>
  <c r="D24" i="3"/>
  <c r="B24" i="3"/>
  <c r="E23" i="3"/>
  <c r="D23" i="3"/>
  <c r="B23" i="3"/>
  <c r="E22" i="3"/>
  <c r="D22" i="3"/>
  <c r="B22" i="3"/>
  <c r="E21" i="3"/>
  <c r="D21" i="3"/>
  <c r="B21" i="3"/>
  <c r="E20" i="3"/>
  <c r="D20" i="3"/>
  <c r="B20" i="3"/>
  <c r="E19" i="3"/>
  <c r="D19" i="3"/>
  <c r="B19" i="3"/>
  <c r="E18" i="3"/>
  <c r="D18" i="3"/>
  <c r="B18" i="3"/>
  <c r="E17" i="3"/>
  <c r="D17" i="3"/>
  <c r="B17" i="3"/>
  <c r="E16" i="3"/>
  <c r="D16" i="3"/>
  <c r="B16" i="3"/>
  <c r="E15" i="3"/>
  <c r="D15" i="3"/>
  <c r="B15" i="3"/>
  <c r="E14" i="3"/>
  <c r="D14" i="3"/>
  <c r="B14" i="3"/>
  <c r="E13" i="3"/>
  <c r="D13" i="3"/>
  <c r="B13" i="3"/>
  <c r="E12" i="3"/>
  <c r="D12" i="3"/>
  <c r="B12" i="3"/>
  <c r="E11" i="3"/>
  <c r="D11" i="3"/>
  <c r="B11" i="3"/>
  <c r="E10" i="3"/>
  <c r="D10" i="3"/>
  <c r="B10" i="3"/>
  <c r="E9" i="3"/>
  <c r="D9" i="3"/>
  <c r="B9" i="3"/>
  <c r="E8" i="3"/>
  <c r="D8" i="3"/>
  <c r="B8" i="3"/>
  <c r="E7" i="3"/>
  <c r="D7" i="3"/>
  <c r="B7" i="3"/>
  <c r="E6" i="3"/>
  <c r="D6" i="3"/>
  <c r="B6" i="3"/>
  <c r="E5" i="3"/>
  <c r="D5" i="3"/>
  <c r="B5" i="3"/>
  <c r="E4" i="3"/>
  <c r="D4" i="3"/>
  <c r="B4" i="3"/>
  <c r="E3" i="3"/>
  <c r="D3" i="3"/>
  <c r="B3" i="3"/>
  <c r="D2" i="3"/>
  <c r="B2" i="3"/>
  <c r="W488" i="1"/>
  <c r="R488" i="1"/>
  <c r="Q488" i="1"/>
  <c r="P488" i="1"/>
  <c r="W487" i="1"/>
  <c r="R487" i="1"/>
  <c r="Q487" i="1"/>
  <c r="P487" i="1"/>
  <c r="W486" i="1"/>
  <c r="R486" i="1"/>
  <c r="Q486" i="1"/>
  <c r="P486" i="1"/>
  <c r="W485" i="1"/>
  <c r="R485" i="1"/>
  <c r="Q485" i="1"/>
  <c r="P485" i="1"/>
  <c r="W484" i="1"/>
  <c r="R484" i="1"/>
  <c r="Q484" i="1"/>
  <c r="P484" i="1"/>
  <c r="W483" i="1"/>
  <c r="V483" i="1"/>
  <c r="X483" i="1" s="1"/>
  <c r="R483" i="1"/>
  <c r="Q483" i="1"/>
  <c r="D483" i="1" s="1"/>
  <c r="Y483" i="1" s="1"/>
  <c r="Z483" i="1" s="1"/>
  <c r="P483" i="1"/>
  <c r="C483" i="1"/>
  <c r="K483" i="1" s="1"/>
  <c r="W482" i="1"/>
  <c r="R482" i="1"/>
  <c r="Q482" i="1"/>
  <c r="P482" i="1"/>
  <c r="W481" i="1"/>
  <c r="V481" i="1"/>
  <c r="R481" i="1"/>
  <c r="Q481" i="1"/>
  <c r="D481" i="1" s="1"/>
  <c r="Y481" i="1" s="1"/>
  <c r="Z481" i="1" s="1"/>
  <c r="P481" i="1"/>
  <c r="W480" i="1"/>
  <c r="R480" i="1"/>
  <c r="Q480" i="1"/>
  <c r="P480" i="1"/>
  <c r="W479" i="1"/>
  <c r="V479" i="1"/>
  <c r="X479" i="1" s="1"/>
  <c r="R479" i="1"/>
  <c r="D479" i="1" s="1"/>
  <c r="Y479" i="1" s="1"/>
  <c r="Z479" i="1" s="1"/>
  <c r="Q479" i="1"/>
  <c r="P479" i="1"/>
  <c r="W478" i="1"/>
  <c r="R478" i="1"/>
  <c r="Q478" i="1"/>
  <c r="P478" i="1"/>
  <c r="W477" i="1"/>
  <c r="R477" i="1"/>
  <c r="Q477" i="1"/>
  <c r="P477" i="1"/>
  <c r="C477" i="1"/>
  <c r="K477" i="1" s="1"/>
  <c r="W476" i="1"/>
  <c r="R476" i="1"/>
  <c r="Q476" i="1"/>
  <c r="P476" i="1"/>
  <c r="D476" i="1"/>
  <c r="C476" i="1"/>
  <c r="W475" i="1"/>
  <c r="R475" i="1"/>
  <c r="Q475" i="1"/>
  <c r="P475" i="1"/>
  <c r="W474" i="1"/>
  <c r="R474" i="1"/>
  <c r="Q474" i="1"/>
  <c r="P474" i="1"/>
  <c r="W473" i="1"/>
  <c r="R473" i="1"/>
  <c r="Q473" i="1"/>
  <c r="P473" i="1"/>
  <c r="W472" i="1"/>
  <c r="R472" i="1"/>
  <c r="Q472" i="1"/>
  <c r="P472" i="1"/>
  <c r="W471" i="1"/>
  <c r="R471" i="1"/>
  <c r="Q471" i="1"/>
  <c r="P471" i="1"/>
  <c r="Y470" i="1"/>
  <c r="Z470" i="1" s="1"/>
  <c r="W470" i="1"/>
  <c r="R470" i="1"/>
  <c r="Q470" i="1"/>
  <c r="P470" i="1"/>
  <c r="D470" i="1"/>
  <c r="V470" i="1" s="1"/>
  <c r="X470" i="1" s="1"/>
  <c r="C470" i="1"/>
  <c r="K470" i="1" s="1"/>
  <c r="W469" i="1"/>
  <c r="R469" i="1"/>
  <c r="Q469" i="1"/>
  <c r="P469" i="1"/>
  <c r="C469" i="1"/>
  <c r="K469" i="1" s="1"/>
  <c r="W468" i="1"/>
  <c r="R468" i="1"/>
  <c r="Q468" i="1"/>
  <c r="P468" i="1"/>
  <c r="W467" i="1"/>
  <c r="R467" i="1"/>
  <c r="Q467" i="1"/>
  <c r="P467" i="1"/>
  <c r="C467" i="1"/>
  <c r="W466" i="1"/>
  <c r="R466" i="1"/>
  <c r="Q466" i="1"/>
  <c r="P466" i="1"/>
  <c r="D466" i="1"/>
  <c r="C466" i="1"/>
  <c r="W465" i="1"/>
  <c r="R465" i="1"/>
  <c r="Q465" i="1"/>
  <c r="P465" i="1"/>
  <c r="D465" i="1" s="1"/>
  <c r="W464" i="1"/>
  <c r="R464" i="1"/>
  <c r="Q464" i="1"/>
  <c r="P464" i="1"/>
  <c r="W463" i="1"/>
  <c r="R463" i="1"/>
  <c r="Q463" i="1"/>
  <c r="P463" i="1"/>
  <c r="C463" i="1"/>
  <c r="Y462" i="1"/>
  <c r="Z462" i="1" s="1"/>
  <c r="X462" i="1"/>
  <c r="W462" i="1"/>
  <c r="R462" i="1"/>
  <c r="Q462" i="1"/>
  <c r="P462" i="1"/>
  <c r="D462" i="1"/>
  <c r="V462" i="1" s="1"/>
  <c r="C462" i="1"/>
  <c r="K462" i="1" s="1"/>
  <c r="W461" i="1"/>
  <c r="R461" i="1"/>
  <c r="Q461" i="1"/>
  <c r="P461" i="1"/>
  <c r="W460" i="1"/>
  <c r="R460" i="1"/>
  <c r="Q460" i="1"/>
  <c r="P460" i="1"/>
  <c r="Y459" i="1"/>
  <c r="Z459" i="1" s="1"/>
  <c r="W459" i="1"/>
  <c r="V459" i="1"/>
  <c r="X459" i="1" s="1"/>
  <c r="R459" i="1"/>
  <c r="Q459" i="1"/>
  <c r="P459" i="1"/>
  <c r="D459" i="1"/>
  <c r="C459" i="1"/>
  <c r="K459" i="1" s="1"/>
  <c r="W458" i="1"/>
  <c r="R458" i="1"/>
  <c r="Q458" i="1"/>
  <c r="P458" i="1"/>
  <c r="D458" i="1"/>
  <c r="C458" i="1"/>
  <c r="W457" i="1"/>
  <c r="R457" i="1"/>
  <c r="Q457" i="1"/>
  <c r="P457" i="1"/>
  <c r="W456" i="1"/>
  <c r="R456" i="1"/>
  <c r="Q456" i="1"/>
  <c r="P456" i="1"/>
  <c r="Y455" i="1"/>
  <c r="Z455" i="1" s="1"/>
  <c r="X455" i="1"/>
  <c r="W455" i="1"/>
  <c r="R455" i="1"/>
  <c r="Q455" i="1"/>
  <c r="P455" i="1"/>
  <c r="D455" i="1"/>
  <c r="V455" i="1" s="1"/>
  <c r="C455" i="1"/>
  <c r="K455" i="1" s="1"/>
  <c r="W454" i="1"/>
  <c r="R454" i="1"/>
  <c r="Q454" i="1"/>
  <c r="P454" i="1"/>
  <c r="W453" i="1"/>
  <c r="R453" i="1"/>
  <c r="Q453" i="1"/>
  <c r="P453" i="1"/>
  <c r="Y452" i="1"/>
  <c r="Z452" i="1" s="1"/>
  <c r="W452" i="1"/>
  <c r="R452" i="1"/>
  <c r="Q452" i="1"/>
  <c r="P452" i="1"/>
  <c r="K452" i="1"/>
  <c r="D452" i="1"/>
  <c r="V452" i="1" s="1"/>
  <c r="C452" i="1"/>
  <c r="W451" i="1"/>
  <c r="R451" i="1"/>
  <c r="Q451" i="1"/>
  <c r="P451" i="1"/>
  <c r="W450" i="1"/>
  <c r="R450" i="1"/>
  <c r="Q450" i="1"/>
  <c r="P450" i="1"/>
  <c r="W449" i="1"/>
  <c r="R449" i="1"/>
  <c r="Q449" i="1"/>
  <c r="P449" i="1"/>
  <c r="C449" i="1"/>
  <c r="W448" i="1"/>
  <c r="R448" i="1"/>
  <c r="Q448" i="1"/>
  <c r="P448" i="1"/>
  <c r="Z447" i="1"/>
  <c r="W447" i="1"/>
  <c r="V447" i="1"/>
  <c r="R447" i="1"/>
  <c r="Q447" i="1"/>
  <c r="P447" i="1"/>
  <c r="K447" i="1"/>
  <c r="D447" i="1"/>
  <c r="Y447" i="1" s="1"/>
  <c r="C447" i="1"/>
  <c r="W446" i="1"/>
  <c r="R446" i="1"/>
  <c r="Q446" i="1"/>
  <c r="P446" i="1"/>
  <c r="D446" i="1"/>
  <c r="W445" i="1"/>
  <c r="R445" i="1"/>
  <c r="Q445" i="1"/>
  <c r="P445" i="1"/>
  <c r="W444" i="1"/>
  <c r="R444" i="1"/>
  <c r="Q444" i="1"/>
  <c r="P444" i="1"/>
  <c r="W443" i="1"/>
  <c r="R443" i="1"/>
  <c r="Q443" i="1"/>
  <c r="C443" i="1" s="1"/>
  <c r="P443" i="1"/>
  <c r="W442" i="1"/>
  <c r="R442" i="1"/>
  <c r="Q442" i="1"/>
  <c r="P442" i="1"/>
  <c r="D442" i="1"/>
  <c r="W441" i="1"/>
  <c r="R441" i="1"/>
  <c r="Q441" i="1"/>
  <c r="P441" i="1"/>
  <c r="W440" i="1"/>
  <c r="R440" i="1"/>
  <c r="Q440" i="1"/>
  <c r="P440" i="1"/>
  <c r="W439" i="1"/>
  <c r="R439" i="1"/>
  <c r="Q439" i="1"/>
  <c r="P439" i="1"/>
  <c r="W438" i="1"/>
  <c r="R438" i="1"/>
  <c r="Q438" i="1"/>
  <c r="P438" i="1"/>
  <c r="W437" i="1"/>
  <c r="R437" i="1"/>
  <c r="Q437" i="1"/>
  <c r="P437" i="1"/>
  <c r="W436" i="1"/>
  <c r="R436" i="1"/>
  <c r="Q436" i="1"/>
  <c r="P436" i="1"/>
  <c r="W435" i="1"/>
  <c r="R435" i="1"/>
  <c r="Q435" i="1"/>
  <c r="P435" i="1"/>
  <c r="W434" i="1"/>
  <c r="R434" i="1"/>
  <c r="Q434" i="1"/>
  <c r="P434" i="1"/>
  <c r="W433" i="1"/>
  <c r="R433" i="1"/>
  <c r="Q433" i="1"/>
  <c r="P433" i="1"/>
  <c r="D433" i="1"/>
  <c r="V433" i="1" s="1"/>
  <c r="X433" i="1" s="1"/>
  <c r="W432" i="1"/>
  <c r="R432" i="1"/>
  <c r="Q432" i="1"/>
  <c r="P432" i="1"/>
  <c r="W431" i="1"/>
  <c r="R431" i="1"/>
  <c r="Q431" i="1"/>
  <c r="P431" i="1"/>
  <c r="W430" i="1"/>
  <c r="R430" i="1"/>
  <c r="Q430" i="1"/>
  <c r="P430" i="1"/>
  <c r="W429" i="1"/>
  <c r="R429" i="1"/>
  <c r="C429" i="1" s="1"/>
  <c r="Q429" i="1"/>
  <c r="P429" i="1"/>
  <c r="W428" i="1"/>
  <c r="V428" i="1"/>
  <c r="X428" i="1" s="1"/>
  <c r="R428" i="1"/>
  <c r="Q428" i="1"/>
  <c r="P428" i="1"/>
  <c r="D428" i="1" s="1"/>
  <c r="Y428" i="1" s="1"/>
  <c r="Z428" i="1" s="1"/>
  <c r="K428" i="1"/>
  <c r="C428" i="1"/>
  <c r="W427" i="1"/>
  <c r="R427" i="1"/>
  <c r="Q427" i="1"/>
  <c r="P427" i="1"/>
  <c r="W426" i="1"/>
  <c r="R426" i="1"/>
  <c r="Q426" i="1"/>
  <c r="P426" i="1"/>
  <c r="W425" i="1"/>
  <c r="R425" i="1"/>
  <c r="Q425" i="1"/>
  <c r="P425" i="1"/>
  <c r="W424" i="1"/>
  <c r="R424" i="1"/>
  <c r="Q424" i="1"/>
  <c r="P424" i="1"/>
  <c r="W423" i="1"/>
  <c r="R423" i="1"/>
  <c r="Q423" i="1"/>
  <c r="P423" i="1"/>
  <c r="W422" i="1"/>
  <c r="R422" i="1"/>
  <c r="Q422" i="1"/>
  <c r="P422" i="1"/>
  <c r="W421" i="1"/>
  <c r="R421" i="1"/>
  <c r="Q421" i="1"/>
  <c r="P421" i="1"/>
  <c r="C421" i="1"/>
  <c r="W420" i="1"/>
  <c r="R420" i="1"/>
  <c r="Q420" i="1"/>
  <c r="P420" i="1"/>
  <c r="C420" i="1"/>
  <c r="Z419" i="1"/>
  <c r="W419" i="1"/>
  <c r="V419" i="1"/>
  <c r="X419" i="1" s="1"/>
  <c r="R419" i="1"/>
  <c r="D419" i="1" s="1"/>
  <c r="Y419" i="1" s="1"/>
  <c r="Q419" i="1"/>
  <c r="P419" i="1"/>
  <c r="K419" i="1"/>
  <c r="C419" i="1"/>
  <c r="W418" i="1"/>
  <c r="R418" i="1"/>
  <c r="Q418" i="1"/>
  <c r="P418" i="1"/>
  <c r="D418" i="1"/>
  <c r="Y418" i="1" s="1"/>
  <c r="Z418" i="1" s="1"/>
  <c r="C418" i="1"/>
  <c r="W417" i="1"/>
  <c r="R417" i="1"/>
  <c r="Q417" i="1"/>
  <c r="P417" i="1"/>
  <c r="C417" i="1"/>
  <c r="W416" i="1"/>
  <c r="R416" i="1"/>
  <c r="Q416" i="1"/>
  <c r="P416" i="1"/>
  <c r="W415" i="1"/>
  <c r="R415" i="1"/>
  <c r="Q415" i="1"/>
  <c r="P415" i="1"/>
  <c r="W414" i="1"/>
  <c r="R414" i="1"/>
  <c r="Q414" i="1"/>
  <c r="C414" i="1" s="1"/>
  <c r="P414" i="1"/>
  <c r="D414" i="1"/>
  <c r="W413" i="1"/>
  <c r="R413" i="1"/>
  <c r="Q413" i="1"/>
  <c r="P413" i="1"/>
  <c r="C413" i="1" s="1"/>
  <c r="K413" i="1" s="1"/>
  <c r="W412" i="1"/>
  <c r="R412" i="1"/>
  <c r="Q412" i="1"/>
  <c r="P412" i="1"/>
  <c r="C412" i="1"/>
  <c r="W411" i="1"/>
  <c r="R411" i="1"/>
  <c r="Q411" i="1"/>
  <c r="P411" i="1"/>
  <c r="W410" i="1"/>
  <c r="R410" i="1"/>
  <c r="Q410" i="1"/>
  <c r="P410" i="1"/>
  <c r="W409" i="1"/>
  <c r="R409" i="1"/>
  <c r="Q409" i="1"/>
  <c r="P409" i="1"/>
  <c r="D409" i="1"/>
  <c r="C409" i="1"/>
  <c r="W408" i="1"/>
  <c r="R408" i="1"/>
  <c r="C408" i="1" s="1"/>
  <c r="Q408" i="1"/>
  <c r="P408" i="1"/>
  <c r="K408" i="1"/>
  <c r="D408" i="1"/>
  <c r="W407" i="1"/>
  <c r="V407" i="1"/>
  <c r="X407" i="1" s="1"/>
  <c r="R407" i="1"/>
  <c r="Q407" i="1"/>
  <c r="P407" i="1"/>
  <c r="D407" i="1"/>
  <c r="Y407" i="1" s="1"/>
  <c r="Z407" i="1" s="1"/>
  <c r="C407" i="1"/>
  <c r="Y406" i="1"/>
  <c r="Z406" i="1" s="1"/>
  <c r="X406" i="1"/>
  <c r="W406" i="1"/>
  <c r="R406" i="1"/>
  <c r="Q406" i="1"/>
  <c r="P406" i="1"/>
  <c r="D406" i="1" s="1"/>
  <c r="V406" i="1" s="1"/>
  <c r="C406" i="1"/>
  <c r="K406" i="1" s="1"/>
  <c r="W405" i="1"/>
  <c r="R405" i="1"/>
  <c r="Q405" i="1"/>
  <c r="P405" i="1"/>
  <c r="W404" i="1"/>
  <c r="R404" i="1"/>
  <c r="Q404" i="1"/>
  <c r="P404" i="1"/>
  <c r="W403" i="1"/>
  <c r="R403" i="1"/>
  <c r="Q403" i="1"/>
  <c r="P403" i="1"/>
  <c r="X402" i="1"/>
  <c r="W402" i="1"/>
  <c r="V402" i="1"/>
  <c r="R402" i="1"/>
  <c r="Q402" i="1"/>
  <c r="P402" i="1"/>
  <c r="D402" i="1"/>
  <c r="Y402" i="1" s="1"/>
  <c r="Z402" i="1" s="1"/>
  <c r="C402" i="1"/>
  <c r="X401" i="1"/>
  <c r="W401" i="1"/>
  <c r="R401" i="1"/>
  <c r="Q401" i="1"/>
  <c r="P401" i="1"/>
  <c r="D401" i="1"/>
  <c r="V401" i="1" s="1"/>
  <c r="C401" i="1"/>
  <c r="W400" i="1"/>
  <c r="R400" i="1"/>
  <c r="Q400" i="1"/>
  <c r="P400" i="1"/>
  <c r="W399" i="1"/>
  <c r="R399" i="1"/>
  <c r="Q399" i="1"/>
  <c r="P399" i="1"/>
  <c r="W398" i="1"/>
  <c r="R398" i="1"/>
  <c r="Q398" i="1"/>
  <c r="P398" i="1"/>
  <c r="W397" i="1"/>
  <c r="R397" i="1"/>
  <c r="C397" i="1" s="1"/>
  <c r="Q397" i="1"/>
  <c r="P397" i="1"/>
  <c r="W396" i="1"/>
  <c r="R396" i="1"/>
  <c r="Q396" i="1"/>
  <c r="P396" i="1"/>
  <c r="K396" i="1"/>
  <c r="C396" i="1"/>
  <c r="Y395" i="1"/>
  <c r="Z395" i="1" s="1"/>
  <c r="W395" i="1"/>
  <c r="R395" i="1"/>
  <c r="Q395" i="1"/>
  <c r="P395" i="1"/>
  <c r="D395" i="1" s="1"/>
  <c r="V395" i="1" s="1"/>
  <c r="X395" i="1" s="1"/>
  <c r="C395" i="1"/>
  <c r="K395" i="1" s="1"/>
  <c r="W394" i="1"/>
  <c r="R394" i="1"/>
  <c r="Q394" i="1"/>
  <c r="P394" i="1"/>
  <c r="D394" i="1"/>
  <c r="W393" i="1"/>
  <c r="R393" i="1"/>
  <c r="Q393" i="1"/>
  <c r="P393" i="1"/>
  <c r="W392" i="1"/>
  <c r="R392" i="1"/>
  <c r="Q392" i="1"/>
  <c r="P392" i="1"/>
  <c r="W391" i="1"/>
  <c r="R391" i="1"/>
  <c r="Q391" i="1"/>
  <c r="P391" i="1"/>
  <c r="W390" i="1"/>
  <c r="R390" i="1"/>
  <c r="Q390" i="1"/>
  <c r="P390" i="1"/>
  <c r="W389" i="1"/>
  <c r="R389" i="1"/>
  <c r="Q389" i="1"/>
  <c r="P389" i="1"/>
  <c r="W388" i="1"/>
  <c r="R388" i="1"/>
  <c r="Q388" i="1"/>
  <c r="P388" i="1"/>
  <c r="W387" i="1"/>
  <c r="R387" i="1"/>
  <c r="Q387" i="1"/>
  <c r="P387" i="1"/>
  <c r="W386" i="1"/>
  <c r="R386" i="1"/>
  <c r="Q386" i="1"/>
  <c r="P386" i="1"/>
  <c r="W385" i="1"/>
  <c r="R385" i="1"/>
  <c r="Q385" i="1"/>
  <c r="P385" i="1"/>
  <c r="K385" i="1"/>
  <c r="C385" i="1"/>
  <c r="W384" i="1"/>
  <c r="R384" i="1"/>
  <c r="Q384" i="1"/>
  <c r="P384" i="1"/>
  <c r="D384" i="1"/>
  <c r="X383" i="1"/>
  <c r="W383" i="1"/>
  <c r="R383" i="1"/>
  <c r="Q383" i="1"/>
  <c r="P383" i="1"/>
  <c r="K383" i="1"/>
  <c r="D383" i="1"/>
  <c r="V383" i="1" s="1"/>
  <c r="C383" i="1"/>
  <c r="W382" i="1"/>
  <c r="R382" i="1"/>
  <c r="Q382" i="1"/>
  <c r="D382" i="1" s="1"/>
  <c r="P382" i="1"/>
  <c r="W381" i="1"/>
  <c r="R381" i="1"/>
  <c r="Q381" i="1"/>
  <c r="P381" i="1"/>
  <c r="W380" i="1"/>
  <c r="R380" i="1"/>
  <c r="Q380" i="1"/>
  <c r="P380" i="1"/>
  <c r="W379" i="1"/>
  <c r="R379" i="1"/>
  <c r="Q379" i="1"/>
  <c r="P379" i="1"/>
  <c r="W378" i="1"/>
  <c r="R378" i="1"/>
  <c r="Q378" i="1"/>
  <c r="P378" i="1"/>
  <c r="W377" i="1"/>
  <c r="R377" i="1"/>
  <c r="Q377" i="1"/>
  <c r="P377" i="1"/>
  <c r="W376" i="1"/>
  <c r="R376" i="1"/>
  <c r="Q376" i="1"/>
  <c r="P376" i="1"/>
  <c r="W375" i="1"/>
  <c r="R375" i="1"/>
  <c r="Q375" i="1"/>
  <c r="P375" i="1"/>
  <c r="W374" i="1"/>
  <c r="R374" i="1"/>
  <c r="Q374" i="1"/>
  <c r="P374" i="1"/>
  <c r="W373" i="1"/>
  <c r="R373" i="1"/>
  <c r="Q373" i="1"/>
  <c r="P373" i="1"/>
  <c r="Y372" i="1"/>
  <c r="Z372" i="1" s="1"/>
  <c r="W372" i="1"/>
  <c r="X372" i="1" s="1"/>
  <c r="R372" i="1"/>
  <c r="Q372" i="1"/>
  <c r="P372" i="1"/>
  <c r="D372" i="1"/>
  <c r="V372" i="1" s="1"/>
  <c r="C372" i="1"/>
  <c r="W371" i="1"/>
  <c r="R371" i="1"/>
  <c r="Q371" i="1"/>
  <c r="P371" i="1"/>
  <c r="C371" i="1" s="1"/>
  <c r="W370" i="1"/>
  <c r="R370" i="1"/>
  <c r="Q370" i="1"/>
  <c r="P370" i="1"/>
  <c r="W369" i="1"/>
  <c r="R369" i="1"/>
  <c r="Q369" i="1"/>
  <c r="C369" i="1" s="1"/>
  <c r="P369" i="1"/>
  <c r="K369" i="1"/>
  <c r="W368" i="1"/>
  <c r="R368" i="1"/>
  <c r="Q368" i="1"/>
  <c r="P368" i="1"/>
  <c r="Y367" i="1"/>
  <c r="Z367" i="1" s="1"/>
  <c r="X367" i="1"/>
  <c r="W367" i="1"/>
  <c r="R367" i="1"/>
  <c r="Q367" i="1"/>
  <c r="P367" i="1"/>
  <c r="D367" i="1"/>
  <c r="V367" i="1" s="1"/>
  <c r="C367" i="1"/>
  <c r="K367" i="1" s="1"/>
  <c r="W366" i="1"/>
  <c r="R366" i="1"/>
  <c r="Q366" i="1"/>
  <c r="P366" i="1"/>
  <c r="W365" i="1"/>
  <c r="R365" i="1"/>
  <c r="Q365" i="1"/>
  <c r="P365" i="1"/>
  <c r="W364" i="1"/>
  <c r="R364" i="1"/>
  <c r="Q364" i="1"/>
  <c r="P364" i="1"/>
  <c r="W363" i="1"/>
  <c r="R363" i="1"/>
  <c r="Q363" i="1"/>
  <c r="P363" i="1"/>
  <c r="W362" i="1"/>
  <c r="R362" i="1"/>
  <c r="Q362" i="1"/>
  <c r="P362" i="1"/>
  <c r="Z361" i="1"/>
  <c r="W361" i="1"/>
  <c r="V361" i="1"/>
  <c r="X361" i="1" s="1"/>
  <c r="R361" i="1"/>
  <c r="Q361" i="1"/>
  <c r="P361" i="1"/>
  <c r="K361" i="1"/>
  <c r="D361" i="1"/>
  <c r="Y361" i="1" s="1"/>
  <c r="C361" i="1"/>
  <c r="W360" i="1"/>
  <c r="R360" i="1"/>
  <c r="Q360" i="1"/>
  <c r="P360" i="1"/>
  <c r="W359" i="1"/>
  <c r="R359" i="1"/>
  <c r="C359" i="1" s="1"/>
  <c r="Q359" i="1"/>
  <c r="P359" i="1"/>
  <c r="W358" i="1"/>
  <c r="R358" i="1"/>
  <c r="Q358" i="1"/>
  <c r="P358" i="1"/>
  <c r="D358" i="1"/>
  <c r="W357" i="1"/>
  <c r="R357" i="1"/>
  <c r="Q357" i="1"/>
  <c r="P357" i="1"/>
  <c r="W356" i="1"/>
  <c r="R356" i="1"/>
  <c r="Q356" i="1"/>
  <c r="P356" i="1"/>
  <c r="W355" i="1"/>
  <c r="R355" i="1"/>
  <c r="Q355" i="1"/>
  <c r="P355" i="1"/>
  <c r="R354" i="1"/>
  <c r="Q354" i="1"/>
  <c r="P354" i="1"/>
  <c r="W353" i="1"/>
  <c r="V353" i="1"/>
  <c r="X353" i="1" s="1"/>
  <c r="R353" i="1"/>
  <c r="Q353" i="1"/>
  <c r="P353" i="1"/>
  <c r="D353" i="1"/>
  <c r="Y353" i="1" s="1"/>
  <c r="Z353" i="1" s="1"/>
  <c r="C353" i="1"/>
  <c r="K353" i="1" s="1"/>
  <c r="W352" i="1"/>
  <c r="R352" i="1"/>
  <c r="Q352" i="1"/>
  <c r="P352" i="1"/>
  <c r="D352" i="1"/>
  <c r="W351" i="1"/>
  <c r="R351" i="1"/>
  <c r="Q351" i="1"/>
  <c r="P351" i="1"/>
  <c r="W350" i="1"/>
  <c r="R350" i="1"/>
  <c r="Q350" i="1"/>
  <c r="P350" i="1"/>
  <c r="D350" i="1"/>
  <c r="W349" i="1"/>
  <c r="R349" i="1"/>
  <c r="Q349" i="1"/>
  <c r="P349" i="1"/>
  <c r="Y348" i="1"/>
  <c r="Z348" i="1" s="1"/>
  <c r="W348" i="1"/>
  <c r="R348" i="1"/>
  <c r="Q348" i="1"/>
  <c r="P348" i="1"/>
  <c r="D348" i="1"/>
  <c r="V348" i="1" s="1"/>
  <c r="X348" i="1" s="1"/>
  <c r="W347" i="1"/>
  <c r="R347" i="1"/>
  <c r="Q347" i="1"/>
  <c r="P347" i="1"/>
  <c r="D347" i="1"/>
  <c r="W346" i="1"/>
  <c r="R346" i="1"/>
  <c r="Q346" i="1"/>
  <c r="P346" i="1"/>
  <c r="W345" i="1"/>
  <c r="R345" i="1"/>
  <c r="Q345" i="1"/>
  <c r="P345" i="1"/>
  <c r="C345" i="1"/>
  <c r="W344" i="1"/>
  <c r="R344" i="1"/>
  <c r="Q344" i="1"/>
  <c r="P344" i="1"/>
  <c r="W343" i="1"/>
  <c r="R343" i="1"/>
  <c r="Q343" i="1"/>
  <c r="P343" i="1"/>
  <c r="D343" i="1"/>
  <c r="C343" i="1"/>
  <c r="W342" i="1"/>
  <c r="R342" i="1"/>
  <c r="Q342" i="1"/>
  <c r="C342" i="1" s="1"/>
  <c r="P342" i="1"/>
  <c r="K342" i="1"/>
  <c r="D342" i="1"/>
  <c r="Y342" i="1" s="1"/>
  <c r="Z342" i="1" s="1"/>
  <c r="W341" i="1"/>
  <c r="R341" i="1"/>
  <c r="Q341" i="1"/>
  <c r="P341" i="1"/>
  <c r="D341" i="1" s="1"/>
  <c r="W340" i="1"/>
  <c r="R340" i="1"/>
  <c r="K340" i="1" s="1"/>
  <c r="Q340" i="1"/>
  <c r="P340" i="1"/>
  <c r="C340" i="1"/>
  <c r="W339" i="1"/>
  <c r="R339" i="1"/>
  <c r="Q339" i="1"/>
  <c r="P339" i="1"/>
  <c r="C339" i="1"/>
  <c r="W338" i="1"/>
  <c r="R338" i="1"/>
  <c r="Q338" i="1"/>
  <c r="P338" i="1"/>
  <c r="C338" i="1" s="1"/>
  <c r="W337" i="1"/>
  <c r="R337" i="1"/>
  <c r="Q337" i="1"/>
  <c r="P337" i="1"/>
  <c r="C337" i="1" s="1"/>
  <c r="D337" i="1"/>
  <c r="W336" i="1"/>
  <c r="R336" i="1"/>
  <c r="Q336" i="1"/>
  <c r="C336" i="1" s="1"/>
  <c r="P336" i="1"/>
  <c r="K336" i="1"/>
  <c r="D336" i="1"/>
  <c r="W335" i="1"/>
  <c r="R335" i="1"/>
  <c r="Q335" i="1"/>
  <c r="P335" i="1"/>
  <c r="W334" i="1"/>
  <c r="R334" i="1"/>
  <c r="Q334" i="1"/>
  <c r="P334" i="1"/>
  <c r="C334" i="1"/>
  <c r="W333" i="1"/>
  <c r="R333" i="1"/>
  <c r="Q333" i="1"/>
  <c r="P333" i="1"/>
  <c r="W332" i="1"/>
  <c r="R332" i="1"/>
  <c r="Q332" i="1"/>
  <c r="C332" i="1" s="1"/>
  <c r="P332" i="1"/>
  <c r="W331" i="1"/>
  <c r="R331" i="1"/>
  <c r="Q331" i="1"/>
  <c r="P331" i="1"/>
  <c r="D331" i="1" s="1"/>
  <c r="W330" i="1"/>
  <c r="R330" i="1"/>
  <c r="Q330" i="1"/>
  <c r="P330" i="1"/>
  <c r="K330" i="1"/>
  <c r="C330" i="1"/>
  <c r="W329" i="1"/>
  <c r="R329" i="1"/>
  <c r="Q329" i="1"/>
  <c r="P329" i="1"/>
  <c r="C329" i="1"/>
  <c r="Y328" i="1"/>
  <c r="Z328" i="1" s="1"/>
  <c r="W328" i="1"/>
  <c r="R328" i="1"/>
  <c r="Q328" i="1"/>
  <c r="P328" i="1"/>
  <c r="D328" i="1"/>
  <c r="V328" i="1" s="1"/>
  <c r="X328" i="1" s="1"/>
  <c r="W327" i="1"/>
  <c r="R327" i="1"/>
  <c r="Q327" i="1"/>
  <c r="P327" i="1"/>
  <c r="W326" i="1"/>
  <c r="R326" i="1"/>
  <c r="Q326" i="1"/>
  <c r="P326" i="1"/>
  <c r="W325" i="1"/>
  <c r="R325" i="1"/>
  <c r="Q325" i="1"/>
  <c r="P325" i="1"/>
  <c r="Y324" i="1"/>
  <c r="Z324" i="1" s="1"/>
  <c r="W324" i="1"/>
  <c r="V324" i="1"/>
  <c r="R324" i="1"/>
  <c r="Q324" i="1"/>
  <c r="P324" i="1"/>
  <c r="K324" i="1"/>
  <c r="D324" i="1"/>
  <c r="C324" i="1"/>
  <c r="W323" i="1"/>
  <c r="R323" i="1"/>
  <c r="Q323" i="1"/>
  <c r="P323" i="1"/>
  <c r="W322" i="1"/>
  <c r="R322" i="1"/>
  <c r="Q322" i="1"/>
  <c r="P322" i="1"/>
  <c r="W321" i="1"/>
  <c r="R321" i="1"/>
  <c r="Q321" i="1"/>
  <c r="P321" i="1"/>
  <c r="W320" i="1"/>
  <c r="R320" i="1"/>
  <c r="Q320" i="1"/>
  <c r="P320" i="1"/>
  <c r="W319" i="1"/>
  <c r="R319" i="1"/>
  <c r="Q319" i="1"/>
  <c r="P319" i="1"/>
  <c r="W318" i="1"/>
  <c r="R318" i="1"/>
  <c r="Q318" i="1"/>
  <c r="P318" i="1"/>
  <c r="W317" i="1"/>
  <c r="R317" i="1"/>
  <c r="Q317" i="1"/>
  <c r="P317" i="1"/>
  <c r="W316" i="1"/>
  <c r="R316" i="1"/>
  <c r="Q316" i="1"/>
  <c r="P316" i="1"/>
  <c r="W315" i="1"/>
  <c r="R315" i="1"/>
  <c r="C315" i="1" s="1"/>
  <c r="Q315" i="1"/>
  <c r="P315" i="1"/>
  <c r="D315" i="1"/>
  <c r="W314" i="1"/>
  <c r="R314" i="1"/>
  <c r="Q314" i="1"/>
  <c r="P314" i="1"/>
  <c r="W313" i="1"/>
  <c r="R313" i="1"/>
  <c r="Q313" i="1"/>
  <c r="P313" i="1"/>
  <c r="W312" i="1"/>
  <c r="R312" i="1"/>
  <c r="Q312" i="1"/>
  <c r="P312" i="1"/>
  <c r="D312" i="1"/>
  <c r="W311" i="1"/>
  <c r="R311" i="1"/>
  <c r="Q311" i="1"/>
  <c r="P311" i="1"/>
  <c r="W310" i="1"/>
  <c r="R310" i="1"/>
  <c r="Q310" i="1"/>
  <c r="P310" i="1"/>
  <c r="W309" i="1"/>
  <c r="R309" i="1"/>
  <c r="Q309" i="1"/>
  <c r="P309" i="1"/>
  <c r="D309" i="1" s="1"/>
  <c r="Y308" i="1"/>
  <c r="Z308" i="1" s="1"/>
  <c r="W308" i="1"/>
  <c r="R308" i="1"/>
  <c r="C308" i="1" s="1"/>
  <c r="Q308" i="1"/>
  <c r="P308" i="1"/>
  <c r="D308" i="1"/>
  <c r="V308" i="1" s="1"/>
  <c r="X308" i="1" s="1"/>
  <c r="W307" i="1"/>
  <c r="R307" i="1"/>
  <c r="Q307" i="1"/>
  <c r="P307" i="1"/>
  <c r="W306" i="1"/>
  <c r="R306" i="1"/>
  <c r="Q306" i="1"/>
  <c r="P306" i="1"/>
  <c r="C306" i="1"/>
  <c r="W305" i="1"/>
  <c r="R305" i="1"/>
  <c r="Q305" i="1"/>
  <c r="P305" i="1"/>
  <c r="D305" i="1" s="1"/>
  <c r="W304" i="1"/>
  <c r="R304" i="1"/>
  <c r="Q304" i="1"/>
  <c r="P304" i="1"/>
  <c r="W303" i="1"/>
  <c r="R303" i="1"/>
  <c r="Q303" i="1"/>
  <c r="P303" i="1"/>
  <c r="W302" i="1"/>
  <c r="V302" i="1"/>
  <c r="X302" i="1" s="1"/>
  <c r="R302" i="1"/>
  <c r="Q302" i="1"/>
  <c r="P302" i="1"/>
  <c r="K302" i="1"/>
  <c r="D302" i="1"/>
  <c r="Y302" i="1" s="1"/>
  <c r="Z302" i="1" s="1"/>
  <c r="C302" i="1"/>
  <c r="W301" i="1"/>
  <c r="R301" i="1"/>
  <c r="Q301" i="1"/>
  <c r="P301" i="1"/>
  <c r="W300" i="1"/>
  <c r="R300" i="1"/>
  <c r="Q300" i="1"/>
  <c r="P300" i="1"/>
  <c r="W299" i="1"/>
  <c r="R299" i="1"/>
  <c r="Q299" i="1"/>
  <c r="C299" i="1" s="1"/>
  <c r="P299" i="1"/>
  <c r="Z298" i="1"/>
  <c r="W298" i="1"/>
  <c r="X298" i="1" s="1"/>
  <c r="V298" i="1"/>
  <c r="R298" i="1"/>
  <c r="D298" i="1" s="1"/>
  <c r="Y298" i="1" s="1"/>
  <c r="Q298" i="1"/>
  <c r="P298" i="1"/>
  <c r="C298" i="1"/>
  <c r="K298" i="1" s="1"/>
  <c r="Y297" i="1"/>
  <c r="Z297" i="1" s="1"/>
  <c r="X297" i="1"/>
  <c r="W297" i="1"/>
  <c r="R297" i="1"/>
  <c r="Q297" i="1"/>
  <c r="P297" i="1"/>
  <c r="D297" i="1"/>
  <c r="V297" i="1" s="1"/>
  <c r="C297" i="1"/>
  <c r="K297" i="1" s="1"/>
  <c r="W296" i="1"/>
  <c r="R296" i="1"/>
  <c r="Q296" i="1"/>
  <c r="P296" i="1"/>
  <c r="W295" i="1"/>
  <c r="R295" i="1"/>
  <c r="Q295" i="1"/>
  <c r="P295" i="1"/>
  <c r="W294" i="1"/>
  <c r="R294" i="1"/>
  <c r="Q294" i="1"/>
  <c r="P294" i="1"/>
  <c r="W293" i="1"/>
  <c r="V293" i="1"/>
  <c r="X293" i="1" s="1"/>
  <c r="R293" i="1"/>
  <c r="Q293" i="1"/>
  <c r="P293" i="1"/>
  <c r="D293" i="1"/>
  <c r="Y293" i="1" s="1"/>
  <c r="Z293" i="1" s="1"/>
  <c r="C293" i="1"/>
  <c r="W292" i="1"/>
  <c r="R292" i="1"/>
  <c r="Q292" i="1"/>
  <c r="P292" i="1"/>
  <c r="W291" i="1"/>
  <c r="R291" i="1"/>
  <c r="Q291" i="1"/>
  <c r="P291" i="1"/>
  <c r="W290" i="1"/>
  <c r="R290" i="1"/>
  <c r="Q290" i="1"/>
  <c r="P290" i="1"/>
  <c r="W289" i="1"/>
  <c r="R289" i="1"/>
  <c r="Q289" i="1"/>
  <c r="P289" i="1"/>
  <c r="W288" i="1"/>
  <c r="R288" i="1"/>
  <c r="Q288" i="1"/>
  <c r="P288" i="1"/>
  <c r="W287" i="1"/>
  <c r="R287" i="1"/>
  <c r="Q287" i="1"/>
  <c r="P287" i="1"/>
  <c r="W286" i="1"/>
  <c r="R286" i="1"/>
  <c r="Q286" i="1"/>
  <c r="P286" i="1"/>
  <c r="W285" i="1"/>
  <c r="R285" i="1"/>
  <c r="Q285" i="1"/>
  <c r="P285" i="1"/>
  <c r="W284" i="1"/>
  <c r="R284" i="1"/>
  <c r="Q284" i="1"/>
  <c r="P284" i="1"/>
  <c r="D284" i="1"/>
  <c r="W283" i="1"/>
  <c r="R283" i="1"/>
  <c r="Q283" i="1"/>
  <c r="P283" i="1"/>
  <c r="W282" i="1"/>
  <c r="R282" i="1"/>
  <c r="Q282" i="1"/>
  <c r="P282" i="1"/>
  <c r="D282" i="1"/>
  <c r="V282" i="1" s="1"/>
  <c r="X282" i="1" s="1"/>
  <c r="C282" i="1"/>
  <c r="K282" i="1" s="1"/>
  <c r="W281" i="1"/>
  <c r="R281" i="1"/>
  <c r="Q281" i="1"/>
  <c r="P281" i="1"/>
  <c r="W280" i="1"/>
  <c r="R280" i="1"/>
  <c r="Q280" i="1"/>
  <c r="P280" i="1"/>
  <c r="D280" i="1"/>
  <c r="Y279" i="1"/>
  <c r="Z279" i="1" s="1"/>
  <c r="W279" i="1"/>
  <c r="R279" i="1"/>
  <c r="Q279" i="1"/>
  <c r="D279" i="1" s="1"/>
  <c r="V279" i="1" s="1"/>
  <c r="X279" i="1" s="1"/>
  <c r="P279" i="1"/>
  <c r="W278" i="1"/>
  <c r="R278" i="1"/>
  <c r="Q278" i="1"/>
  <c r="P278" i="1"/>
  <c r="D278" i="1"/>
  <c r="W277" i="1"/>
  <c r="R277" i="1"/>
  <c r="Q277" i="1"/>
  <c r="P277" i="1"/>
  <c r="W276" i="1"/>
  <c r="R276" i="1"/>
  <c r="Q276" i="1"/>
  <c r="P276" i="1"/>
  <c r="K276" i="1"/>
  <c r="D276" i="1"/>
  <c r="C276" i="1"/>
  <c r="W275" i="1"/>
  <c r="R275" i="1"/>
  <c r="Q275" i="1"/>
  <c r="P275" i="1"/>
  <c r="W274" i="1"/>
  <c r="R274" i="1"/>
  <c r="Q274" i="1"/>
  <c r="P274" i="1"/>
  <c r="W273" i="1"/>
  <c r="R273" i="1"/>
  <c r="Q273" i="1"/>
  <c r="P273" i="1"/>
  <c r="W272" i="1"/>
  <c r="R272" i="1"/>
  <c r="Q272" i="1"/>
  <c r="P272" i="1"/>
  <c r="W271" i="1"/>
  <c r="R271" i="1"/>
  <c r="Q271" i="1"/>
  <c r="P271" i="1"/>
  <c r="W270" i="1"/>
  <c r="R270" i="1"/>
  <c r="Q270" i="1"/>
  <c r="P270" i="1"/>
  <c r="W269" i="1"/>
  <c r="R269" i="1"/>
  <c r="Q269" i="1"/>
  <c r="P269" i="1"/>
  <c r="W268" i="1"/>
  <c r="R268" i="1"/>
  <c r="Q268" i="1"/>
  <c r="P268" i="1"/>
  <c r="W267" i="1"/>
  <c r="R267" i="1"/>
  <c r="Q267" i="1"/>
  <c r="P267" i="1"/>
  <c r="W266" i="1"/>
  <c r="R266" i="1"/>
  <c r="Q266" i="1"/>
  <c r="P266" i="1"/>
  <c r="W265" i="1"/>
  <c r="R265" i="1"/>
  <c r="Q265" i="1"/>
  <c r="P265" i="1"/>
  <c r="K265" i="1" s="1"/>
  <c r="D265" i="1"/>
  <c r="V265" i="1" s="1"/>
  <c r="X265" i="1" s="1"/>
  <c r="C265" i="1"/>
  <c r="W264" i="1"/>
  <c r="R264" i="1"/>
  <c r="Q264" i="1"/>
  <c r="P264" i="1"/>
  <c r="D264" i="1"/>
  <c r="V264" i="1" s="1"/>
  <c r="X264" i="1" s="1"/>
  <c r="W263" i="1"/>
  <c r="R263" i="1"/>
  <c r="K263" i="1" s="1"/>
  <c r="Q263" i="1"/>
  <c r="P263" i="1"/>
  <c r="D263" i="1"/>
  <c r="V263" i="1" s="1"/>
  <c r="X263" i="1" s="1"/>
  <c r="C263" i="1"/>
  <c r="W262" i="1"/>
  <c r="R262" i="1"/>
  <c r="Q262" i="1"/>
  <c r="C262" i="1" s="1"/>
  <c r="P262" i="1"/>
  <c r="K262" i="1"/>
  <c r="D262" i="1"/>
  <c r="V262" i="1" s="1"/>
  <c r="X262" i="1" s="1"/>
  <c r="W261" i="1"/>
  <c r="R261" i="1"/>
  <c r="Q261" i="1"/>
  <c r="P261" i="1"/>
  <c r="W260" i="1"/>
  <c r="R260" i="1"/>
  <c r="K260" i="1" s="1"/>
  <c r="Q260" i="1"/>
  <c r="P260" i="1"/>
  <c r="C260" i="1"/>
  <c r="W259" i="1"/>
  <c r="R259" i="1"/>
  <c r="Q259" i="1"/>
  <c r="P259" i="1"/>
  <c r="C259" i="1"/>
  <c r="K259" i="1" s="1"/>
  <c r="W258" i="1"/>
  <c r="R258" i="1"/>
  <c r="Q258" i="1"/>
  <c r="P258" i="1"/>
  <c r="C258" i="1"/>
  <c r="W257" i="1"/>
  <c r="R257" i="1"/>
  <c r="Q257" i="1"/>
  <c r="P257" i="1"/>
  <c r="W256" i="1"/>
  <c r="R256" i="1"/>
  <c r="Q256" i="1"/>
  <c r="P256" i="1"/>
  <c r="D256" i="1"/>
  <c r="W255" i="1"/>
  <c r="R255" i="1"/>
  <c r="Q255" i="1"/>
  <c r="C255" i="1" s="1"/>
  <c r="P255" i="1"/>
  <c r="W254" i="1"/>
  <c r="R254" i="1"/>
  <c r="Q254" i="1"/>
  <c r="P254" i="1"/>
  <c r="W253" i="1"/>
  <c r="R253" i="1"/>
  <c r="Q253" i="1"/>
  <c r="P253" i="1"/>
  <c r="Y252" i="1"/>
  <c r="Z252" i="1" s="1"/>
  <c r="W252" i="1"/>
  <c r="R252" i="1"/>
  <c r="D252" i="1" s="1"/>
  <c r="V252" i="1" s="1"/>
  <c r="X252" i="1" s="1"/>
  <c r="Q252" i="1"/>
  <c r="P252" i="1"/>
  <c r="R251" i="1"/>
  <c r="Q251" i="1"/>
  <c r="P251" i="1"/>
  <c r="W250" i="1"/>
  <c r="R250" i="1"/>
  <c r="Q250" i="1"/>
  <c r="P250" i="1"/>
  <c r="Y249" i="1"/>
  <c r="Z249" i="1" s="1"/>
  <c r="W249" i="1"/>
  <c r="R249" i="1"/>
  <c r="D249" i="1" s="1"/>
  <c r="V249" i="1" s="1"/>
  <c r="X249" i="1" s="1"/>
  <c r="Q249" i="1"/>
  <c r="P249" i="1"/>
  <c r="C249" i="1"/>
  <c r="W248" i="1"/>
  <c r="R248" i="1"/>
  <c r="C248" i="1" s="1"/>
  <c r="Q248" i="1"/>
  <c r="P248" i="1"/>
  <c r="W247" i="1"/>
  <c r="R247" i="1"/>
  <c r="Q247" i="1"/>
  <c r="P247" i="1"/>
  <c r="W246" i="1"/>
  <c r="V246" i="1"/>
  <c r="X246" i="1" s="1"/>
  <c r="R246" i="1"/>
  <c r="Q246" i="1"/>
  <c r="P246" i="1"/>
  <c r="C246" i="1" s="1"/>
  <c r="K246" i="1"/>
  <c r="D246" i="1"/>
  <c r="Y246" i="1" s="1"/>
  <c r="Z246" i="1" s="1"/>
  <c r="W245" i="1"/>
  <c r="R245" i="1"/>
  <c r="Q245" i="1"/>
  <c r="P245" i="1"/>
  <c r="W244" i="1"/>
  <c r="X244" i="1" s="1"/>
  <c r="V244" i="1"/>
  <c r="R244" i="1"/>
  <c r="Q244" i="1"/>
  <c r="C244" i="1" s="1"/>
  <c r="P244" i="1"/>
  <c r="D244" i="1"/>
  <c r="Y244" i="1" s="1"/>
  <c r="Z244" i="1" s="1"/>
  <c r="W243" i="1"/>
  <c r="R243" i="1"/>
  <c r="Q243" i="1"/>
  <c r="P243" i="1"/>
  <c r="W242" i="1"/>
  <c r="R242" i="1"/>
  <c r="Q242" i="1"/>
  <c r="P242" i="1"/>
  <c r="W241" i="1"/>
  <c r="R241" i="1"/>
  <c r="Q241" i="1"/>
  <c r="P241" i="1"/>
  <c r="C241" i="1"/>
  <c r="W240" i="1"/>
  <c r="R240" i="1"/>
  <c r="K240" i="1" s="1"/>
  <c r="Q240" i="1"/>
  <c r="P240" i="1"/>
  <c r="C240" i="1"/>
  <c r="W239" i="1"/>
  <c r="R239" i="1"/>
  <c r="Q239" i="1"/>
  <c r="P239" i="1"/>
  <c r="Y238" i="1"/>
  <c r="Z238" i="1" s="1"/>
  <c r="X238" i="1"/>
  <c r="W238" i="1"/>
  <c r="R238" i="1"/>
  <c r="Q238" i="1"/>
  <c r="P238" i="1"/>
  <c r="D238" i="1"/>
  <c r="V238" i="1" s="1"/>
  <c r="C238" i="1"/>
  <c r="K238" i="1" s="1"/>
  <c r="W237" i="1"/>
  <c r="R237" i="1"/>
  <c r="Q237" i="1"/>
  <c r="P237" i="1"/>
  <c r="W236" i="1"/>
  <c r="R236" i="1"/>
  <c r="Q236" i="1"/>
  <c r="P236" i="1"/>
  <c r="D236" i="1"/>
  <c r="W235" i="1"/>
  <c r="R235" i="1"/>
  <c r="Q235" i="1"/>
  <c r="P235" i="1"/>
  <c r="W234" i="1"/>
  <c r="R234" i="1"/>
  <c r="Q234" i="1"/>
  <c r="P234" i="1"/>
  <c r="W233" i="1"/>
  <c r="R233" i="1"/>
  <c r="Q233" i="1"/>
  <c r="P233" i="1"/>
  <c r="W232" i="1"/>
  <c r="R232" i="1"/>
  <c r="Q232" i="1"/>
  <c r="P232" i="1"/>
  <c r="D232" i="1"/>
  <c r="W231" i="1"/>
  <c r="R231" i="1"/>
  <c r="Q231" i="1"/>
  <c r="P231" i="1"/>
  <c r="C231" i="1"/>
  <c r="W230" i="1"/>
  <c r="R230" i="1"/>
  <c r="Q230" i="1"/>
  <c r="P230" i="1"/>
  <c r="C230" i="1" s="1"/>
  <c r="K230" i="1"/>
  <c r="D230" i="1"/>
  <c r="W229" i="1"/>
  <c r="R229" i="1"/>
  <c r="Q229" i="1"/>
  <c r="P229" i="1"/>
  <c r="W228" i="1"/>
  <c r="R228" i="1"/>
  <c r="Q228" i="1"/>
  <c r="D228" i="1" s="1"/>
  <c r="P228" i="1"/>
  <c r="W227" i="1"/>
  <c r="R227" i="1"/>
  <c r="Q227" i="1"/>
  <c r="P227" i="1"/>
  <c r="C227" i="1"/>
  <c r="W226" i="1"/>
  <c r="R226" i="1"/>
  <c r="Q226" i="1"/>
  <c r="P226" i="1"/>
  <c r="W225" i="1"/>
  <c r="R225" i="1"/>
  <c r="K225" i="1" s="1"/>
  <c r="Q225" i="1"/>
  <c r="P225" i="1"/>
  <c r="C225" i="1"/>
  <c r="W224" i="1"/>
  <c r="R224" i="1"/>
  <c r="Q224" i="1"/>
  <c r="C224" i="1" s="1"/>
  <c r="P224" i="1"/>
  <c r="K224" i="1"/>
  <c r="D224" i="1"/>
  <c r="W223" i="1"/>
  <c r="R223" i="1"/>
  <c r="Q223" i="1"/>
  <c r="P223" i="1"/>
  <c r="W222" i="1"/>
  <c r="R222" i="1"/>
  <c r="Q222" i="1"/>
  <c r="P222" i="1"/>
  <c r="W221" i="1"/>
  <c r="R221" i="1"/>
  <c r="Q221" i="1"/>
  <c r="P221" i="1"/>
  <c r="Y220" i="1"/>
  <c r="Z220" i="1" s="1"/>
  <c r="W220" i="1"/>
  <c r="R220" i="1"/>
  <c r="D220" i="1" s="1"/>
  <c r="V220" i="1" s="1"/>
  <c r="X220" i="1" s="1"/>
  <c r="Q220" i="1"/>
  <c r="P220" i="1"/>
  <c r="C220" i="1"/>
  <c r="W219" i="1"/>
  <c r="R219" i="1"/>
  <c r="Q219" i="1"/>
  <c r="P219" i="1"/>
  <c r="K219" i="1"/>
  <c r="D219" i="1"/>
  <c r="C219" i="1"/>
  <c r="W218" i="1"/>
  <c r="R218" i="1"/>
  <c r="Q218" i="1"/>
  <c r="P218" i="1"/>
  <c r="W217" i="1"/>
  <c r="R217" i="1"/>
  <c r="Q217" i="1"/>
  <c r="P217" i="1"/>
  <c r="K217" i="1"/>
  <c r="D217" i="1"/>
  <c r="C217" i="1"/>
  <c r="W216" i="1"/>
  <c r="R216" i="1"/>
  <c r="Q216" i="1"/>
  <c r="P216" i="1"/>
  <c r="W215" i="1"/>
  <c r="R215" i="1"/>
  <c r="Q215" i="1"/>
  <c r="C215" i="1" s="1"/>
  <c r="P215" i="1"/>
  <c r="W214" i="1"/>
  <c r="R214" i="1"/>
  <c r="Q214" i="1"/>
  <c r="P214" i="1"/>
  <c r="C214" i="1"/>
  <c r="W213" i="1"/>
  <c r="R213" i="1"/>
  <c r="Q213" i="1"/>
  <c r="P213" i="1"/>
  <c r="D213" i="1"/>
  <c r="W212" i="1"/>
  <c r="R212" i="1"/>
  <c r="Q212" i="1"/>
  <c r="P212" i="1"/>
  <c r="D212" i="1"/>
  <c r="Y212" i="1" s="1"/>
  <c r="Z212" i="1" s="1"/>
  <c r="C212" i="1"/>
  <c r="W211" i="1"/>
  <c r="R211" i="1"/>
  <c r="Q211" i="1"/>
  <c r="P211" i="1"/>
  <c r="D211" i="1" s="1"/>
  <c r="W210" i="1"/>
  <c r="R210" i="1"/>
  <c r="Q210" i="1"/>
  <c r="P210" i="1"/>
  <c r="C210" i="1"/>
  <c r="W209" i="1"/>
  <c r="R209" i="1"/>
  <c r="Q209" i="1"/>
  <c r="P209" i="1"/>
  <c r="W208" i="1"/>
  <c r="R208" i="1"/>
  <c r="Q208" i="1"/>
  <c r="P208" i="1"/>
  <c r="D208" i="1" s="1"/>
  <c r="Y208" i="1" s="1"/>
  <c r="Z208" i="1" s="1"/>
  <c r="W207" i="1"/>
  <c r="R207" i="1"/>
  <c r="Q207" i="1"/>
  <c r="P207" i="1"/>
  <c r="D207" i="1"/>
  <c r="W206" i="1"/>
  <c r="R206" i="1"/>
  <c r="Q206" i="1"/>
  <c r="P206" i="1"/>
  <c r="W205" i="1"/>
  <c r="V205" i="1"/>
  <c r="X205" i="1" s="1"/>
  <c r="R205" i="1"/>
  <c r="Q205" i="1"/>
  <c r="P205" i="1"/>
  <c r="D205" i="1"/>
  <c r="Y205" i="1" s="1"/>
  <c r="Z205" i="1" s="1"/>
  <c r="W204" i="1"/>
  <c r="V204" i="1"/>
  <c r="X204" i="1" s="1"/>
  <c r="R204" i="1"/>
  <c r="Q204" i="1"/>
  <c r="P204" i="1"/>
  <c r="K204" i="1"/>
  <c r="D204" i="1"/>
  <c r="Y204" i="1" s="1"/>
  <c r="Z204" i="1" s="1"/>
  <c r="C204" i="1"/>
  <c r="W203" i="1"/>
  <c r="R203" i="1"/>
  <c r="Q203" i="1"/>
  <c r="P203" i="1"/>
  <c r="W202" i="1"/>
  <c r="R202" i="1"/>
  <c r="Q202" i="1"/>
  <c r="P202" i="1"/>
  <c r="Y201" i="1"/>
  <c r="Z201" i="1" s="1"/>
  <c r="W201" i="1"/>
  <c r="V201" i="1"/>
  <c r="X201" i="1" s="1"/>
  <c r="R201" i="1"/>
  <c r="K201" i="1" s="1"/>
  <c r="Q201" i="1"/>
  <c r="P201" i="1"/>
  <c r="D201" i="1"/>
  <c r="C201" i="1"/>
  <c r="W200" i="1"/>
  <c r="R200" i="1"/>
  <c r="Q200" i="1"/>
  <c r="C200" i="1" s="1"/>
  <c r="P200" i="1"/>
  <c r="K200" i="1"/>
  <c r="D200" i="1"/>
  <c r="W199" i="1"/>
  <c r="R199" i="1"/>
  <c r="Q199" i="1"/>
  <c r="P199" i="1"/>
  <c r="W198" i="1"/>
  <c r="R198" i="1"/>
  <c r="Q198" i="1"/>
  <c r="D198" i="1" s="1"/>
  <c r="P198" i="1"/>
  <c r="C198" i="1" s="1"/>
  <c r="Y197" i="1"/>
  <c r="Z197" i="1" s="1"/>
  <c r="W197" i="1"/>
  <c r="R197" i="1"/>
  <c r="C197" i="1" s="1"/>
  <c r="Q197" i="1"/>
  <c r="P197" i="1"/>
  <c r="K197" i="1"/>
  <c r="D197" i="1"/>
  <c r="V197" i="1" s="1"/>
  <c r="X197" i="1" s="1"/>
  <c r="W196" i="1"/>
  <c r="R196" i="1"/>
  <c r="Q196" i="1"/>
  <c r="C196" i="1" s="1"/>
  <c r="P196" i="1"/>
  <c r="W195" i="1"/>
  <c r="R195" i="1"/>
  <c r="Q195" i="1"/>
  <c r="P195" i="1"/>
  <c r="D195" i="1"/>
  <c r="W194" i="1"/>
  <c r="R194" i="1"/>
  <c r="Q194" i="1"/>
  <c r="P194" i="1"/>
  <c r="Y193" i="1"/>
  <c r="Z193" i="1" s="1"/>
  <c r="W193" i="1"/>
  <c r="R193" i="1"/>
  <c r="K193" i="1" s="1"/>
  <c r="Q193" i="1"/>
  <c r="P193" i="1"/>
  <c r="D193" i="1"/>
  <c r="V193" i="1" s="1"/>
  <c r="X193" i="1" s="1"/>
  <c r="C193" i="1"/>
  <c r="W192" i="1"/>
  <c r="R192" i="1"/>
  <c r="C192" i="1" s="1"/>
  <c r="Q192" i="1"/>
  <c r="P192" i="1"/>
  <c r="W191" i="1"/>
  <c r="R191" i="1"/>
  <c r="Q191" i="1"/>
  <c r="P191" i="1"/>
  <c r="W190" i="1"/>
  <c r="R190" i="1"/>
  <c r="Q190" i="1"/>
  <c r="P190" i="1"/>
  <c r="W189" i="1"/>
  <c r="R189" i="1"/>
  <c r="Q189" i="1"/>
  <c r="P189" i="1"/>
  <c r="D189" i="1"/>
  <c r="W188" i="1"/>
  <c r="R188" i="1"/>
  <c r="Q188" i="1"/>
  <c r="P188" i="1"/>
  <c r="C188" i="1"/>
  <c r="W187" i="1"/>
  <c r="R187" i="1"/>
  <c r="Q187" i="1"/>
  <c r="D187" i="1" s="1"/>
  <c r="P187" i="1"/>
  <c r="W186" i="1"/>
  <c r="R186" i="1"/>
  <c r="Q186" i="1"/>
  <c r="P186" i="1"/>
  <c r="D186" i="1"/>
  <c r="W185" i="1"/>
  <c r="R185" i="1"/>
  <c r="Q185" i="1"/>
  <c r="P185" i="1"/>
  <c r="C185" i="1" s="1"/>
  <c r="K185" i="1"/>
  <c r="W184" i="1"/>
  <c r="R184" i="1"/>
  <c r="Q184" i="1"/>
  <c r="P184" i="1"/>
  <c r="W183" i="1"/>
  <c r="R183" i="1"/>
  <c r="Q183" i="1"/>
  <c r="P183" i="1"/>
  <c r="D183" i="1"/>
  <c r="V183" i="1" s="1"/>
  <c r="X183" i="1" s="1"/>
  <c r="W182" i="1"/>
  <c r="R182" i="1"/>
  <c r="Q182" i="1"/>
  <c r="P182" i="1"/>
  <c r="W181" i="1"/>
  <c r="R181" i="1"/>
  <c r="Q181" i="1"/>
  <c r="P181" i="1"/>
  <c r="W180" i="1"/>
  <c r="R180" i="1"/>
  <c r="Q180" i="1"/>
  <c r="C180" i="1" s="1"/>
  <c r="P180" i="1"/>
  <c r="K180" i="1"/>
  <c r="D180" i="1"/>
  <c r="W179" i="1"/>
  <c r="V179" i="1"/>
  <c r="X179" i="1" s="1"/>
  <c r="R179" i="1"/>
  <c r="C179" i="1" s="1"/>
  <c r="Q179" i="1"/>
  <c r="P179" i="1"/>
  <c r="K179" i="1"/>
  <c r="D179" i="1"/>
  <c r="Y179" i="1" s="1"/>
  <c r="Z179" i="1" s="1"/>
  <c r="W178" i="1"/>
  <c r="R178" i="1"/>
  <c r="Q178" i="1"/>
  <c r="P178" i="1"/>
  <c r="W177" i="1"/>
  <c r="R177" i="1"/>
  <c r="Q177" i="1"/>
  <c r="P177" i="1"/>
  <c r="W176" i="1"/>
  <c r="R176" i="1"/>
  <c r="Q176" i="1"/>
  <c r="P176" i="1"/>
  <c r="C176" i="1"/>
  <c r="W175" i="1"/>
  <c r="R175" i="1"/>
  <c r="K175" i="1" s="1"/>
  <c r="Q175" i="1"/>
  <c r="P175" i="1"/>
  <c r="C175" i="1" s="1"/>
  <c r="W174" i="1"/>
  <c r="R174" i="1"/>
  <c r="Q174" i="1"/>
  <c r="P174" i="1"/>
  <c r="D174" i="1" s="1"/>
  <c r="Y174" i="1" s="1"/>
  <c r="Z174" i="1" s="1"/>
  <c r="W173" i="1"/>
  <c r="R173" i="1"/>
  <c r="Q173" i="1"/>
  <c r="P173" i="1"/>
  <c r="Z172" i="1"/>
  <c r="W172" i="1"/>
  <c r="V172" i="1"/>
  <c r="X172" i="1" s="1"/>
  <c r="R172" i="1"/>
  <c r="Q172" i="1"/>
  <c r="D172" i="1" s="1"/>
  <c r="Y172" i="1" s="1"/>
  <c r="P172" i="1"/>
  <c r="Y171" i="1"/>
  <c r="Z171" i="1" s="1"/>
  <c r="W171" i="1"/>
  <c r="R171" i="1"/>
  <c r="Q171" i="1"/>
  <c r="D171" i="1" s="1"/>
  <c r="V171" i="1" s="1"/>
  <c r="X171" i="1" s="1"/>
  <c r="P171" i="1"/>
  <c r="W170" i="1"/>
  <c r="V170" i="1"/>
  <c r="X170" i="1" s="1"/>
  <c r="R170" i="1"/>
  <c r="Q170" i="1"/>
  <c r="P170" i="1"/>
  <c r="K170" i="1"/>
  <c r="D170" i="1"/>
  <c r="Y170" i="1" s="1"/>
  <c r="Z170" i="1" s="1"/>
  <c r="C170" i="1"/>
  <c r="W169" i="1"/>
  <c r="R169" i="1"/>
  <c r="K169" i="1" s="1"/>
  <c r="Q169" i="1"/>
  <c r="P169" i="1"/>
  <c r="C169" i="1"/>
  <c r="W168" i="1"/>
  <c r="R168" i="1"/>
  <c r="Q168" i="1"/>
  <c r="P168" i="1"/>
  <c r="W167" i="1"/>
  <c r="R167" i="1"/>
  <c r="Q167" i="1"/>
  <c r="P167" i="1"/>
  <c r="D167" i="1"/>
  <c r="Y167" i="1" s="1"/>
  <c r="Z167" i="1" s="1"/>
  <c r="C167" i="1"/>
  <c r="W166" i="1"/>
  <c r="R166" i="1"/>
  <c r="Q166" i="1"/>
  <c r="P166" i="1"/>
  <c r="W165" i="1"/>
  <c r="R165" i="1"/>
  <c r="Q165" i="1"/>
  <c r="P165" i="1"/>
  <c r="W164" i="1"/>
  <c r="R164" i="1"/>
  <c r="Q164" i="1"/>
  <c r="P164" i="1"/>
  <c r="C164" i="1" s="1"/>
  <c r="W163" i="1"/>
  <c r="R163" i="1"/>
  <c r="C163" i="1" s="1"/>
  <c r="Q163" i="1"/>
  <c r="P163" i="1"/>
  <c r="K163" i="1"/>
  <c r="D163" i="1"/>
  <c r="W162" i="1"/>
  <c r="R162" i="1"/>
  <c r="Q162" i="1"/>
  <c r="P162" i="1"/>
  <c r="W161" i="1"/>
  <c r="R161" i="1"/>
  <c r="Q161" i="1"/>
  <c r="P161" i="1"/>
  <c r="D161" i="1"/>
  <c r="W160" i="1"/>
  <c r="R160" i="1"/>
  <c r="Q160" i="1"/>
  <c r="P160" i="1"/>
  <c r="W159" i="1"/>
  <c r="R159" i="1"/>
  <c r="C159" i="1" s="1"/>
  <c r="Q159" i="1"/>
  <c r="P159" i="1"/>
  <c r="W158" i="1"/>
  <c r="R158" i="1"/>
  <c r="C158" i="1" s="1"/>
  <c r="Q158" i="1"/>
  <c r="P158" i="1"/>
  <c r="W157" i="1"/>
  <c r="R157" i="1"/>
  <c r="Q157" i="1"/>
  <c r="P157" i="1"/>
  <c r="D157" i="1"/>
  <c r="Y157" i="1" s="1"/>
  <c r="Z157" i="1" s="1"/>
  <c r="W156" i="1"/>
  <c r="R156" i="1"/>
  <c r="Q156" i="1"/>
  <c r="P156" i="1"/>
  <c r="W155" i="1"/>
  <c r="R155" i="1"/>
  <c r="Q155" i="1"/>
  <c r="P155" i="1"/>
  <c r="D155" i="1" s="1"/>
  <c r="Y155" i="1" s="1"/>
  <c r="Z155" i="1" s="1"/>
  <c r="W154" i="1"/>
  <c r="R154" i="1"/>
  <c r="Q154" i="1"/>
  <c r="P154" i="1"/>
  <c r="C154" i="1"/>
  <c r="W153" i="1"/>
  <c r="R153" i="1"/>
  <c r="D153" i="1" s="1"/>
  <c r="Q153" i="1"/>
  <c r="P153" i="1"/>
  <c r="W152" i="1"/>
  <c r="R152" i="1"/>
  <c r="Q152" i="1"/>
  <c r="C152" i="1" s="1"/>
  <c r="P152" i="1"/>
  <c r="W151" i="1"/>
  <c r="R151" i="1"/>
  <c r="Q151" i="1"/>
  <c r="P151" i="1"/>
  <c r="W150" i="1"/>
  <c r="R150" i="1"/>
  <c r="Q150" i="1"/>
  <c r="P150" i="1"/>
  <c r="D150" i="1"/>
  <c r="Y150" i="1" s="1"/>
  <c r="Z150" i="1" s="1"/>
  <c r="W149" i="1"/>
  <c r="R149" i="1"/>
  <c r="Q149" i="1"/>
  <c r="P149" i="1"/>
  <c r="Z148" i="1"/>
  <c r="Y148" i="1"/>
  <c r="W148" i="1"/>
  <c r="R148" i="1"/>
  <c r="Q148" i="1"/>
  <c r="P148" i="1"/>
  <c r="K148" i="1"/>
  <c r="D148" i="1"/>
  <c r="V148" i="1" s="1"/>
  <c r="X148" i="1" s="1"/>
  <c r="C148" i="1"/>
  <c r="W147" i="1"/>
  <c r="R147" i="1"/>
  <c r="Q147" i="1"/>
  <c r="P147" i="1"/>
  <c r="W146" i="1"/>
  <c r="R146" i="1"/>
  <c r="Q146" i="1"/>
  <c r="P146" i="1"/>
  <c r="W145" i="1"/>
  <c r="R145" i="1"/>
  <c r="Q145" i="1"/>
  <c r="P145" i="1"/>
  <c r="C145" i="1"/>
  <c r="W144" i="1"/>
  <c r="R144" i="1"/>
  <c r="D144" i="1" s="1"/>
  <c r="Q144" i="1"/>
  <c r="P144" i="1"/>
  <c r="K144" i="1"/>
  <c r="C144" i="1"/>
  <c r="W143" i="1"/>
  <c r="R143" i="1"/>
  <c r="Q143" i="1"/>
  <c r="P143" i="1"/>
  <c r="W142" i="1"/>
  <c r="V142" i="1"/>
  <c r="X142" i="1" s="1"/>
  <c r="R142" i="1"/>
  <c r="D142" i="1" s="1"/>
  <c r="Y142" i="1" s="1"/>
  <c r="Z142" i="1" s="1"/>
  <c r="Q142" i="1"/>
  <c r="P142" i="1"/>
  <c r="W141" i="1"/>
  <c r="R141" i="1"/>
  <c r="Q141" i="1"/>
  <c r="P141" i="1"/>
  <c r="C141" i="1"/>
  <c r="W140" i="1"/>
  <c r="R140" i="1"/>
  <c r="Q140" i="1"/>
  <c r="P140" i="1"/>
  <c r="Y139" i="1"/>
  <c r="Z139" i="1" s="1"/>
  <c r="W139" i="1"/>
  <c r="R139" i="1"/>
  <c r="Q139" i="1"/>
  <c r="P139" i="1"/>
  <c r="D139" i="1"/>
  <c r="V139" i="1" s="1"/>
  <c r="X139" i="1" s="1"/>
  <c r="W138" i="1"/>
  <c r="R138" i="1"/>
  <c r="Q138" i="1"/>
  <c r="P138" i="1"/>
  <c r="D138" i="1"/>
  <c r="V138" i="1" s="1"/>
  <c r="X138" i="1" s="1"/>
  <c r="C138" i="1"/>
  <c r="W137" i="1"/>
  <c r="R137" i="1"/>
  <c r="Q137" i="1"/>
  <c r="P137" i="1"/>
  <c r="C137" i="1"/>
  <c r="Z136" i="1"/>
  <c r="W136" i="1"/>
  <c r="R136" i="1"/>
  <c r="D136" i="1" s="1"/>
  <c r="Y136" i="1" s="1"/>
  <c r="Q136" i="1"/>
  <c r="P136" i="1"/>
  <c r="W135" i="1"/>
  <c r="R135" i="1"/>
  <c r="C135" i="1" s="1"/>
  <c r="Q135" i="1"/>
  <c r="P135" i="1"/>
  <c r="W134" i="1"/>
  <c r="R134" i="1"/>
  <c r="D134" i="1" s="1"/>
  <c r="Q134" i="1"/>
  <c r="P134" i="1"/>
  <c r="W133" i="1"/>
  <c r="R133" i="1"/>
  <c r="Q133" i="1"/>
  <c r="C133" i="1" s="1"/>
  <c r="P133" i="1"/>
  <c r="W132" i="1"/>
  <c r="R132" i="1"/>
  <c r="Q132" i="1"/>
  <c r="P132" i="1"/>
  <c r="W131" i="1"/>
  <c r="R131" i="1"/>
  <c r="C131" i="1" s="1"/>
  <c r="Q131" i="1"/>
  <c r="P131" i="1"/>
  <c r="W130" i="1"/>
  <c r="R130" i="1"/>
  <c r="D130" i="1" s="1"/>
  <c r="Q130" i="1"/>
  <c r="P130" i="1"/>
  <c r="W129" i="1"/>
  <c r="R129" i="1"/>
  <c r="Q129" i="1"/>
  <c r="P129" i="1"/>
  <c r="C129" i="1"/>
  <c r="W128" i="1"/>
  <c r="R128" i="1"/>
  <c r="Q128" i="1"/>
  <c r="P128" i="1"/>
  <c r="W127" i="1"/>
  <c r="R127" i="1"/>
  <c r="C127" i="1" s="1"/>
  <c r="Q127" i="1"/>
  <c r="P127" i="1"/>
  <c r="K127" i="1"/>
  <c r="D127" i="1"/>
  <c r="Y127" i="1" s="1"/>
  <c r="Z127" i="1" s="1"/>
  <c r="W126" i="1"/>
  <c r="R126" i="1"/>
  <c r="Q126" i="1"/>
  <c r="D126" i="1" s="1"/>
  <c r="P126" i="1"/>
  <c r="W125" i="1"/>
  <c r="R125" i="1"/>
  <c r="Q125" i="1"/>
  <c r="P125" i="1"/>
  <c r="C125" i="1" s="1"/>
  <c r="W124" i="1"/>
  <c r="R124" i="1"/>
  <c r="Q124" i="1"/>
  <c r="P124" i="1"/>
  <c r="Y123" i="1"/>
  <c r="Z123" i="1" s="1"/>
  <c r="W123" i="1"/>
  <c r="R123" i="1"/>
  <c r="C123" i="1" s="1"/>
  <c r="Q123" i="1"/>
  <c r="P123" i="1"/>
  <c r="K123" i="1"/>
  <c r="D123" i="1"/>
  <c r="V123" i="1" s="1"/>
  <c r="X123" i="1" s="1"/>
  <c r="W122" i="1"/>
  <c r="R122" i="1"/>
  <c r="Q122" i="1"/>
  <c r="P122" i="1"/>
  <c r="D122" i="1"/>
  <c r="V122" i="1" s="1"/>
  <c r="X122" i="1" s="1"/>
  <c r="C122" i="1"/>
  <c r="W121" i="1"/>
  <c r="R121" i="1"/>
  <c r="Q121" i="1"/>
  <c r="P121" i="1"/>
  <c r="C121" i="1"/>
  <c r="Z120" i="1"/>
  <c r="W120" i="1"/>
  <c r="R120" i="1"/>
  <c r="D120" i="1" s="1"/>
  <c r="Y120" i="1" s="1"/>
  <c r="Q120" i="1"/>
  <c r="P120" i="1"/>
  <c r="W119" i="1"/>
  <c r="R119" i="1"/>
  <c r="C119" i="1" s="1"/>
  <c r="Q119" i="1"/>
  <c r="P119" i="1"/>
  <c r="W118" i="1"/>
  <c r="R118" i="1"/>
  <c r="D118" i="1" s="1"/>
  <c r="Q118" i="1"/>
  <c r="P118" i="1"/>
  <c r="W117" i="1"/>
  <c r="R117" i="1"/>
  <c r="Q117" i="1"/>
  <c r="C117" i="1" s="1"/>
  <c r="P117" i="1"/>
  <c r="W116" i="1"/>
  <c r="R116" i="1"/>
  <c r="Q116" i="1"/>
  <c r="P116" i="1"/>
  <c r="W115" i="1"/>
  <c r="R115" i="1"/>
  <c r="C115" i="1" s="1"/>
  <c r="Q115" i="1"/>
  <c r="P115" i="1"/>
  <c r="W114" i="1"/>
  <c r="R114" i="1"/>
  <c r="D114" i="1" s="1"/>
  <c r="Q114" i="1"/>
  <c r="P114" i="1"/>
  <c r="W113" i="1"/>
  <c r="R113" i="1"/>
  <c r="Q113" i="1"/>
  <c r="P113" i="1"/>
  <c r="C113" i="1"/>
  <c r="W112" i="1"/>
  <c r="R112" i="1"/>
  <c r="Q112" i="1"/>
  <c r="P112" i="1"/>
  <c r="W111" i="1"/>
  <c r="R111" i="1"/>
  <c r="C111" i="1" s="1"/>
  <c r="Q111" i="1"/>
  <c r="P111" i="1"/>
  <c r="K111" i="1"/>
  <c r="D111" i="1"/>
  <c r="Y111" i="1" s="1"/>
  <c r="Z111" i="1" s="1"/>
  <c r="W110" i="1"/>
  <c r="R110" i="1"/>
  <c r="Q110" i="1"/>
  <c r="D110" i="1" s="1"/>
  <c r="P110" i="1"/>
  <c r="W109" i="1"/>
  <c r="R109" i="1"/>
  <c r="Q109" i="1"/>
  <c r="P109" i="1"/>
  <c r="C109" i="1" s="1"/>
  <c r="W108" i="1"/>
  <c r="R108" i="1"/>
  <c r="Q108" i="1"/>
  <c r="P108" i="1"/>
  <c r="Y107" i="1"/>
  <c r="Z107" i="1" s="1"/>
  <c r="W107" i="1"/>
  <c r="R107" i="1"/>
  <c r="C107" i="1" s="1"/>
  <c r="Q107" i="1"/>
  <c r="P107" i="1"/>
  <c r="K107" i="1"/>
  <c r="D107" i="1"/>
  <c r="V107" i="1" s="1"/>
  <c r="X107" i="1" s="1"/>
  <c r="W106" i="1"/>
  <c r="R106" i="1"/>
  <c r="Q106" i="1"/>
  <c r="P106" i="1"/>
  <c r="D106" i="1"/>
  <c r="V106" i="1" s="1"/>
  <c r="X106" i="1" s="1"/>
  <c r="C106" i="1"/>
  <c r="W105" i="1"/>
  <c r="R105" i="1"/>
  <c r="Q105" i="1"/>
  <c r="P105" i="1"/>
  <c r="C105" i="1"/>
  <c r="Z104" i="1"/>
  <c r="W104" i="1"/>
  <c r="R104" i="1"/>
  <c r="D104" i="1" s="1"/>
  <c r="Y104" i="1" s="1"/>
  <c r="Q104" i="1"/>
  <c r="P104" i="1"/>
  <c r="W103" i="1"/>
  <c r="R103" i="1"/>
  <c r="C103" i="1" s="1"/>
  <c r="Q103" i="1"/>
  <c r="P103" i="1"/>
  <c r="W102" i="1"/>
  <c r="R102" i="1"/>
  <c r="K102" i="1" s="1"/>
  <c r="Q102" i="1"/>
  <c r="P102" i="1"/>
  <c r="W101" i="1"/>
  <c r="R101" i="1"/>
  <c r="D101" i="1" s="1"/>
  <c r="Y101" i="1" s="1"/>
  <c r="Z101" i="1" s="1"/>
  <c r="Q101" i="1"/>
  <c r="P101" i="1"/>
  <c r="K101" i="1" s="1"/>
  <c r="W100" i="1"/>
  <c r="R100" i="1"/>
  <c r="D100" i="1" s="1"/>
  <c r="Q100" i="1"/>
  <c r="P100" i="1"/>
  <c r="W99" i="1"/>
  <c r="R99" i="1"/>
  <c r="Q99" i="1"/>
  <c r="P99" i="1"/>
  <c r="D99" i="1" s="1"/>
  <c r="Y99" i="1" s="1"/>
  <c r="Z99" i="1" s="1"/>
  <c r="K99" i="1"/>
  <c r="W98" i="1"/>
  <c r="R98" i="1"/>
  <c r="Q98" i="1"/>
  <c r="D98" i="1" s="1"/>
  <c r="P98" i="1"/>
  <c r="W97" i="1"/>
  <c r="R97" i="1"/>
  <c r="Q97" i="1"/>
  <c r="P97" i="1"/>
  <c r="K97" i="1" s="1"/>
  <c r="W96" i="1"/>
  <c r="R96" i="1"/>
  <c r="K96" i="1" s="1"/>
  <c r="Q96" i="1"/>
  <c r="P96" i="1"/>
  <c r="D96" i="1"/>
  <c r="V96" i="1" s="1"/>
  <c r="X96" i="1" s="1"/>
  <c r="Z95" i="1"/>
  <c r="W95" i="1"/>
  <c r="V95" i="1"/>
  <c r="X95" i="1" s="1"/>
  <c r="R95" i="1"/>
  <c r="Q95" i="1"/>
  <c r="P95" i="1"/>
  <c r="D95" i="1" s="1"/>
  <c r="Y95" i="1" s="1"/>
  <c r="K95" i="1"/>
  <c r="W94" i="1"/>
  <c r="R94" i="1"/>
  <c r="K94" i="1" s="1"/>
  <c r="Q94" i="1"/>
  <c r="P94" i="1"/>
  <c r="W93" i="1"/>
  <c r="R93" i="1"/>
  <c r="D93" i="1" s="1"/>
  <c r="Y93" i="1" s="1"/>
  <c r="Z93" i="1" s="1"/>
  <c r="Q93" i="1"/>
  <c r="P93" i="1"/>
  <c r="K93" i="1" s="1"/>
  <c r="W92" i="1"/>
  <c r="R92" i="1"/>
  <c r="D92" i="1" s="1"/>
  <c r="Q92" i="1"/>
  <c r="P92" i="1"/>
  <c r="W91" i="1"/>
  <c r="R91" i="1"/>
  <c r="Q91" i="1"/>
  <c r="P91" i="1"/>
  <c r="D91" i="1" s="1"/>
  <c r="Y91" i="1" s="1"/>
  <c r="Z91" i="1" s="1"/>
  <c r="K91" i="1"/>
  <c r="W90" i="1"/>
  <c r="R90" i="1"/>
  <c r="Q90" i="1"/>
  <c r="D90" i="1" s="1"/>
  <c r="P90" i="1"/>
  <c r="W89" i="1"/>
  <c r="R89" i="1"/>
  <c r="Q89" i="1"/>
  <c r="P89" i="1"/>
  <c r="K89" i="1" s="1"/>
  <c r="W88" i="1"/>
  <c r="R88" i="1"/>
  <c r="Q88" i="1"/>
  <c r="P88" i="1"/>
  <c r="D88" i="1"/>
  <c r="V88" i="1" s="1"/>
  <c r="X88" i="1" s="1"/>
  <c r="Z87" i="1"/>
  <c r="W87" i="1"/>
  <c r="V87" i="1"/>
  <c r="X87" i="1" s="1"/>
  <c r="R87" i="1"/>
  <c r="Q87" i="1"/>
  <c r="P87" i="1"/>
  <c r="D87" i="1" s="1"/>
  <c r="Y87" i="1" s="1"/>
  <c r="K87" i="1"/>
  <c r="W86" i="1"/>
  <c r="R86" i="1"/>
  <c r="K86" i="1" s="1"/>
  <c r="Q86" i="1"/>
  <c r="P86" i="1"/>
  <c r="W85" i="1"/>
  <c r="R85" i="1"/>
  <c r="D85" i="1" s="1"/>
  <c r="Y85" i="1" s="1"/>
  <c r="Z85" i="1" s="1"/>
  <c r="Q85" i="1"/>
  <c r="P85" i="1"/>
  <c r="K85" i="1" s="1"/>
  <c r="W84" i="1"/>
  <c r="R84" i="1"/>
  <c r="D84" i="1" s="1"/>
  <c r="Q84" i="1"/>
  <c r="P84" i="1"/>
  <c r="W83" i="1"/>
  <c r="R83" i="1"/>
  <c r="Q83" i="1"/>
  <c r="P83" i="1"/>
  <c r="D83" i="1" s="1"/>
  <c r="Y83" i="1" s="1"/>
  <c r="Z83" i="1" s="1"/>
  <c r="K83" i="1"/>
  <c r="W82" i="1"/>
  <c r="R82" i="1"/>
  <c r="Q82" i="1"/>
  <c r="D82" i="1" s="1"/>
  <c r="P82" i="1"/>
  <c r="W81" i="1"/>
  <c r="R81" i="1"/>
  <c r="Q81" i="1"/>
  <c r="P81" i="1"/>
  <c r="K81" i="1" s="1"/>
  <c r="W80" i="1"/>
  <c r="R80" i="1"/>
  <c r="Q80" i="1"/>
  <c r="P80" i="1"/>
  <c r="D80" i="1"/>
  <c r="V80" i="1" s="1"/>
  <c r="X80" i="1" s="1"/>
  <c r="Z79" i="1"/>
  <c r="W79" i="1"/>
  <c r="V79" i="1"/>
  <c r="X79" i="1" s="1"/>
  <c r="R79" i="1"/>
  <c r="Q79" i="1"/>
  <c r="P79" i="1"/>
  <c r="D79" i="1" s="1"/>
  <c r="Y79" i="1" s="1"/>
  <c r="K79" i="1"/>
  <c r="Y78" i="1"/>
  <c r="Z78" i="1" s="1"/>
  <c r="X78" i="1"/>
  <c r="W78" i="1"/>
  <c r="V78" i="1"/>
  <c r="R78" i="1"/>
  <c r="K78" i="1" s="1"/>
  <c r="Q78" i="1"/>
  <c r="P78" i="1"/>
  <c r="W77" i="1"/>
  <c r="R77" i="1"/>
  <c r="K77" i="1" s="1"/>
  <c r="Q77" i="1"/>
  <c r="P77" i="1"/>
  <c r="W76" i="1"/>
  <c r="R76" i="1"/>
  <c r="Q76" i="1"/>
  <c r="P76" i="1"/>
  <c r="W75" i="1"/>
  <c r="R75" i="1"/>
  <c r="K75" i="1" s="1"/>
  <c r="Q75" i="1"/>
  <c r="P75" i="1"/>
  <c r="W74" i="1"/>
  <c r="R74" i="1"/>
  <c r="Q74" i="1"/>
  <c r="P74" i="1"/>
  <c r="W73" i="1"/>
  <c r="R73" i="1"/>
  <c r="Q73" i="1"/>
  <c r="P73" i="1"/>
  <c r="K73" i="1"/>
  <c r="D73" i="1"/>
  <c r="Y73" i="1" s="1"/>
  <c r="Z73" i="1" s="1"/>
  <c r="W72" i="1"/>
  <c r="R72" i="1"/>
  <c r="Q72" i="1"/>
  <c r="P72" i="1"/>
  <c r="Y71" i="1"/>
  <c r="Z71" i="1" s="1"/>
  <c r="W71" i="1"/>
  <c r="R71" i="1"/>
  <c r="Q71" i="1"/>
  <c r="P71" i="1"/>
  <c r="K71" i="1"/>
  <c r="D71" i="1"/>
  <c r="V71" i="1" s="1"/>
  <c r="X71" i="1" s="1"/>
  <c r="W70" i="1"/>
  <c r="R70" i="1"/>
  <c r="Q70" i="1"/>
  <c r="P70" i="1"/>
  <c r="W69" i="1"/>
  <c r="R69" i="1"/>
  <c r="K69" i="1" s="1"/>
  <c r="Q69" i="1"/>
  <c r="P69" i="1"/>
  <c r="W68" i="1"/>
  <c r="R68" i="1"/>
  <c r="Q68" i="1"/>
  <c r="P68" i="1"/>
  <c r="W67" i="1"/>
  <c r="R67" i="1"/>
  <c r="K67" i="1" s="1"/>
  <c r="Q67" i="1"/>
  <c r="P67" i="1"/>
  <c r="Y66" i="1"/>
  <c r="Z66" i="1" s="1"/>
  <c r="W66" i="1"/>
  <c r="X66" i="1" s="1"/>
  <c r="R66" i="1"/>
  <c r="Q66" i="1"/>
  <c r="K66" i="1" s="1"/>
  <c r="P66" i="1"/>
  <c r="D66" i="1"/>
  <c r="V66" i="1" s="1"/>
  <c r="W65" i="1"/>
  <c r="R65" i="1"/>
  <c r="Q65" i="1"/>
  <c r="P65" i="1"/>
  <c r="K65" i="1"/>
  <c r="D65" i="1"/>
  <c r="Y65" i="1" s="1"/>
  <c r="Z65" i="1" s="1"/>
  <c r="W64" i="1"/>
  <c r="R64" i="1"/>
  <c r="Q64" i="1"/>
  <c r="P64" i="1"/>
  <c r="W63" i="1"/>
  <c r="R63" i="1"/>
  <c r="Q63" i="1"/>
  <c r="P63" i="1"/>
  <c r="K63" i="1"/>
  <c r="D63" i="1"/>
  <c r="V63" i="1" s="1"/>
  <c r="X63" i="1" s="1"/>
  <c r="Y62" i="1"/>
  <c r="Z62" i="1" s="1"/>
  <c r="X62" i="1"/>
  <c r="W62" i="1"/>
  <c r="R62" i="1"/>
  <c r="Q62" i="1"/>
  <c r="P62" i="1"/>
  <c r="K62" i="1"/>
  <c r="D62" i="1"/>
  <c r="V62" i="1" s="1"/>
  <c r="W61" i="1"/>
  <c r="R61" i="1"/>
  <c r="Q61" i="1"/>
  <c r="P61" i="1"/>
  <c r="K61" i="1" s="1"/>
  <c r="W60" i="1"/>
  <c r="R60" i="1"/>
  <c r="Q60" i="1"/>
  <c r="P60" i="1"/>
  <c r="W59" i="1"/>
  <c r="R59" i="1"/>
  <c r="Q59" i="1"/>
  <c r="P59" i="1"/>
  <c r="K59" i="1"/>
  <c r="D59" i="1"/>
  <c r="Y59" i="1" s="1"/>
  <c r="Z59" i="1" s="1"/>
  <c r="W58" i="1"/>
  <c r="R58" i="1"/>
  <c r="Q58" i="1"/>
  <c r="K58" i="1" s="1"/>
  <c r="P58" i="1"/>
  <c r="W57" i="1"/>
  <c r="R57" i="1"/>
  <c r="K57" i="1" s="1"/>
  <c r="Q57" i="1"/>
  <c r="P57" i="1"/>
  <c r="W56" i="1"/>
  <c r="R56" i="1"/>
  <c r="Q56" i="1"/>
  <c r="P56" i="1"/>
  <c r="W55" i="1"/>
  <c r="R55" i="1"/>
  <c r="K55" i="1" s="1"/>
  <c r="Q55" i="1"/>
  <c r="P55" i="1"/>
  <c r="W54" i="1"/>
  <c r="R54" i="1"/>
  <c r="Q54" i="1"/>
  <c r="K54" i="1" s="1"/>
  <c r="P54" i="1"/>
  <c r="W53" i="1"/>
  <c r="R53" i="1"/>
  <c r="K53" i="1" s="1"/>
  <c r="Q53" i="1"/>
  <c r="P53" i="1"/>
  <c r="W52" i="1"/>
  <c r="R52" i="1"/>
  <c r="D52" i="1" s="1"/>
  <c r="Q52" i="1"/>
  <c r="P52" i="1"/>
  <c r="W51" i="1"/>
  <c r="R51" i="1"/>
  <c r="K51" i="1" s="1"/>
  <c r="Q51" i="1"/>
  <c r="P51" i="1"/>
  <c r="W50" i="1"/>
  <c r="R50" i="1"/>
  <c r="Q50" i="1"/>
  <c r="P50" i="1"/>
  <c r="K50" i="1"/>
  <c r="D50" i="1"/>
  <c r="V50" i="1" s="1"/>
  <c r="X50" i="1" s="1"/>
  <c r="Y49" i="1"/>
  <c r="Z49" i="1" s="1"/>
  <c r="W49" i="1"/>
  <c r="R49" i="1"/>
  <c r="Q49" i="1"/>
  <c r="P49" i="1"/>
  <c r="K49" i="1"/>
  <c r="D49" i="1"/>
  <c r="V49" i="1" s="1"/>
  <c r="X49" i="1" s="1"/>
  <c r="W48" i="1"/>
  <c r="R48" i="1"/>
  <c r="Q48" i="1"/>
  <c r="P48" i="1"/>
  <c r="D48" i="1" s="1"/>
  <c r="W47" i="1"/>
  <c r="R47" i="1"/>
  <c r="Q47" i="1"/>
  <c r="P47" i="1"/>
  <c r="K47" i="1"/>
  <c r="D47" i="1"/>
  <c r="Y47" i="1" s="1"/>
  <c r="Z47" i="1" s="1"/>
  <c r="W46" i="1"/>
  <c r="R46" i="1"/>
  <c r="Q46" i="1"/>
  <c r="P46" i="1"/>
  <c r="W45" i="1"/>
  <c r="R45" i="1"/>
  <c r="K45" i="1" s="1"/>
  <c r="Q45" i="1"/>
  <c r="P45" i="1"/>
  <c r="W44" i="1"/>
  <c r="R44" i="1"/>
  <c r="K44" i="1" s="1"/>
  <c r="Q44" i="1"/>
  <c r="P44" i="1"/>
  <c r="W43" i="1"/>
  <c r="R43" i="1"/>
  <c r="Q43" i="1"/>
  <c r="P43" i="1"/>
  <c r="K43" i="1"/>
  <c r="D43" i="1"/>
  <c r="Y43" i="1" s="1"/>
  <c r="Z43" i="1" s="1"/>
  <c r="W42" i="1"/>
  <c r="R42" i="1"/>
  <c r="Q42" i="1"/>
  <c r="K42" i="1" s="1"/>
  <c r="P42" i="1"/>
  <c r="W41" i="1"/>
  <c r="R41" i="1"/>
  <c r="D41" i="1" s="1"/>
  <c r="Y41" i="1" s="1"/>
  <c r="Z41" i="1" s="1"/>
  <c r="Q41" i="1"/>
  <c r="P41" i="1"/>
  <c r="W40" i="1"/>
  <c r="R40" i="1"/>
  <c r="K40" i="1" s="1"/>
  <c r="Q40" i="1"/>
  <c r="P40" i="1"/>
  <c r="X39" i="1"/>
  <c r="W39" i="1"/>
  <c r="V39" i="1"/>
  <c r="R39" i="1"/>
  <c r="Q39" i="1"/>
  <c r="K39" i="1" s="1"/>
  <c r="P39" i="1"/>
  <c r="D39" i="1"/>
  <c r="Y39" i="1" s="1"/>
  <c r="Z39" i="1" s="1"/>
  <c r="C39" i="1"/>
  <c r="Y38" i="1"/>
  <c r="Z38" i="1" s="1"/>
  <c r="W38" i="1"/>
  <c r="R38" i="1"/>
  <c r="Q38" i="1"/>
  <c r="P38" i="1"/>
  <c r="K38" i="1"/>
  <c r="D38" i="1"/>
  <c r="V38" i="1" s="1"/>
  <c r="X38" i="1" s="1"/>
  <c r="W37" i="1"/>
  <c r="R37" i="1"/>
  <c r="Q37" i="1"/>
  <c r="P37" i="1"/>
  <c r="D37" i="1" s="1"/>
  <c r="W36" i="1"/>
  <c r="R36" i="1"/>
  <c r="Q36" i="1"/>
  <c r="P36" i="1"/>
  <c r="K36" i="1"/>
  <c r="D36" i="1"/>
  <c r="Y36" i="1" s="1"/>
  <c r="Z36" i="1" s="1"/>
  <c r="W35" i="1"/>
  <c r="R35" i="1"/>
  <c r="K35" i="1" s="1"/>
  <c r="Q35" i="1"/>
  <c r="P35" i="1"/>
  <c r="W34" i="1"/>
  <c r="R34" i="1"/>
  <c r="K34" i="1" s="1"/>
  <c r="Q34" i="1"/>
  <c r="P34" i="1"/>
  <c r="W33" i="1"/>
  <c r="R33" i="1"/>
  <c r="D33" i="1" s="1"/>
  <c r="Q33" i="1"/>
  <c r="P33" i="1"/>
  <c r="W32" i="1"/>
  <c r="R32" i="1"/>
  <c r="K32" i="1" s="1"/>
  <c r="Q32" i="1"/>
  <c r="P32" i="1"/>
  <c r="W31" i="1"/>
  <c r="R31" i="1"/>
  <c r="Q31" i="1"/>
  <c r="P31" i="1"/>
  <c r="D31" i="1"/>
  <c r="V31" i="1" s="1"/>
  <c r="X31" i="1" s="1"/>
  <c r="C31" i="1"/>
  <c r="K31" i="1" s="1"/>
  <c r="Z30" i="1"/>
  <c r="R30" i="1"/>
  <c r="Q30" i="1"/>
  <c r="P30" i="1"/>
  <c r="D30" i="1"/>
  <c r="Y30" i="1" s="1"/>
  <c r="W29" i="1"/>
  <c r="R29" i="1"/>
  <c r="C29" i="1" s="1"/>
  <c r="Q29" i="1"/>
  <c r="K29" i="1" s="1"/>
  <c r="P29" i="1"/>
  <c r="W28" i="1"/>
  <c r="R28" i="1"/>
  <c r="K28" i="1" s="1"/>
  <c r="Q28" i="1"/>
  <c r="P28" i="1"/>
  <c r="W27" i="1"/>
  <c r="R27" i="1"/>
  <c r="K27" i="1" s="1"/>
  <c r="Q27" i="1"/>
  <c r="P27" i="1"/>
  <c r="W26" i="1"/>
  <c r="R26" i="1"/>
  <c r="K26" i="1" s="1"/>
  <c r="Q26" i="1"/>
  <c r="P26" i="1"/>
  <c r="W25" i="1"/>
  <c r="R25" i="1"/>
  <c r="Q25" i="1"/>
  <c r="P25" i="1"/>
  <c r="K25" i="1"/>
  <c r="D25" i="1"/>
  <c r="Y25" i="1" s="1"/>
  <c r="Z25" i="1" s="1"/>
  <c r="W24" i="1"/>
  <c r="R24" i="1"/>
  <c r="Q24" i="1"/>
  <c r="K24" i="1" s="1"/>
  <c r="P24" i="1"/>
  <c r="W23" i="1"/>
  <c r="R23" i="1"/>
  <c r="K23" i="1" s="1"/>
  <c r="Q23" i="1"/>
  <c r="P23" i="1"/>
  <c r="W22" i="1"/>
  <c r="R22" i="1"/>
  <c r="D22" i="1" s="1"/>
  <c r="Q22" i="1"/>
  <c r="P22" i="1"/>
  <c r="W21" i="1"/>
  <c r="R21" i="1"/>
  <c r="Q21" i="1"/>
  <c r="P21" i="1"/>
  <c r="K21" i="1"/>
  <c r="D21" i="1"/>
  <c r="Y21" i="1" s="1"/>
  <c r="Z21" i="1" s="1"/>
  <c r="W20" i="1"/>
  <c r="R20" i="1"/>
  <c r="C20" i="1" s="1"/>
  <c r="Q20" i="1"/>
  <c r="D20" i="1" s="1"/>
  <c r="P20" i="1"/>
  <c r="W19" i="1"/>
  <c r="R19" i="1"/>
  <c r="K19" i="1" s="1"/>
  <c r="Q19" i="1"/>
  <c r="P19" i="1"/>
  <c r="W18" i="1"/>
  <c r="R18" i="1"/>
  <c r="Q18" i="1"/>
  <c r="P18" i="1"/>
  <c r="K18" i="1"/>
  <c r="D18" i="1"/>
  <c r="V18" i="1" s="1"/>
  <c r="X18" i="1" s="1"/>
  <c r="W17" i="1"/>
  <c r="R17" i="1"/>
  <c r="Q17" i="1"/>
  <c r="P17" i="1"/>
  <c r="K17" i="1" s="1"/>
  <c r="W16" i="1"/>
  <c r="R16" i="1"/>
  <c r="K16" i="1" s="1"/>
  <c r="Q16" i="1"/>
  <c r="P16" i="1"/>
  <c r="W15" i="1"/>
  <c r="R15" i="1"/>
  <c r="K15" i="1" s="1"/>
  <c r="Q15" i="1"/>
  <c r="P15" i="1"/>
  <c r="W14" i="1"/>
  <c r="R14" i="1"/>
  <c r="Q14" i="1"/>
  <c r="P14" i="1"/>
  <c r="K14" i="1"/>
  <c r="D14" i="1"/>
  <c r="V14" i="1" s="1"/>
  <c r="X14" i="1" s="1"/>
  <c r="W13" i="1"/>
  <c r="R13" i="1"/>
  <c r="Q13" i="1"/>
  <c r="P13" i="1"/>
  <c r="K13" i="1" s="1"/>
  <c r="W12" i="1"/>
  <c r="R12" i="1"/>
  <c r="K12" i="1" s="1"/>
  <c r="Q12" i="1"/>
  <c r="P12" i="1"/>
  <c r="W11" i="1"/>
  <c r="R11" i="1"/>
  <c r="K11" i="1" s="1"/>
  <c r="Q11" i="1"/>
  <c r="P11" i="1"/>
  <c r="W10" i="1"/>
  <c r="R10" i="1"/>
  <c r="Q10" i="1"/>
  <c r="P10" i="1"/>
  <c r="K10" i="1"/>
  <c r="D10" i="1"/>
  <c r="V10" i="1" s="1"/>
  <c r="X10" i="1" s="1"/>
  <c r="W9" i="1"/>
  <c r="R9" i="1"/>
  <c r="Q9" i="1"/>
  <c r="P9" i="1"/>
  <c r="K9" i="1" s="1"/>
  <c r="W8" i="1"/>
  <c r="R8" i="1"/>
  <c r="Q8" i="1"/>
  <c r="P8" i="1"/>
  <c r="W7" i="1"/>
  <c r="R7" i="1"/>
  <c r="K7" i="1" s="1"/>
  <c r="Q7" i="1"/>
  <c r="P7" i="1"/>
  <c r="W6" i="1"/>
  <c r="R6" i="1"/>
  <c r="Q6" i="1"/>
  <c r="P6" i="1"/>
  <c r="K6" i="1"/>
  <c r="D6" i="1"/>
  <c r="Y6" i="1" s="1"/>
  <c r="Z6" i="1" s="1"/>
  <c r="W5" i="1"/>
  <c r="R5" i="1"/>
  <c r="Q5" i="1"/>
  <c r="K5" i="1" s="1"/>
  <c r="P5" i="1"/>
  <c r="W4" i="1"/>
  <c r="R4" i="1"/>
  <c r="K4" i="1" s="1"/>
  <c r="Q4" i="1"/>
  <c r="P4" i="1"/>
  <c r="R3" i="1"/>
  <c r="K3" i="1" s="1"/>
  <c r="Q3" i="1"/>
  <c r="P3" i="1"/>
  <c r="W2" i="1"/>
  <c r="R2" i="1"/>
  <c r="K2" i="1" s="1"/>
  <c r="Q2" i="1"/>
  <c r="P2" i="1"/>
  <c r="D2" i="1"/>
  <c r="V2" i="1" s="1"/>
  <c r="X2" i="1" s="1"/>
  <c r="C2" i="1"/>
  <c r="V489" i="1" l="1"/>
  <c r="X489" i="1" s="1"/>
  <c r="Z489" i="1"/>
  <c r="V22" i="1"/>
  <c r="X22" i="1" s="1"/>
  <c r="Y22" i="1"/>
  <c r="Z22" i="1" s="1"/>
  <c r="V100" i="1"/>
  <c r="X100" i="1" s="1"/>
  <c r="Y100" i="1"/>
  <c r="Z100" i="1" s="1"/>
  <c r="V126" i="1"/>
  <c r="X126" i="1" s="1"/>
  <c r="Y126" i="1"/>
  <c r="Z126" i="1" s="1"/>
  <c r="V90" i="1"/>
  <c r="X90" i="1" s="1"/>
  <c r="Y90" i="1"/>
  <c r="Z90" i="1" s="1"/>
  <c r="V114" i="1"/>
  <c r="X114" i="1" s="1"/>
  <c r="Y114" i="1"/>
  <c r="Z114" i="1" s="1"/>
  <c r="V118" i="1"/>
  <c r="X118" i="1" s="1"/>
  <c r="Y118" i="1"/>
  <c r="Z118" i="1" s="1"/>
  <c r="K136" i="1"/>
  <c r="V92" i="1"/>
  <c r="X92" i="1" s="1"/>
  <c r="Y92" i="1"/>
  <c r="Z92" i="1" s="1"/>
  <c r="V82" i="1"/>
  <c r="X82" i="1" s="1"/>
  <c r="Y82" i="1"/>
  <c r="Z82" i="1" s="1"/>
  <c r="V130" i="1"/>
  <c r="X130" i="1" s="1"/>
  <c r="Y130" i="1"/>
  <c r="Z130" i="1" s="1"/>
  <c r="V134" i="1"/>
  <c r="X134" i="1" s="1"/>
  <c r="Y134" i="1"/>
  <c r="Z134" i="1" s="1"/>
  <c r="V33" i="1"/>
  <c r="X33" i="1" s="1"/>
  <c r="Y33" i="1"/>
  <c r="Z33" i="1" s="1"/>
  <c r="Y37" i="1"/>
  <c r="Z37" i="1" s="1"/>
  <c r="V37" i="1"/>
  <c r="X37" i="1" s="1"/>
  <c r="Y20" i="1"/>
  <c r="Z20" i="1" s="1"/>
  <c r="V20" i="1"/>
  <c r="X20" i="1" s="1"/>
  <c r="Y52" i="1"/>
  <c r="Z52" i="1" s="1"/>
  <c r="V52" i="1"/>
  <c r="X52" i="1" s="1"/>
  <c r="Y48" i="1"/>
  <c r="Z48" i="1" s="1"/>
  <c r="V48" i="1"/>
  <c r="X48" i="1" s="1"/>
  <c r="V84" i="1"/>
  <c r="X84" i="1" s="1"/>
  <c r="Y84" i="1"/>
  <c r="Z84" i="1" s="1"/>
  <c r="V98" i="1"/>
  <c r="X98" i="1" s="1"/>
  <c r="Y98" i="1"/>
  <c r="Z98" i="1" s="1"/>
  <c r="V110" i="1"/>
  <c r="X110" i="1" s="1"/>
  <c r="Y110" i="1"/>
  <c r="Z110" i="1" s="1"/>
  <c r="Y18" i="1"/>
  <c r="Z18" i="1" s="1"/>
  <c r="K56" i="1"/>
  <c r="D56" i="1"/>
  <c r="Y63" i="1"/>
  <c r="Z63" i="1" s="1"/>
  <c r="C146" i="1"/>
  <c r="K146" i="1" s="1"/>
  <c r="C235" i="1"/>
  <c r="K235" i="1" s="1"/>
  <c r="D235" i="1"/>
  <c r="D7" i="1"/>
  <c r="D51" i="1"/>
  <c r="D69" i="1"/>
  <c r="D77" i="1"/>
  <c r="K82" i="1"/>
  <c r="V83" i="1"/>
  <c r="X83" i="1" s="1"/>
  <c r="K90" i="1"/>
  <c r="V91" i="1"/>
  <c r="X91" i="1" s="1"/>
  <c r="K98" i="1"/>
  <c r="V99" i="1"/>
  <c r="X99" i="1" s="1"/>
  <c r="D103" i="1"/>
  <c r="D108" i="1"/>
  <c r="C108" i="1"/>
  <c r="K108" i="1" s="1"/>
  <c r="D112" i="1"/>
  <c r="C118" i="1"/>
  <c r="D119" i="1"/>
  <c r="D124" i="1"/>
  <c r="C124" i="1"/>
  <c r="K124" i="1" s="1"/>
  <c r="D128" i="1"/>
  <c r="C134" i="1"/>
  <c r="D135" i="1"/>
  <c r="K145" i="1"/>
  <c r="C150" i="1"/>
  <c r="K150" i="1"/>
  <c r="V157" i="1"/>
  <c r="X157" i="1" s="1"/>
  <c r="D159" i="1"/>
  <c r="C161" i="1"/>
  <c r="K161" i="1"/>
  <c r="K164" i="1"/>
  <c r="V174" i="1"/>
  <c r="X174" i="1" s="1"/>
  <c r="C186" i="1"/>
  <c r="K186" i="1" s="1"/>
  <c r="Y207" i="1"/>
  <c r="Z207" i="1" s="1"/>
  <c r="V207" i="1"/>
  <c r="X207" i="1" s="1"/>
  <c r="V212" i="1"/>
  <c r="X212" i="1" s="1"/>
  <c r="C229" i="1"/>
  <c r="K229" i="1" s="1"/>
  <c r="D229" i="1"/>
  <c r="K251" i="1"/>
  <c r="V331" i="1"/>
  <c r="X331" i="1" s="1"/>
  <c r="Y331" i="1"/>
  <c r="Z331" i="1" s="1"/>
  <c r="D26" i="1"/>
  <c r="D32" i="1"/>
  <c r="V41" i="1"/>
  <c r="X41" i="1" s="1"/>
  <c r="D3" i="1"/>
  <c r="K22" i="1"/>
  <c r="D27" i="1"/>
  <c r="K37" i="1"/>
  <c r="K60" i="1"/>
  <c r="D60" i="1"/>
  <c r="D67" i="1"/>
  <c r="K72" i="1"/>
  <c r="V73" i="1"/>
  <c r="X73" i="1" s="1"/>
  <c r="D81" i="1"/>
  <c r="D86" i="1"/>
  <c r="D89" i="1"/>
  <c r="D94" i="1"/>
  <c r="D97" i="1"/>
  <c r="D102" i="1"/>
  <c r="K103" i="1"/>
  <c r="K109" i="1"/>
  <c r="V111" i="1"/>
  <c r="X111" i="1" s="1"/>
  <c r="K119" i="1"/>
  <c r="K125" i="1"/>
  <c r="V127" i="1"/>
  <c r="X127" i="1" s="1"/>
  <c r="K135" i="1"/>
  <c r="C139" i="1"/>
  <c r="K139" i="1" s="1"/>
  <c r="V150" i="1"/>
  <c r="X150" i="1" s="1"/>
  <c r="K159" i="1"/>
  <c r="D173" i="1"/>
  <c r="C183" i="1"/>
  <c r="K183" i="1"/>
  <c r="D194" i="1"/>
  <c r="K194" i="1"/>
  <c r="C194" i="1"/>
  <c r="V208" i="1"/>
  <c r="X208" i="1" s="1"/>
  <c r="K232" i="1"/>
  <c r="C232" i="1"/>
  <c r="C257" i="1"/>
  <c r="K257" i="1"/>
  <c r="D257" i="1"/>
  <c r="V276" i="1"/>
  <c r="X276" i="1" s="1"/>
  <c r="Y276" i="1"/>
  <c r="Z276" i="1" s="1"/>
  <c r="Y2" i="1"/>
  <c r="Z2" i="1" s="1"/>
  <c r="Y10" i="1"/>
  <c r="Z10" i="1" s="1"/>
  <c r="Y14" i="1"/>
  <c r="Z14" i="1" s="1"/>
  <c r="Y163" i="1"/>
  <c r="Z163" i="1" s="1"/>
  <c r="V163" i="1"/>
  <c r="X163" i="1" s="1"/>
  <c r="D165" i="1"/>
  <c r="D44" i="1"/>
  <c r="D11" i="1"/>
  <c r="D15" i="1"/>
  <c r="D19" i="1"/>
  <c r="V36" i="1"/>
  <c r="X36" i="1" s="1"/>
  <c r="V47" i="1"/>
  <c r="X47" i="1" s="1"/>
  <c r="K48" i="1"/>
  <c r="D53" i="1"/>
  <c r="D4" i="1"/>
  <c r="C8" i="1"/>
  <c r="K8" i="1" s="1"/>
  <c r="D23" i="1"/>
  <c r="D28" i="1"/>
  <c r="C30" i="1"/>
  <c r="K30" i="1" s="1"/>
  <c r="D34" i="1"/>
  <c r="D40" i="1"/>
  <c r="C46" i="1"/>
  <c r="K46" i="1" s="1"/>
  <c r="D54" i="1"/>
  <c r="V59" i="1"/>
  <c r="X59" i="1" s="1"/>
  <c r="K70" i="1"/>
  <c r="D70" i="1"/>
  <c r="D75" i="1"/>
  <c r="K80" i="1"/>
  <c r="K88" i="1"/>
  <c r="K105" i="1"/>
  <c r="D105" i="1"/>
  <c r="K106" i="1"/>
  <c r="C114" i="1"/>
  <c r="D115" i="1"/>
  <c r="K121" i="1"/>
  <c r="D121" i="1"/>
  <c r="K122" i="1"/>
  <c r="C130" i="1"/>
  <c r="D131" i="1"/>
  <c r="K137" i="1"/>
  <c r="D137" i="1"/>
  <c r="K138" i="1"/>
  <c r="K143" i="1"/>
  <c r="D143" i="1"/>
  <c r="C143" i="1"/>
  <c r="Y144" i="1"/>
  <c r="Z144" i="1" s="1"/>
  <c r="V144" i="1"/>
  <c r="X144" i="1" s="1"/>
  <c r="V155" i="1"/>
  <c r="X155" i="1" s="1"/>
  <c r="D176" i="1"/>
  <c r="K176" i="1"/>
  <c r="D188" i="1"/>
  <c r="K188" i="1"/>
  <c r="V213" i="1"/>
  <c r="X213" i="1" s="1"/>
  <c r="Y213" i="1"/>
  <c r="Z213" i="1" s="1"/>
  <c r="V230" i="1"/>
  <c r="X230" i="1" s="1"/>
  <c r="Y230" i="1"/>
  <c r="Z230" i="1" s="1"/>
  <c r="Y236" i="1"/>
  <c r="Z236" i="1" s="1"/>
  <c r="V236" i="1"/>
  <c r="X236" i="1" s="1"/>
  <c r="K274" i="1"/>
  <c r="D274" i="1"/>
  <c r="C274" i="1"/>
  <c r="V352" i="1"/>
  <c r="X352" i="1" s="1"/>
  <c r="Y352" i="1"/>
  <c r="Z352" i="1" s="1"/>
  <c r="V211" i="1"/>
  <c r="X211" i="1" s="1"/>
  <c r="Y211" i="1"/>
  <c r="Z211" i="1" s="1"/>
  <c r="V6" i="1"/>
  <c r="X6" i="1" s="1"/>
  <c r="D8" i="1"/>
  <c r="D12" i="1"/>
  <c r="D16" i="1"/>
  <c r="V21" i="1"/>
  <c r="X21" i="1" s="1"/>
  <c r="V25" i="1"/>
  <c r="X25" i="1" s="1"/>
  <c r="V30" i="1"/>
  <c r="X30" i="1" s="1"/>
  <c r="D35" i="1"/>
  <c r="V43" i="1"/>
  <c r="X43" i="1" s="1"/>
  <c r="D46" i="1"/>
  <c r="D55" i="1"/>
  <c r="D57" i="1"/>
  <c r="K64" i="1"/>
  <c r="D64" i="1"/>
  <c r="K115" i="1"/>
  <c r="K131" i="1"/>
  <c r="K154" i="1"/>
  <c r="D154" i="1"/>
  <c r="K167" i="1"/>
  <c r="Y183" i="1"/>
  <c r="Z183" i="1" s="1"/>
  <c r="K190" i="1"/>
  <c r="D190" i="1"/>
  <c r="C190" i="1"/>
  <c r="V195" i="1"/>
  <c r="X195" i="1" s="1"/>
  <c r="Y195" i="1"/>
  <c r="Z195" i="1" s="1"/>
  <c r="D199" i="1"/>
  <c r="C199" i="1"/>
  <c r="K199" i="1" s="1"/>
  <c r="C216" i="1"/>
  <c r="K216" i="1" s="1"/>
  <c r="D216" i="1"/>
  <c r="V219" i="1"/>
  <c r="X219" i="1" s="1"/>
  <c r="Y219" i="1"/>
  <c r="Z219" i="1" s="1"/>
  <c r="C223" i="1"/>
  <c r="Y228" i="1"/>
  <c r="Z228" i="1" s="1"/>
  <c r="V228" i="1"/>
  <c r="X228" i="1" s="1"/>
  <c r="D24" i="1"/>
  <c r="D29" i="1"/>
  <c r="K41" i="1"/>
  <c r="D42" i="1"/>
  <c r="D58" i="1"/>
  <c r="V65" i="1"/>
  <c r="X65" i="1" s="1"/>
  <c r="C110" i="1"/>
  <c r="K110" i="1" s="1"/>
  <c r="D116" i="1"/>
  <c r="C116" i="1"/>
  <c r="K116" i="1" s="1"/>
  <c r="K118" i="1"/>
  <c r="C126" i="1"/>
  <c r="K126" i="1" s="1"/>
  <c r="D132" i="1"/>
  <c r="C132" i="1"/>
  <c r="K132" i="1" s="1"/>
  <c r="K134" i="1"/>
  <c r="D146" i="1"/>
  <c r="K147" i="1"/>
  <c r="D147" i="1"/>
  <c r="C156" i="1"/>
  <c r="K156" i="1" s="1"/>
  <c r="K162" i="1"/>
  <c r="D162" i="1"/>
  <c r="C162" i="1"/>
  <c r="C165" i="1"/>
  <c r="K165" i="1" s="1"/>
  <c r="K184" i="1"/>
  <c r="C184" i="1"/>
  <c r="V187" i="1"/>
  <c r="X187" i="1" s="1"/>
  <c r="Y187" i="1"/>
  <c r="Z187" i="1" s="1"/>
  <c r="Y189" i="1"/>
  <c r="Z189" i="1" s="1"/>
  <c r="V189" i="1"/>
  <c r="X189" i="1" s="1"/>
  <c r="C245" i="1"/>
  <c r="K245" i="1" s="1"/>
  <c r="D245" i="1"/>
  <c r="V256" i="1"/>
  <c r="X256" i="1" s="1"/>
  <c r="Y256" i="1"/>
  <c r="Z256" i="1" s="1"/>
  <c r="K273" i="1"/>
  <c r="D273" i="1"/>
  <c r="C273" i="1"/>
  <c r="D292" i="1"/>
  <c r="C292" i="1"/>
  <c r="K292" i="1" s="1"/>
  <c r="C313" i="1"/>
  <c r="K313" i="1" s="1"/>
  <c r="D313" i="1"/>
  <c r="D319" i="1"/>
  <c r="C319" i="1"/>
  <c r="D9" i="1"/>
  <c r="D13" i="1"/>
  <c r="D17" i="1"/>
  <c r="K20" i="1"/>
  <c r="K33" i="1"/>
  <c r="D45" i="1"/>
  <c r="K76" i="1"/>
  <c r="Y80" i="1"/>
  <c r="Z80" i="1" s="1"/>
  <c r="Y88" i="1"/>
  <c r="Z88" i="1" s="1"/>
  <c r="V104" i="1"/>
  <c r="X104" i="1" s="1"/>
  <c r="Y106" i="1"/>
  <c r="Z106" i="1" s="1"/>
  <c r="K117" i="1"/>
  <c r="V120" i="1"/>
  <c r="X120" i="1" s="1"/>
  <c r="Y122" i="1"/>
  <c r="Z122" i="1" s="1"/>
  <c r="K133" i="1"/>
  <c r="V136" i="1"/>
  <c r="X136" i="1" s="1"/>
  <c r="Y138" i="1"/>
  <c r="Z138" i="1" s="1"/>
  <c r="D151" i="1"/>
  <c r="C151" i="1"/>
  <c r="K151" i="1" s="1"/>
  <c r="V153" i="1"/>
  <c r="X153" i="1" s="1"/>
  <c r="Y153" i="1"/>
  <c r="Z153" i="1" s="1"/>
  <c r="D156" i="1"/>
  <c r="K158" i="1"/>
  <c r="D158" i="1"/>
  <c r="V161" i="1"/>
  <c r="X161" i="1" s="1"/>
  <c r="Y161" i="1"/>
  <c r="Z161" i="1" s="1"/>
  <c r="V186" i="1"/>
  <c r="X186" i="1" s="1"/>
  <c r="Y186" i="1"/>
  <c r="Z186" i="1" s="1"/>
  <c r="Y198" i="1"/>
  <c r="Z198" i="1" s="1"/>
  <c r="V198" i="1"/>
  <c r="X198" i="1" s="1"/>
  <c r="V200" i="1"/>
  <c r="X200" i="1" s="1"/>
  <c r="Y200" i="1"/>
  <c r="Z200" i="1" s="1"/>
  <c r="D202" i="1"/>
  <c r="C202" i="1"/>
  <c r="K202" i="1"/>
  <c r="C213" i="1"/>
  <c r="K213" i="1" s="1"/>
  <c r="K222" i="1"/>
  <c r="C222" i="1"/>
  <c r="D222" i="1"/>
  <c r="V224" i="1"/>
  <c r="X224" i="1" s="1"/>
  <c r="Y224" i="1"/>
  <c r="Z224" i="1" s="1"/>
  <c r="D250" i="1"/>
  <c r="C250" i="1"/>
  <c r="K250" i="1" s="1"/>
  <c r="V312" i="1"/>
  <c r="X312" i="1" s="1"/>
  <c r="Y312" i="1"/>
  <c r="Z312" i="1" s="1"/>
  <c r="D5" i="1"/>
  <c r="K52" i="1"/>
  <c r="D61" i="1"/>
  <c r="K68" i="1"/>
  <c r="Y96" i="1"/>
  <c r="Z96" i="1" s="1"/>
  <c r="Y31" i="1"/>
  <c r="Z31" i="1" s="1"/>
  <c r="Y50" i="1"/>
  <c r="Z50" i="1" s="1"/>
  <c r="K74" i="1"/>
  <c r="D74" i="1"/>
  <c r="K84" i="1"/>
  <c r="V85" i="1"/>
  <c r="X85" i="1" s="1"/>
  <c r="K92" i="1"/>
  <c r="V93" i="1"/>
  <c r="X93" i="1" s="1"/>
  <c r="K100" i="1"/>
  <c r="V101" i="1"/>
  <c r="X101" i="1" s="1"/>
  <c r="K113" i="1"/>
  <c r="D113" i="1"/>
  <c r="K114" i="1"/>
  <c r="K129" i="1"/>
  <c r="D129" i="1"/>
  <c r="K130" i="1"/>
  <c r="D140" i="1"/>
  <c r="C140" i="1"/>
  <c r="K140" i="1" s="1"/>
  <c r="K155" i="1"/>
  <c r="Y180" i="1"/>
  <c r="Z180" i="1" s="1"/>
  <c r="V180" i="1"/>
  <c r="X180" i="1" s="1"/>
  <c r="D181" i="1"/>
  <c r="C181" i="1"/>
  <c r="K181" i="1" s="1"/>
  <c r="D192" i="1"/>
  <c r="K192" i="1"/>
  <c r="K209" i="1"/>
  <c r="D209" i="1"/>
  <c r="C209" i="1"/>
  <c r="V217" i="1"/>
  <c r="X217" i="1" s="1"/>
  <c r="Y217" i="1"/>
  <c r="Z217" i="1" s="1"/>
  <c r="V232" i="1"/>
  <c r="X232" i="1" s="1"/>
  <c r="Y232" i="1"/>
  <c r="Z232" i="1" s="1"/>
  <c r="D233" i="1"/>
  <c r="C233" i="1"/>
  <c r="K233" i="1" s="1"/>
  <c r="K275" i="1"/>
  <c r="C285" i="1"/>
  <c r="D285" i="1"/>
  <c r="K141" i="1"/>
  <c r="D152" i="1"/>
  <c r="C166" i="1"/>
  <c r="K166" i="1" s="1"/>
  <c r="D169" i="1"/>
  <c r="C171" i="1"/>
  <c r="C173" i="1"/>
  <c r="C177" i="1"/>
  <c r="K177" i="1" s="1"/>
  <c r="C178" i="1"/>
  <c r="K178" i="1" s="1"/>
  <c r="C187" i="1"/>
  <c r="K191" i="1"/>
  <c r="C191" i="1"/>
  <c r="K214" i="1"/>
  <c r="D214" i="1"/>
  <c r="D225" i="1"/>
  <c r="K227" i="1"/>
  <c r="C239" i="1"/>
  <c r="D253" i="1"/>
  <c r="C253" i="1"/>
  <c r="K253" i="1" s="1"/>
  <c r="D261" i="1"/>
  <c r="C261" i="1"/>
  <c r="K261" i="1" s="1"/>
  <c r="Y264" i="1"/>
  <c r="Z264" i="1" s="1"/>
  <c r="K268" i="1"/>
  <c r="D268" i="1"/>
  <c r="C268" i="1"/>
  <c r="Y280" i="1"/>
  <c r="Z280" i="1" s="1"/>
  <c r="V280" i="1"/>
  <c r="X280" i="1" s="1"/>
  <c r="C281" i="1"/>
  <c r="Y284" i="1"/>
  <c r="Z284" i="1" s="1"/>
  <c r="V284" i="1"/>
  <c r="X284" i="1" s="1"/>
  <c r="K289" i="1"/>
  <c r="D289" i="1"/>
  <c r="C289" i="1"/>
  <c r="K310" i="1"/>
  <c r="C310" i="1"/>
  <c r="D344" i="1"/>
  <c r="C344" i="1"/>
  <c r="K344" i="1" s="1"/>
  <c r="D357" i="1"/>
  <c r="C357" i="1"/>
  <c r="K357" i="1" s="1"/>
  <c r="K149" i="1"/>
  <c r="D160" i="1"/>
  <c r="D166" i="1"/>
  <c r="V167" i="1"/>
  <c r="X167" i="1" s="1"/>
  <c r="C174" i="1"/>
  <c r="K174" i="1" s="1"/>
  <c r="D178" i="1"/>
  <c r="D196" i="1"/>
  <c r="C211" i="1"/>
  <c r="K211" i="1" s="1"/>
  <c r="K215" i="1"/>
  <c r="D215" i="1"/>
  <c r="D227" i="1"/>
  <c r="C228" i="1"/>
  <c r="K228" i="1" s="1"/>
  <c r="D243" i="1"/>
  <c r="K244" i="1"/>
  <c r="D255" i="1"/>
  <c r="Y262" i="1"/>
  <c r="Z262" i="1" s="1"/>
  <c r="Y265" i="1"/>
  <c r="Z265" i="1" s="1"/>
  <c r="C270" i="1"/>
  <c r="K270" i="1" s="1"/>
  <c r="D270" i="1"/>
  <c r="C279" i="1"/>
  <c r="C295" i="1"/>
  <c r="K295" i="1"/>
  <c r="D295" i="1"/>
  <c r="D300" i="1"/>
  <c r="D168" i="1"/>
  <c r="K196" i="1"/>
  <c r="K198" i="1"/>
  <c r="D203" i="1"/>
  <c r="D206" i="1"/>
  <c r="C206" i="1"/>
  <c r="K206" i="1" s="1"/>
  <c r="K207" i="1"/>
  <c r="C207" i="1"/>
  <c r="D210" i="1"/>
  <c r="K210" i="1"/>
  <c r="C236" i="1"/>
  <c r="K236" i="1" s="1"/>
  <c r="C256" i="1"/>
  <c r="K256" i="1" s="1"/>
  <c r="Y263" i="1"/>
  <c r="Z263" i="1" s="1"/>
  <c r="D267" i="1"/>
  <c r="K267" i="1"/>
  <c r="C267" i="1"/>
  <c r="Y282" i="1"/>
  <c r="Z282" i="1" s="1"/>
  <c r="C284" i="1"/>
  <c r="K284" i="1" s="1"/>
  <c r="D287" i="1"/>
  <c r="C287" i="1"/>
  <c r="K287" i="1" s="1"/>
  <c r="K303" i="1"/>
  <c r="D303" i="1"/>
  <c r="C303" i="1"/>
  <c r="C305" i="1"/>
  <c r="K305" i="1" s="1"/>
  <c r="C333" i="1"/>
  <c r="K333" i="1" s="1"/>
  <c r="D333" i="1"/>
  <c r="D380" i="1"/>
  <c r="C380" i="1"/>
  <c r="K380" i="1" s="1"/>
  <c r="D248" i="1"/>
  <c r="K248" i="1"/>
  <c r="V278" i="1"/>
  <c r="X278" i="1" s="1"/>
  <c r="Y278" i="1"/>
  <c r="Z278" i="1" s="1"/>
  <c r="C291" i="1"/>
  <c r="D291" i="1"/>
  <c r="K291" i="1"/>
  <c r="D294" i="1"/>
  <c r="C294" i="1"/>
  <c r="D316" i="1"/>
  <c r="C316" i="1"/>
  <c r="K316" i="1"/>
  <c r="D318" i="1"/>
  <c r="C318" i="1"/>
  <c r="K318" i="1" s="1"/>
  <c r="K173" i="1"/>
  <c r="D177" i="1"/>
  <c r="K223" i="1"/>
  <c r="D223" i="1"/>
  <c r="D242" i="1"/>
  <c r="C242" i="1"/>
  <c r="K242" i="1"/>
  <c r="C251" i="1"/>
  <c r="D251" i="1"/>
  <c r="K255" i="1"/>
  <c r="D260" i="1"/>
  <c r="K266" i="1"/>
  <c r="D266" i="1"/>
  <c r="C266" i="1"/>
  <c r="C272" i="1"/>
  <c r="K272" i="1" s="1"/>
  <c r="D272" i="1"/>
  <c r="D275" i="1"/>
  <c r="C275" i="1"/>
  <c r="K294" i="1"/>
  <c r="K296" i="1"/>
  <c r="D301" i="1"/>
  <c r="V305" i="1"/>
  <c r="X305" i="1" s="1"/>
  <c r="Y305" i="1"/>
  <c r="Z305" i="1" s="1"/>
  <c r="D323" i="1"/>
  <c r="C323" i="1"/>
  <c r="K323" i="1" s="1"/>
  <c r="Y408" i="1"/>
  <c r="Z408" i="1" s="1"/>
  <c r="V408" i="1"/>
  <c r="X408" i="1" s="1"/>
  <c r="D68" i="1"/>
  <c r="D72" i="1"/>
  <c r="D76" i="1"/>
  <c r="C104" i="1"/>
  <c r="K104" i="1" s="1"/>
  <c r="D109" i="1"/>
  <c r="C112" i="1"/>
  <c r="K112" i="1" s="1"/>
  <c r="D117" i="1"/>
  <c r="C120" i="1"/>
  <c r="K120" i="1" s="1"/>
  <c r="D125" i="1"/>
  <c r="C128" i="1"/>
  <c r="K128" i="1" s="1"/>
  <c r="D133" i="1"/>
  <c r="C136" i="1"/>
  <c r="D141" i="1"/>
  <c r="C142" i="1"/>
  <c r="K142" i="1" s="1"/>
  <c r="D145" i="1"/>
  <c r="C147" i="1"/>
  <c r="C149" i="1"/>
  <c r="K152" i="1"/>
  <c r="C153" i="1"/>
  <c r="K153" i="1" s="1"/>
  <c r="C160" i="1"/>
  <c r="D164" i="1"/>
  <c r="K171" i="1"/>
  <c r="C172" i="1"/>
  <c r="K172" i="1" s="1"/>
  <c r="D175" i="1"/>
  <c r="C182" i="1"/>
  <c r="K182" i="1" s="1"/>
  <c r="D184" i="1"/>
  <c r="K187" i="1"/>
  <c r="D191" i="1"/>
  <c r="C208" i="1"/>
  <c r="K208" i="1" s="1"/>
  <c r="D237" i="1"/>
  <c r="K247" i="1"/>
  <c r="D247" i="1"/>
  <c r="C247" i="1"/>
  <c r="C254" i="1"/>
  <c r="K254" i="1" s="1"/>
  <c r="D254" i="1"/>
  <c r="D269" i="1"/>
  <c r="C269" i="1"/>
  <c r="K269" i="1" s="1"/>
  <c r="D281" i="1"/>
  <c r="D286" i="1"/>
  <c r="C286" i="1"/>
  <c r="K286" i="1" s="1"/>
  <c r="D290" i="1"/>
  <c r="C290" i="1"/>
  <c r="C311" i="1"/>
  <c r="K311" i="1" s="1"/>
  <c r="D311" i="1"/>
  <c r="V315" i="1"/>
  <c r="X315" i="1" s="1"/>
  <c r="Y315" i="1"/>
  <c r="Z315" i="1" s="1"/>
  <c r="D332" i="1"/>
  <c r="K332" i="1"/>
  <c r="V337" i="1"/>
  <c r="X337" i="1" s="1"/>
  <c r="Y337" i="1"/>
  <c r="Z337" i="1" s="1"/>
  <c r="K365" i="1"/>
  <c r="C365" i="1"/>
  <c r="D149" i="1"/>
  <c r="C155" i="1"/>
  <c r="C157" i="1"/>
  <c r="K157" i="1" s="1"/>
  <c r="K160" i="1"/>
  <c r="C168" i="1"/>
  <c r="K168" i="1" s="1"/>
  <c r="D182" i="1"/>
  <c r="D185" i="1"/>
  <c r="C195" i="1"/>
  <c r="K195" i="1" s="1"/>
  <c r="C203" i="1"/>
  <c r="K203" i="1" s="1"/>
  <c r="C221" i="1"/>
  <c r="K221" i="1" s="1"/>
  <c r="D221" i="1"/>
  <c r="D234" i="1"/>
  <c r="C234" i="1"/>
  <c r="K234" i="1" s="1"/>
  <c r="K241" i="1"/>
  <c r="D241" i="1"/>
  <c r="K249" i="1"/>
  <c r="C252" i="1"/>
  <c r="K252" i="1" s="1"/>
  <c r="D271" i="1"/>
  <c r="C271" i="1"/>
  <c r="K271" i="1" s="1"/>
  <c r="C278" i="1"/>
  <c r="K278" i="1" s="1"/>
  <c r="K281" i="1"/>
  <c r="D288" i="1"/>
  <c r="C288" i="1"/>
  <c r="K288" i="1" s="1"/>
  <c r="K290" i="1"/>
  <c r="D310" i="1"/>
  <c r="Y336" i="1"/>
  <c r="Z336" i="1" s="1"/>
  <c r="V336" i="1"/>
  <c r="X336" i="1" s="1"/>
  <c r="C237" i="1"/>
  <c r="K237" i="1" s="1"/>
  <c r="D277" i="1"/>
  <c r="C277" i="1"/>
  <c r="K277" i="1" s="1"/>
  <c r="K279" i="1"/>
  <c r="C280" i="1"/>
  <c r="K280" i="1" s="1"/>
  <c r="C283" i="1"/>
  <c r="K283" i="1"/>
  <c r="D283" i="1"/>
  <c r="C296" i="1"/>
  <c r="Y309" i="1"/>
  <c r="Z309" i="1" s="1"/>
  <c r="V309" i="1"/>
  <c r="X309" i="1" s="1"/>
  <c r="K315" i="1"/>
  <c r="C349" i="1"/>
  <c r="K349" i="1"/>
  <c r="D349" i="1"/>
  <c r="C189" i="1"/>
  <c r="K189" i="1" s="1"/>
  <c r="K212" i="1"/>
  <c r="D218" i="1"/>
  <c r="C218" i="1"/>
  <c r="K218" i="1" s="1"/>
  <c r="K231" i="1"/>
  <c r="D231" i="1"/>
  <c r="K258" i="1"/>
  <c r="D258" i="1"/>
  <c r="D259" i="1"/>
  <c r="C321" i="1"/>
  <c r="K321" i="1" s="1"/>
  <c r="D321" i="1"/>
  <c r="C325" i="1"/>
  <c r="K325" i="1" s="1"/>
  <c r="D325" i="1"/>
  <c r="V358" i="1"/>
  <c r="X358" i="1" s="1"/>
  <c r="Y358" i="1"/>
  <c r="Z358" i="1" s="1"/>
  <c r="C370" i="1"/>
  <c r="K370" i="1" s="1"/>
  <c r="D370" i="1"/>
  <c r="V394" i="1"/>
  <c r="X394" i="1" s="1"/>
  <c r="Y394" i="1"/>
  <c r="Z394" i="1" s="1"/>
  <c r="C264" i="1"/>
  <c r="K264" i="1"/>
  <c r="C304" i="1"/>
  <c r="K304" i="1" s="1"/>
  <c r="D304" i="1"/>
  <c r="C312" i="1"/>
  <c r="K312" i="1" s="1"/>
  <c r="C317" i="1"/>
  <c r="D317" i="1"/>
  <c r="K317" i="1"/>
  <c r="D320" i="1"/>
  <c r="K320" i="1"/>
  <c r="C320" i="1"/>
  <c r="K327" i="1"/>
  <c r="D327" i="1"/>
  <c r="C327" i="1"/>
  <c r="D339" i="1"/>
  <c r="K339" i="1"/>
  <c r="Y341" i="1"/>
  <c r="Z341" i="1" s="1"/>
  <c r="V341" i="1"/>
  <c r="X341" i="1" s="1"/>
  <c r="V347" i="1"/>
  <c r="X347" i="1" s="1"/>
  <c r="Y347" i="1"/>
  <c r="Z347" i="1" s="1"/>
  <c r="K366" i="1"/>
  <c r="C366" i="1"/>
  <c r="D410" i="1"/>
  <c r="C410" i="1"/>
  <c r="K410" i="1" s="1"/>
  <c r="D450" i="1"/>
  <c r="C450" i="1"/>
  <c r="K450" i="1" s="1"/>
  <c r="C205" i="1"/>
  <c r="K205" i="1" s="1"/>
  <c r="K220" i="1"/>
  <c r="D226" i="1"/>
  <c r="C226" i="1"/>
  <c r="K226" i="1" s="1"/>
  <c r="K239" i="1"/>
  <c r="D239" i="1"/>
  <c r="D240" i="1"/>
  <c r="C243" i="1"/>
  <c r="K243" i="1" s="1"/>
  <c r="C331" i="1"/>
  <c r="K338" i="1"/>
  <c r="V342" i="1"/>
  <c r="X342" i="1" s="1"/>
  <c r="V409" i="1"/>
  <c r="X409" i="1" s="1"/>
  <c r="Y409" i="1"/>
  <c r="Z409" i="1" s="1"/>
  <c r="C376" i="1"/>
  <c r="K376" i="1"/>
  <c r="D376" i="1"/>
  <c r="K389" i="1"/>
  <c r="C389" i="1"/>
  <c r="K426" i="1"/>
  <c r="D426" i="1"/>
  <c r="C426" i="1"/>
  <c r="V343" i="1"/>
  <c r="X343" i="1" s="1"/>
  <c r="Y343" i="1"/>
  <c r="Z343" i="1" s="1"/>
  <c r="C346" i="1"/>
  <c r="K346" i="1" s="1"/>
  <c r="V382" i="1"/>
  <c r="X382" i="1" s="1"/>
  <c r="Y382" i="1"/>
  <c r="Z382" i="1" s="1"/>
  <c r="K299" i="1"/>
  <c r="D299" i="1"/>
  <c r="C300" i="1"/>
  <c r="K300" i="1" s="1"/>
  <c r="D326" i="1"/>
  <c r="D334" i="1"/>
  <c r="K334" i="1"/>
  <c r="C341" i="1"/>
  <c r="K341" i="1"/>
  <c r="D359" i="1"/>
  <c r="K359" i="1"/>
  <c r="D369" i="1"/>
  <c r="C400" i="1"/>
  <c r="D400" i="1"/>
  <c r="K400" i="1"/>
  <c r="D415" i="1"/>
  <c r="K415" i="1"/>
  <c r="C415" i="1"/>
  <c r="K417" i="1"/>
  <c r="D417" i="1"/>
  <c r="C434" i="1"/>
  <c r="D434" i="1"/>
  <c r="D373" i="1"/>
  <c r="K373" i="1"/>
  <c r="C373" i="1"/>
  <c r="D379" i="1"/>
  <c r="C379" i="1"/>
  <c r="K379" i="1" s="1"/>
  <c r="Y384" i="1"/>
  <c r="Z384" i="1" s="1"/>
  <c r="V384" i="1"/>
  <c r="X384" i="1" s="1"/>
  <c r="C394" i="1"/>
  <c r="K394" i="1" s="1"/>
  <c r="V414" i="1"/>
  <c r="X414" i="1" s="1"/>
  <c r="Y414" i="1"/>
  <c r="Z414" i="1" s="1"/>
  <c r="C423" i="1"/>
  <c r="K423" i="1"/>
  <c r="D423" i="1"/>
  <c r="C391" i="1"/>
  <c r="K391" i="1" s="1"/>
  <c r="D391" i="1"/>
  <c r="C393" i="1"/>
  <c r="D393" i="1"/>
  <c r="K393" i="1"/>
  <c r="D397" i="1"/>
  <c r="K397" i="1"/>
  <c r="C411" i="1"/>
  <c r="K411" i="1" s="1"/>
  <c r="D411" i="1"/>
  <c r="D451" i="1"/>
  <c r="C451" i="1"/>
  <c r="K451" i="1"/>
  <c r="K308" i="1"/>
  <c r="K328" i="1"/>
  <c r="C328" i="1"/>
  <c r="K331" i="1"/>
  <c r="K347" i="1"/>
  <c r="C347" i="1"/>
  <c r="Y350" i="1"/>
  <c r="Z350" i="1" s="1"/>
  <c r="V350" i="1"/>
  <c r="X350" i="1" s="1"/>
  <c r="K351" i="1"/>
  <c r="D351" i="1"/>
  <c r="C351" i="1"/>
  <c r="D355" i="1"/>
  <c r="K355" i="1"/>
  <c r="C355" i="1"/>
  <c r="C358" i="1"/>
  <c r="K358" i="1" s="1"/>
  <c r="D360" i="1"/>
  <c r="C364" i="1"/>
  <c r="D364" i="1"/>
  <c r="K364" i="1"/>
  <c r="C375" i="1"/>
  <c r="K375" i="1" s="1"/>
  <c r="D375" i="1"/>
  <c r="D390" i="1"/>
  <c r="C390" i="1"/>
  <c r="K390" i="1" s="1"/>
  <c r="C399" i="1"/>
  <c r="K399" i="1" s="1"/>
  <c r="D399" i="1"/>
  <c r="K285" i="1"/>
  <c r="D296" i="1"/>
  <c r="D306" i="1"/>
  <c r="K306" i="1"/>
  <c r="D307" i="1"/>
  <c r="C307" i="1"/>
  <c r="K307" i="1" s="1"/>
  <c r="D322" i="1"/>
  <c r="C322" i="1"/>
  <c r="K322" i="1" s="1"/>
  <c r="X324" i="1"/>
  <c r="K329" i="1"/>
  <c r="C348" i="1"/>
  <c r="K348" i="1" s="1"/>
  <c r="K371" i="1"/>
  <c r="D371" i="1"/>
  <c r="D377" i="1"/>
  <c r="C377" i="1"/>
  <c r="K377" i="1" s="1"/>
  <c r="K435" i="1"/>
  <c r="K293" i="1"/>
  <c r="C350" i="1"/>
  <c r="K350" i="1"/>
  <c r="D398" i="1"/>
  <c r="C398" i="1"/>
  <c r="K398" i="1" s="1"/>
  <c r="K422" i="1"/>
  <c r="D422" i="1"/>
  <c r="C422" i="1"/>
  <c r="D441" i="1"/>
  <c r="K441" i="1"/>
  <c r="C441" i="1"/>
  <c r="C425" i="1"/>
  <c r="K425" i="1"/>
  <c r="D425" i="1"/>
  <c r="C432" i="1"/>
  <c r="K432" i="1" s="1"/>
  <c r="D432" i="1"/>
  <c r="Y433" i="1"/>
  <c r="Z433" i="1" s="1"/>
  <c r="C444" i="1"/>
  <c r="D444" i="1"/>
  <c r="K444" i="1"/>
  <c r="V446" i="1"/>
  <c r="X446" i="1" s="1"/>
  <c r="Y446" i="1"/>
  <c r="Z446" i="1" s="1"/>
  <c r="K457" i="1"/>
  <c r="D314" i="1"/>
  <c r="K335" i="1"/>
  <c r="D354" i="1"/>
  <c r="C354" i="1"/>
  <c r="K354" i="1" s="1"/>
  <c r="D378" i="1"/>
  <c r="C378" i="1"/>
  <c r="D386" i="1"/>
  <c r="C386" i="1"/>
  <c r="K386" i="1" s="1"/>
  <c r="Y401" i="1"/>
  <c r="Z401" i="1" s="1"/>
  <c r="D405" i="1"/>
  <c r="K405" i="1"/>
  <c r="C405" i="1"/>
  <c r="D431" i="1"/>
  <c r="C431" i="1"/>
  <c r="K431" i="1" s="1"/>
  <c r="D435" i="1"/>
  <c r="C435" i="1"/>
  <c r="C438" i="1"/>
  <c r="K438" i="1" s="1"/>
  <c r="D438" i="1"/>
  <c r="K319" i="1"/>
  <c r="D330" i="1"/>
  <c r="K343" i="1"/>
  <c r="C363" i="1"/>
  <c r="K363" i="1"/>
  <c r="D363" i="1"/>
  <c r="K368" i="1"/>
  <c r="D368" i="1"/>
  <c r="C382" i="1"/>
  <c r="K382" i="1"/>
  <c r="C404" i="1"/>
  <c r="K404" i="1"/>
  <c r="D404" i="1"/>
  <c r="K414" i="1"/>
  <c r="C440" i="1"/>
  <c r="K440" i="1" s="1"/>
  <c r="D440" i="1"/>
  <c r="Y442" i="1"/>
  <c r="Z442" i="1" s="1"/>
  <c r="V442" i="1"/>
  <c r="X442" i="1" s="1"/>
  <c r="D443" i="1"/>
  <c r="K443" i="1"/>
  <c r="C446" i="1"/>
  <c r="K446" i="1"/>
  <c r="K453" i="1"/>
  <c r="D453" i="1"/>
  <c r="C453" i="1"/>
  <c r="V476" i="1"/>
  <c r="X476" i="1" s="1"/>
  <c r="Y476" i="1"/>
  <c r="Z476" i="1" s="1"/>
  <c r="K409" i="1"/>
  <c r="V418" i="1"/>
  <c r="X418" i="1" s="1"/>
  <c r="C427" i="1"/>
  <c r="K427" i="1"/>
  <c r="D427" i="1"/>
  <c r="D460" i="1"/>
  <c r="C460" i="1"/>
  <c r="K460" i="1" s="1"/>
  <c r="C301" i="1"/>
  <c r="K301" i="1" s="1"/>
  <c r="C314" i="1"/>
  <c r="C326" i="1"/>
  <c r="K326" i="1" s="1"/>
  <c r="D329" i="1"/>
  <c r="C335" i="1"/>
  <c r="K337" i="1"/>
  <c r="D340" i="1"/>
  <c r="K345" i="1"/>
  <c r="D345" i="1"/>
  <c r="D346" i="1"/>
  <c r="K362" i="1"/>
  <c r="D362" i="1"/>
  <c r="C362" i="1"/>
  <c r="C374" i="1"/>
  <c r="K374" i="1" s="1"/>
  <c r="D374" i="1"/>
  <c r="D381" i="1"/>
  <c r="C381" i="1"/>
  <c r="K381" i="1" s="1"/>
  <c r="Y383" i="1"/>
  <c r="Z383" i="1" s="1"/>
  <c r="K388" i="1"/>
  <c r="D388" i="1"/>
  <c r="C388" i="1"/>
  <c r="C392" i="1"/>
  <c r="K392" i="1"/>
  <c r="D392" i="1"/>
  <c r="K401" i="1"/>
  <c r="K403" i="1"/>
  <c r="D403" i="1"/>
  <c r="C403" i="1"/>
  <c r="K412" i="1"/>
  <c r="D412" i="1"/>
  <c r="C416" i="1"/>
  <c r="K416" i="1" s="1"/>
  <c r="D416" i="1"/>
  <c r="C433" i="1"/>
  <c r="K433" i="1" s="1"/>
  <c r="D439" i="1"/>
  <c r="C439" i="1"/>
  <c r="K439" i="1" s="1"/>
  <c r="C309" i="1"/>
  <c r="K309" i="1" s="1"/>
  <c r="K314" i="1"/>
  <c r="D335" i="1"/>
  <c r="D338" i="1"/>
  <c r="D356" i="1"/>
  <c r="C356" i="1"/>
  <c r="K356" i="1" s="1"/>
  <c r="D387" i="1"/>
  <c r="C387" i="1"/>
  <c r="K387" i="1"/>
  <c r="D421" i="1"/>
  <c r="K421" i="1"/>
  <c r="C430" i="1"/>
  <c r="K430" i="1"/>
  <c r="D430" i="1"/>
  <c r="K436" i="1"/>
  <c r="C436" i="1"/>
  <c r="D436" i="1"/>
  <c r="K442" i="1"/>
  <c r="C442" i="1"/>
  <c r="K473" i="1"/>
  <c r="D473" i="1"/>
  <c r="C473" i="1"/>
  <c r="K420" i="1"/>
  <c r="D420" i="1"/>
  <c r="V458" i="1"/>
  <c r="X458" i="1" s="1"/>
  <c r="Y458" i="1"/>
  <c r="Z458" i="1" s="1"/>
  <c r="C352" i="1"/>
  <c r="K352" i="1" s="1"/>
  <c r="K372" i="1"/>
  <c r="X447" i="1"/>
  <c r="C454" i="1"/>
  <c r="K454" i="1" s="1"/>
  <c r="D454" i="1"/>
  <c r="V465" i="1"/>
  <c r="X465" i="1" s="1"/>
  <c r="Y465" i="1"/>
  <c r="Z465" i="1" s="1"/>
  <c r="C424" i="1"/>
  <c r="K424" i="1"/>
  <c r="D424" i="1"/>
  <c r="D429" i="1"/>
  <c r="K429" i="1"/>
  <c r="D445" i="1"/>
  <c r="C445" i="1"/>
  <c r="K445" i="1" s="1"/>
  <c r="D449" i="1"/>
  <c r="K449" i="1"/>
  <c r="D457" i="1"/>
  <c r="C457" i="1"/>
  <c r="C461" i="1"/>
  <c r="K461" i="1" s="1"/>
  <c r="C474" i="1"/>
  <c r="K474" i="1" s="1"/>
  <c r="D474" i="1"/>
  <c r="D468" i="1"/>
  <c r="C468" i="1"/>
  <c r="K468" i="1" s="1"/>
  <c r="D478" i="1"/>
  <c r="C478" i="1"/>
  <c r="K478" i="1" s="1"/>
  <c r="D471" i="1"/>
  <c r="C471" i="1"/>
  <c r="K471" i="1" s="1"/>
  <c r="K486" i="1"/>
  <c r="D486" i="1"/>
  <c r="C486" i="1"/>
  <c r="D365" i="1"/>
  <c r="D389" i="1"/>
  <c r="C464" i="1"/>
  <c r="K464" i="1" s="1"/>
  <c r="D464" i="1"/>
  <c r="K485" i="1"/>
  <c r="C485" i="1"/>
  <c r="C360" i="1"/>
  <c r="K360" i="1" s="1"/>
  <c r="D366" i="1"/>
  <c r="K378" i="1"/>
  <c r="C384" i="1"/>
  <c r="K384" i="1" s="1"/>
  <c r="D385" i="1"/>
  <c r="D396" i="1"/>
  <c r="K407" i="1"/>
  <c r="K418" i="1"/>
  <c r="X452" i="1"/>
  <c r="C456" i="1"/>
  <c r="K456" i="1"/>
  <c r="D456" i="1"/>
  <c r="D475" i="1"/>
  <c r="C480" i="1"/>
  <c r="K480" i="1"/>
  <c r="D480" i="1"/>
  <c r="D487" i="1"/>
  <c r="C487" i="1"/>
  <c r="K487" i="1" s="1"/>
  <c r="V466" i="1"/>
  <c r="X466" i="1" s="1"/>
  <c r="Y466" i="1"/>
  <c r="Z466" i="1" s="1"/>
  <c r="D437" i="1"/>
  <c r="C465" i="1"/>
  <c r="K465" i="1" s="1"/>
  <c r="K467" i="1"/>
  <c r="D467" i="1"/>
  <c r="C482" i="1"/>
  <c r="K482" i="1" s="1"/>
  <c r="D482" i="1"/>
  <c r="D485" i="1"/>
  <c r="C472" i="1"/>
  <c r="K472" i="1"/>
  <c r="D472" i="1"/>
  <c r="C475" i="1"/>
  <c r="K475" i="1" s="1"/>
  <c r="C484" i="1"/>
  <c r="K484" i="1"/>
  <c r="D484" i="1"/>
  <c r="C368" i="1"/>
  <c r="K402" i="1"/>
  <c r="D413" i="1"/>
  <c r="K434" i="1"/>
  <c r="C437" i="1"/>
  <c r="K437" i="1" s="1"/>
  <c r="D448" i="1"/>
  <c r="C448" i="1"/>
  <c r="K448" i="1" s="1"/>
  <c r="K463" i="1"/>
  <c r="D463" i="1"/>
  <c r="X481" i="1"/>
  <c r="D461" i="1"/>
  <c r="C479" i="1"/>
  <c r="K479" i="1" s="1"/>
  <c r="C488" i="1"/>
  <c r="K488" i="1" s="1"/>
  <c r="K458" i="1"/>
  <c r="D469" i="1"/>
  <c r="C481" i="1"/>
  <c r="K481" i="1" s="1"/>
  <c r="K466" i="1"/>
  <c r="K476" i="1"/>
  <c r="D477" i="1"/>
  <c r="D488" i="1"/>
  <c r="Y405" i="1" l="1"/>
  <c r="Z405" i="1" s="1"/>
  <c r="V405" i="1"/>
  <c r="X405" i="1" s="1"/>
  <c r="Y364" i="1"/>
  <c r="Z364" i="1" s="1"/>
  <c r="V364" i="1"/>
  <c r="X364" i="1" s="1"/>
  <c r="Y469" i="1"/>
  <c r="Z469" i="1" s="1"/>
  <c r="V469" i="1"/>
  <c r="X469" i="1" s="1"/>
  <c r="Y484" i="1"/>
  <c r="Z484" i="1" s="1"/>
  <c r="V484" i="1"/>
  <c r="X484" i="1" s="1"/>
  <c r="Y389" i="1"/>
  <c r="Z389" i="1" s="1"/>
  <c r="V389" i="1"/>
  <c r="X389" i="1" s="1"/>
  <c r="V454" i="1"/>
  <c r="X454" i="1" s="1"/>
  <c r="Y454" i="1"/>
  <c r="Z454" i="1" s="1"/>
  <c r="Y443" i="1"/>
  <c r="Z443" i="1" s="1"/>
  <c r="V443" i="1"/>
  <c r="X443" i="1" s="1"/>
  <c r="Y314" i="1"/>
  <c r="Z314" i="1" s="1"/>
  <c r="V314" i="1"/>
  <c r="X314" i="1" s="1"/>
  <c r="V307" i="1"/>
  <c r="X307" i="1" s="1"/>
  <c r="Y307" i="1"/>
  <c r="Z307" i="1" s="1"/>
  <c r="V360" i="1"/>
  <c r="X360" i="1" s="1"/>
  <c r="Y360" i="1"/>
  <c r="Z360" i="1" s="1"/>
  <c r="V417" i="1"/>
  <c r="X417" i="1" s="1"/>
  <c r="Y417" i="1"/>
  <c r="Z417" i="1" s="1"/>
  <c r="V369" i="1"/>
  <c r="X369" i="1" s="1"/>
  <c r="Y369" i="1"/>
  <c r="Z369" i="1" s="1"/>
  <c r="Y326" i="1"/>
  <c r="Z326" i="1" s="1"/>
  <c r="V326" i="1"/>
  <c r="X326" i="1" s="1"/>
  <c r="V376" i="1"/>
  <c r="X376" i="1" s="1"/>
  <c r="Y376" i="1"/>
  <c r="Z376" i="1" s="1"/>
  <c r="Y370" i="1"/>
  <c r="Z370" i="1" s="1"/>
  <c r="V370" i="1"/>
  <c r="X370" i="1" s="1"/>
  <c r="V321" i="1"/>
  <c r="X321" i="1" s="1"/>
  <c r="Y321" i="1"/>
  <c r="Z321" i="1" s="1"/>
  <c r="V332" i="1"/>
  <c r="X332" i="1" s="1"/>
  <c r="Y332" i="1"/>
  <c r="Z332" i="1" s="1"/>
  <c r="Y133" i="1"/>
  <c r="Z133" i="1" s="1"/>
  <c r="V133" i="1"/>
  <c r="X133" i="1" s="1"/>
  <c r="Y76" i="1"/>
  <c r="Z76" i="1" s="1"/>
  <c r="V76" i="1"/>
  <c r="X76" i="1" s="1"/>
  <c r="Y272" i="1"/>
  <c r="Z272" i="1" s="1"/>
  <c r="V272" i="1"/>
  <c r="X272" i="1" s="1"/>
  <c r="V251" i="1"/>
  <c r="X251" i="1" s="1"/>
  <c r="Y251" i="1"/>
  <c r="Z251" i="1" s="1"/>
  <c r="Y294" i="1"/>
  <c r="Z294" i="1" s="1"/>
  <c r="V294" i="1"/>
  <c r="X294" i="1" s="1"/>
  <c r="Y303" i="1"/>
  <c r="Z303" i="1" s="1"/>
  <c r="V303" i="1"/>
  <c r="X303" i="1" s="1"/>
  <c r="Y210" i="1"/>
  <c r="Z210" i="1" s="1"/>
  <c r="V210" i="1"/>
  <c r="X210" i="1" s="1"/>
  <c r="Y168" i="1"/>
  <c r="Z168" i="1" s="1"/>
  <c r="V168" i="1"/>
  <c r="X168" i="1" s="1"/>
  <c r="V270" i="1"/>
  <c r="X270" i="1" s="1"/>
  <c r="Y270" i="1"/>
  <c r="Z270" i="1" s="1"/>
  <c r="V178" i="1"/>
  <c r="X178" i="1" s="1"/>
  <c r="Y178" i="1"/>
  <c r="Z178" i="1" s="1"/>
  <c r="Y357" i="1"/>
  <c r="Z357" i="1" s="1"/>
  <c r="V357" i="1"/>
  <c r="X357" i="1" s="1"/>
  <c r="V285" i="1"/>
  <c r="X285" i="1" s="1"/>
  <c r="Y285" i="1"/>
  <c r="Z285" i="1" s="1"/>
  <c r="V129" i="1"/>
  <c r="X129" i="1" s="1"/>
  <c r="Y129" i="1"/>
  <c r="Z129" i="1" s="1"/>
  <c r="Y250" i="1"/>
  <c r="Z250" i="1" s="1"/>
  <c r="V250" i="1"/>
  <c r="X250" i="1" s="1"/>
  <c r="Y17" i="1"/>
  <c r="Z17" i="1" s="1"/>
  <c r="V17" i="1"/>
  <c r="X17" i="1" s="1"/>
  <c r="Y245" i="1"/>
  <c r="Z245" i="1" s="1"/>
  <c r="V245" i="1"/>
  <c r="X245" i="1" s="1"/>
  <c r="Y116" i="1"/>
  <c r="Z116" i="1" s="1"/>
  <c r="V116" i="1"/>
  <c r="X116" i="1" s="1"/>
  <c r="Y190" i="1"/>
  <c r="Z190" i="1" s="1"/>
  <c r="V190" i="1"/>
  <c r="X190" i="1" s="1"/>
  <c r="V11" i="1"/>
  <c r="X11" i="1" s="1"/>
  <c r="Y11" i="1"/>
  <c r="Z11" i="1" s="1"/>
  <c r="Y81" i="1"/>
  <c r="Z81" i="1" s="1"/>
  <c r="V81" i="1"/>
  <c r="X81" i="1" s="1"/>
  <c r="V103" i="1"/>
  <c r="X103" i="1" s="1"/>
  <c r="Y103" i="1"/>
  <c r="Z103" i="1" s="1"/>
  <c r="V69" i="1"/>
  <c r="X69" i="1" s="1"/>
  <c r="Y69" i="1"/>
  <c r="Z69" i="1" s="1"/>
  <c r="Y413" i="1"/>
  <c r="Z413" i="1" s="1"/>
  <c r="V413" i="1"/>
  <c r="X413" i="1" s="1"/>
  <c r="Y457" i="1"/>
  <c r="Z457" i="1" s="1"/>
  <c r="V457" i="1"/>
  <c r="X457" i="1" s="1"/>
  <c r="Y473" i="1"/>
  <c r="Z473" i="1" s="1"/>
  <c r="V473" i="1"/>
  <c r="X473" i="1" s="1"/>
  <c r="V356" i="1"/>
  <c r="X356" i="1" s="1"/>
  <c r="Y356" i="1"/>
  <c r="Z356" i="1" s="1"/>
  <c r="Y403" i="1"/>
  <c r="Z403" i="1" s="1"/>
  <c r="V403" i="1"/>
  <c r="X403" i="1" s="1"/>
  <c r="V362" i="1"/>
  <c r="X362" i="1" s="1"/>
  <c r="Y362" i="1"/>
  <c r="Z362" i="1" s="1"/>
  <c r="Y329" i="1"/>
  <c r="Z329" i="1" s="1"/>
  <c r="V329" i="1"/>
  <c r="X329" i="1" s="1"/>
  <c r="V368" i="1"/>
  <c r="X368" i="1" s="1"/>
  <c r="Y368" i="1"/>
  <c r="Z368" i="1" s="1"/>
  <c r="Y411" i="1"/>
  <c r="Z411" i="1" s="1"/>
  <c r="V411" i="1"/>
  <c r="X411" i="1" s="1"/>
  <c r="Y391" i="1"/>
  <c r="Z391" i="1" s="1"/>
  <c r="V391" i="1"/>
  <c r="X391" i="1" s="1"/>
  <c r="Y373" i="1"/>
  <c r="Z373" i="1" s="1"/>
  <c r="V373" i="1"/>
  <c r="X373" i="1" s="1"/>
  <c r="Y386" i="1"/>
  <c r="Z386" i="1" s="1"/>
  <c r="V386" i="1"/>
  <c r="X386" i="1" s="1"/>
  <c r="Y432" i="1"/>
  <c r="Z432" i="1" s="1"/>
  <c r="V432" i="1"/>
  <c r="X432" i="1" s="1"/>
  <c r="Y397" i="1"/>
  <c r="Z397" i="1" s="1"/>
  <c r="V397" i="1"/>
  <c r="X397" i="1" s="1"/>
  <c r="V327" i="1"/>
  <c r="X327" i="1" s="1"/>
  <c r="Y327" i="1"/>
  <c r="Z327" i="1" s="1"/>
  <c r="V488" i="1"/>
  <c r="X488" i="1" s="1"/>
  <c r="Y488" i="1"/>
  <c r="Z488" i="1" s="1"/>
  <c r="V366" i="1"/>
  <c r="X366" i="1" s="1"/>
  <c r="Y366" i="1"/>
  <c r="Z366" i="1" s="1"/>
  <c r="Y365" i="1"/>
  <c r="Z365" i="1" s="1"/>
  <c r="V365" i="1"/>
  <c r="X365" i="1" s="1"/>
  <c r="V478" i="1"/>
  <c r="X478" i="1" s="1"/>
  <c r="Y478" i="1"/>
  <c r="Z478" i="1" s="1"/>
  <c r="V420" i="1"/>
  <c r="X420" i="1" s="1"/>
  <c r="Y420" i="1"/>
  <c r="Z420" i="1" s="1"/>
  <c r="V412" i="1"/>
  <c r="X412" i="1" s="1"/>
  <c r="Y412" i="1"/>
  <c r="Z412" i="1" s="1"/>
  <c r="V374" i="1"/>
  <c r="X374" i="1" s="1"/>
  <c r="Y374" i="1"/>
  <c r="Z374" i="1" s="1"/>
  <c r="Y340" i="1"/>
  <c r="Z340" i="1" s="1"/>
  <c r="V340" i="1"/>
  <c r="X340" i="1" s="1"/>
  <c r="Y460" i="1"/>
  <c r="Z460" i="1" s="1"/>
  <c r="V460" i="1"/>
  <c r="X460" i="1" s="1"/>
  <c r="V390" i="1"/>
  <c r="X390" i="1" s="1"/>
  <c r="Y390" i="1"/>
  <c r="Z390" i="1" s="1"/>
  <c r="V379" i="1"/>
  <c r="X379" i="1" s="1"/>
  <c r="Y379" i="1"/>
  <c r="Z379" i="1" s="1"/>
  <c r="Y218" i="1"/>
  <c r="Z218" i="1" s="1"/>
  <c r="V218" i="1"/>
  <c r="X218" i="1" s="1"/>
  <c r="V286" i="1"/>
  <c r="X286" i="1" s="1"/>
  <c r="Y286" i="1"/>
  <c r="Z286" i="1" s="1"/>
  <c r="Y184" i="1"/>
  <c r="Z184" i="1" s="1"/>
  <c r="V184" i="1"/>
  <c r="X184" i="1" s="1"/>
  <c r="Y72" i="1"/>
  <c r="Z72" i="1" s="1"/>
  <c r="V72" i="1"/>
  <c r="X72" i="1" s="1"/>
  <c r="Y380" i="1"/>
  <c r="Z380" i="1" s="1"/>
  <c r="V380" i="1"/>
  <c r="X380" i="1" s="1"/>
  <c r="V267" i="1"/>
  <c r="X267" i="1" s="1"/>
  <c r="Y267" i="1"/>
  <c r="Z267" i="1" s="1"/>
  <c r="V225" i="1"/>
  <c r="X225" i="1" s="1"/>
  <c r="Y225" i="1"/>
  <c r="Z225" i="1" s="1"/>
  <c r="Y181" i="1"/>
  <c r="Z181" i="1" s="1"/>
  <c r="V181" i="1"/>
  <c r="X181" i="1" s="1"/>
  <c r="Y61" i="1"/>
  <c r="Z61" i="1" s="1"/>
  <c r="V61" i="1"/>
  <c r="X61" i="1" s="1"/>
  <c r="Y151" i="1"/>
  <c r="Z151" i="1" s="1"/>
  <c r="V151" i="1"/>
  <c r="X151" i="1" s="1"/>
  <c r="Y13" i="1"/>
  <c r="Z13" i="1" s="1"/>
  <c r="V13" i="1"/>
  <c r="X13" i="1" s="1"/>
  <c r="Y146" i="1"/>
  <c r="Z146" i="1" s="1"/>
  <c r="V146" i="1"/>
  <c r="X146" i="1" s="1"/>
  <c r="Y64" i="1"/>
  <c r="Z64" i="1" s="1"/>
  <c r="V64" i="1"/>
  <c r="X64" i="1" s="1"/>
  <c r="Y131" i="1"/>
  <c r="Z131" i="1" s="1"/>
  <c r="V131" i="1"/>
  <c r="X131" i="1" s="1"/>
  <c r="V105" i="1"/>
  <c r="X105" i="1" s="1"/>
  <c r="Y105" i="1"/>
  <c r="Z105" i="1" s="1"/>
  <c r="V54" i="1"/>
  <c r="X54" i="1" s="1"/>
  <c r="Y54" i="1"/>
  <c r="Z54" i="1" s="1"/>
  <c r="Y4" i="1"/>
  <c r="Z4" i="1" s="1"/>
  <c r="V4" i="1"/>
  <c r="X4" i="1" s="1"/>
  <c r="V44" i="1"/>
  <c r="X44" i="1" s="1"/>
  <c r="Y44" i="1"/>
  <c r="Z44" i="1" s="1"/>
  <c r="V3" i="1"/>
  <c r="X3" i="1" s="1"/>
  <c r="Y3" i="1"/>
  <c r="Z3" i="1" s="1"/>
  <c r="Y124" i="1"/>
  <c r="Z124" i="1" s="1"/>
  <c r="V124" i="1"/>
  <c r="X124" i="1" s="1"/>
  <c r="V51" i="1"/>
  <c r="X51" i="1" s="1"/>
  <c r="Y51" i="1"/>
  <c r="Z51" i="1" s="1"/>
  <c r="V392" i="1"/>
  <c r="X392" i="1" s="1"/>
  <c r="Y392" i="1"/>
  <c r="Z392" i="1" s="1"/>
  <c r="Y448" i="1"/>
  <c r="Z448" i="1" s="1"/>
  <c r="V448" i="1"/>
  <c r="X448" i="1" s="1"/>
  <c r="Y445" i="1"/>
  <c r="Z445" i="1" s="1"/>
  <c r="V445" i="1"/>
  <c r="X445" i="1" s="1"/>
  <c r="V436" i="1"/>
  <c r="X436" i="1" s="1"/>
  <c r="Y436" i="1"/>
  <c r="Z436" i="1" s="1"/>
  <c r="Y441" i="1"/>
  <c r="Z441" i="1" s="1"/>
  <c r="V441" i="1"/>
  <c r="X441" i="1" s="1"/>
  <c r="Y477" i="1"/>
  <c r="Z477" i="1" s="1"/>
  <c r="V477" i="1"/>
  <c r="X477" i="1" s="1"/>
  <c r="Y467" i="1"/>
  <c r="Z467" i="1" s="1"/>
  <c r="V467" i="1"/>
  <c r="X467" i="1" s="1"/>
  <c r="Y429" i="1"/>
  <c r="Z429" i="1" s="1"/>
  <c r="V429" i="1"/>
  <c r="X429" i="1" s="1"/>
  <c r="Y387" i="1"/>
  <c r="Z387" i="1" s="1"/>
  <c r="V387" i="1"/>
  <c r="X387" i="1" s="1"/>
  <c r="Y306" i="1"/>
  <c r="Z306" i="1" s="1"/>
  <c r="V306" i="1"/>
  <c r="X306" i="1" s="1"/>
  <c r="V375" i="1"/>
  <c r="X375" i="1" s="1"/>
  <c r="Y375" i="1"/>
  <c r="Z375" i="1" s="1"/>
  <c r="Y393" i="1"/>
  <c r="Z393" i="1" s="1"/>
  <c r="V393" i="1"/>
  <c r="X393" i="1" s="1"/>
  <c r="V359" i="1"/>
  <c r="X359" i="1" s="1"/>
  <c r="Y359" i="1"/>
  <c r="Z359" i="1" s="1"/>
  <c r="V299" i="1"/>
  <c r="X299" i="1" s="1"/>
  <c r="Y299" i="1"/>
  <c r="Z299" i="1" s="1"/>
  <c r="V240" i="1"/>
  <c r="X240" i="1" s="1"/>
  <c r="Y240" i="1"/>
  <c r="Z240" i="1" s="1"/>
  <c r="Y450" i="1"/>
  <c r="Z450" i="1" s="1"/>
  <c r="V450" i="1"/>
  <c r="X450" i="1" s="1"/>
  <c r="Y304" i="1"/>
  <c r="Z304" i="1" s="1"/>
  <c r="V304" i="1"/>
  <c r="X304" i="1" s="1"/>
  <c r="Y277" i="1"/>
  <c r="Z277" i="1" s="1"/>
  <c r="V277" i="1"/>
  <c r="X277" i="1" s="1"/>
  <c r="V241" i="1"/>
  <c r="X241" i="1" s="1"/>
  <c r="Y241" i="1"/>
  <c r="Z241" i="1" s="1"/>
  <c r="Y149" i="1"/>
  <c r="Z149" i="1" s="1"/>
  <c r="V149" i="1"/>
  <c r="X149" i="1" s="1"/>
  <c r="V281" i="1"/>
  <c r="X281" i="1" s="1"/>
  <c r="Y281" i="1"/>
  <c r="Z281" i="1" s="1"/>
  <c r="Y125" i="1"/>
  <c r="Z125" i="1" s="1"/>
  <c r="V125" i="1"/>
  <c r="X125" i="1" s="1"/>
  <c r="Y68" i="1"/>
  <c r="Z68" i="1" s="1"/>
  <c r="V68" i="1"/>
  <c r="X68" i="1" s="1"/>
  <c r="V301" i="1"/>
  <c r="X301" i="1" s="1"/>
  <c r="Y301" i="1"/>
  <c r="Z301" i="1" s="1"/>
  <c r="Y318" i="1"/>
  <c r="Z318" i="1" s="1"/>
  <c r="V318" i="1"/>
  <c r="X318" i="1" s="1"/>
  <c r="Y291" i="1"/>
  <c r="Z291" i="1" s="1"/>
  <c r="V291" i="1"/>
  <c r="X291" i="1" s="1"/>
  <c r="Y300" i="1"/>
  <c r="Z300" i="1" s="1"/>
  <c r="V300" i="1"/>
  <c r="X300" i="1" s="1"/>
  <c r="V227" i="1"/>
  <c r="X227" i="1" s="1"/>
  <c r="Y227" i="1"/>
  <c r="Z227" i="1" s="1"/>
  <c r="V344" i="1"/>
  <c r="X344" i="1" s="1"/>
  <c r="Y344" i="1"/>
  <c r="Z344" i="1" s="1"/>
  <c r="Y214" i="1"/>
  <c r="Z214" i="1" s="1"/>
  <c r="V214" i="1"/>
  <c r="X214" i="1" s="1"/>
  <c r="Y202" i="1"/>
  <c r="Z202" i="1" s="1"/>
  <c r="V202" i="1"/>
  <c r="X202" i="1" s="1"/>
  <c r="Y9" i="1"/>
  <c r="Z9" i="1" s="1"/>
  <c r="V9" i="1"/>
  <c r="X9" i="1" s="1"/>
  <c r="V292" i="1"/>
  <c r="X292" i="1" s="1"/>
  <c r="Y292" i="1"/>
  <c r="Z292" i="1" s="1"/>
  <c r="V53" i="1"/>
  <c r="X53" i="1" s="1"/>
  <c r="Y53" i="1"/>
  <c r="Z53" i="1" s="1"/>
  <c r="Y165" i="1"/>
  <c r="Z165" i="1" s="1"/>
  <c r="V165" i="1"/>
  <c r="X165" i="1" s="1"/>
  <c r="Y229" i="1"/>
  <c r="Z229" i="1" s="1"/>
  <c r="V229" i="1"/>
  <c r="X229" i="1" s="1"/>
  <c r="V119" i="1"/>
  <c r="X119" i="1" s="1"/>
  <c r="Y119" i="1"/>
  <c r="Z119" i="1" s="1"/>
  <c r="V7" i="1"/>
  <c r="X7" i="1" s="1"/>
  <c r="Y7" i="1"/>
  <c r="Z7" i="1" s="1"/>
  <c r="Y56" i="1"/>
  <c r="Z56" i="1" s="1"/>
  <c r="V56" i="1"/>
  <c r="X56" i="1" s="1"/>
  <c r="Y415" i="1"/>
  <c r="Z415" i="1" s="1"/>
  <c r="V415" i="1"/>
  <c r="X415" i="1" s="1"/>
  <c r="V426" i="1"/>
  <c r="X426" i="1" s="1"/>
  <c r="Y426" i="1"/>
  <c r="Z426" i="1" s="1"/>
  <c r="Y258" i="1"/>
  <c r="Z258" i="1" s="1"/>
  <c r="V258" i="1"/>
  <c r="X258" i="1" s="1"/>
  <c r="Y437" i="1"/>
  <c r="Z437" i="1" s="1"/>
  <c r="V437" i="1"/>
  <c r="X437" i="1" s="1"/>
  <c r="Y464" i="1"/>
  <c r="Z464" i="1" s="1"/>
  <c r="V464" i="1"/>
  <c r="X464" i="1" s="1"/>
  <c r="Y468" i="1"/>
  <c r="Z468" i="1" s="1"/>
  <c r="V468" i="1"/>
  <c r="X468" i="1" s="1"/>
  <c r="Y338" i="1"/>
  <c r="Z338" i="1" s="1"/>
  <c r="V338" i="1"/>
  <c r="X338" i="1" s="1"/>
  <c r="Y421" i="1"/>
  <c r="Z421" i="1" s="1"/>
  <c r="V421" i="1"/>
  <c r="X421" i="1" s="1"/>
  <c r="Y381" i="1"/>
  <c r="Z381" i="1" s="1"/>
  <c r="V381" i="1"/>
  <c r="X381" i="1" s="1"/>
  <c r="Y487" i="1"/>
  <c r="Z487" i="1" s="1"/>
  <c r="V487" i="1"/>
  <c r="X487" i="1" s="1"/>
  <c r="Y330" i="1"/>
  <c r="Z330" i="1" s="1"/>
  <c r="V330" i="1"/>
  <c r="X330" i="1" s="1"/>
  <c r="Y431" i="1"/>
  <c r="Z431" i="1" s="1"/>
  <c r="V431" i="1"/>
  <c r="X431" i="1" s="1"/>
  <c r="Y461" i="1"/>
  <c r="Z461" i="1" s="1"/>
  <c r="V461" i="1"/>
  <c r="X461" i="1" s="1"/>
  <c r="V472" i="1"/>
  <c r="X472" i="1" s="1"/>
  <c r="Y472" i="1"/>
  <c r="Z472" i="1" s="1"/>
  <c r="V480" i="1"/>
  <c r="X480" i="1" s="1"/>
  <c r="Y480" i="1"/>
  <c r="Z480" i="1" s="1"/>
  <c r="V486" i="1"/>
  <c r="X486" i="1" s="1"/>
  <c r="Y486" i="1"/>
  <c r="Z486" i="1" s="1"/>
  <c r="V424" i="1"/>
  <c r="X424" i="1" s="1"/>
  <c r="Y424" i="1"/>
  <c r="Z424" i="1" s="1"/>
  <c r="V430" i="1"/>
  <c r="X430" i="1" s="1"/>
  <c r="Y430" i="1"/>
  <c r="Z430" i="1" s="1"/>
  <c r="Y439" i="1"/>
  <c r="Z439" i="1" s="1"/>
  <c r="V439" i="1"/>
  <c r="X439" i="1" s="1"/>
  <c r="V388" i="1"/>
  <c r="X388" i="1" s="1"/>
  <c r="Y388" i="1"/>
  <c r="Z388" i="1" s="1"/>
  <c r="Y427" i="1"/>
  <c r="Z427" i="1" s="1"/>
  <c r="V427" i="1"/>
  <c r="X427" i="1" s="1"/>
  <c r="Y453" i="1"/>
  <c r="Z453" i="1" s="1"/>
  <c r="V453" i="1"/>
  <c r="X453" i="1" s="1"/>
  <c r="V440" i="1"/>
  <c r="X440" i="1" s="1"/>
  <c r="Y440" i="1"/>
  <c r="Z440" i="1" s="1"/>
  <c r="Y378" i="1"/>
  <c r="Z378" i="1" s="1"/>
  <c r="V378" i="1"/>
  <c r="X378" i="1" s="1"/>
  <c r="V425" i="1"/>
  <c r="X425" i="1" s="1"/>
  <c r="Y425" i="1"/>
  <c r="Z425" i="1" s="1"/>
  <c r="V422" i="1"/>
  <c r="X422" i="1" s="1"/>
  <c r="Y422" i="1"/>
  <c r="Z422" i="1" s="1"/>
  <c r="Y296" i="1"/>
  <c r="Z296" i="1" s="1"/>
  <c r="V296" i="1"/>
  <c r="X296" i="1" s="1"/>
  <c r="Y451" i="1"/>
  <c r="Z451" i="1" s="1"/>
  <c r="V451" i="1"/>
  <c r="X451" i="1" s="1"/>
  <c r="Y239" i="1"/>
  <c r="Z239" i="1" s="1"/>
  <c r="V239" i="1"/>
  <c r="X239" i="1" s="1"/>
  <c r="V259" i="1"/>
  <c r="X259" i="1" s="1"/>
  <c r="Y259" i="1"/>
  <c r="Z259" i="1" s="1"/>
  <c r="Y283" i="1"/>
  <c r="Z283" i="1" s="1"/>
  <c r="V283" i="1"/>
  <c r="X283" i="1" s="1"/>
  <c r="Y288" i="1"/>
  <c r="Z288" i="1" s="1"/>
  <c r="V288" i="1"/>
  <c r="X288" i="1" s="1"/>
  <c r="Y311" i="1"/>
  <c r="Z311" i="1" s="1"/>
  <c r="V311" i="1"/>
  <c r="X311" i="1" s="1"/>
  <c r="Y247" i="1"/>
  <c r="Z247" i="1" s="1"/>
  <c r="V247" i="1"/>
  <c r="X247" i="1" s="1"/>
  <c r="Y175" i="1"/>
  <c r="Z175" i="1" s="1"/>
  <c r="V175" i="1"/>
  <c r="X175" i="1" s="1"/>
  <c r="Y287" i="1"/>
  <c r="Z287" i="1" s="1"/>
  <c r="V287" i="1"/>
  <c r="X287" i="1" s="1"/>
  <c r="Y215" i="1"/>
  <c r="Z215" i="1" s="1"/>
  <c r="V215" i="1"/>
  <c r="X215" i="1" s="1"/>
  <c r="V166" i="1"/>
  <c r="X166" i="1" s="1"/>
  <c r="Y166" i="1"/>
  <c r="Z166" i="1" s="1"/>
  <c r="Y261" i="1"/>
  <c r="Z261" i="1" s="1"/>
  <c r="V261" i="1"/>
  <c r="X261" i="1" s="1"/>
  <c r="V113" i="1"/>
  <c r="X113" i="1" s="1"/>
  <c r="Y113" i="1"/>
  <c r="Z113" i="1" s="1"/>
  <c r="V74" i="1"/>
  <c r="X74" i="1" s="1"/>
  <c r="Y74" i="1"/>
  <c r="Z74" i="1" s="1"/>
  <c r="Y5" i="1"/>
  <c r="Z5" i="1" s="1"/>
  <c r="V5" i="1"/>
  <c r="X5" i="1" s="1"/>
  <c r="V222" i="1"/>
  <c r="X222" i="1" s="1"/>
  <c r="Y222" i="1"/>
  <c r="Z222" i="1" s="1"/>
  <c r="V158" i="1"/>
  <c r="X158" i="1" s="1"/>
  <c r="Y158" i="1"/>
  <c r="Z158" i="1" s="1"/>
  <c r="V58" i="1"/>
  <c r="X58" i="1" s="1"/>
  <c r="Y58" i="1"/>
  <c r="Z58" i="1" s="1"/>
  <c r="Y199" i="1"/>
  <c r="Z199" i="1" s="1"/>
  <c r="V199" i="1"/>
  <c r="X199" i="1" s="1"/>
  <c r="Y57" i="1"/>
  <c r="Z57" i="1" s="1"/>
  <c r="V57" i="1"/>
  <c r="X57" i="1" s="1"/>
  <c r="Y16" i="1"/>
  <c r="Z16" i="1" s="1"/>
  <c r="V16" i="1"/>
  <c r="X16" i="1" s="1"/>
  <c r="Y40" i="1"/>
  <c r="Z40" i="1" s="1"/>
  <c r="V40" i="1"/>
  <c r="X40" i="1" s="1"/>
  <c r="V102" i="1"/>
  <c r="X102" i="1" s="1"/>
  <c r="Y102" i="1"/>
  <c r="Z102" i="1" s="1"/>
  <c r="V67" i="1"/>
  <c r="X67" i="1" s="1"/>
  <c r="Y67" i="1"/>
  <c r="Z67" i="1" s="1"/>
  <c r="V32" i="1"/>
  <c r="X32" i="1" s="1"/>
  <c r="Y32" i="1"/>
  <c r="Z32" i="1" s="1"/>
  <c r="V235" i="1"/>
  <c r="X235" i="1" s="1"/>
  <c r="Y235" i="1"/>
  <c r="Z235" i="1" s="1"/>
  <c r="Y266" i="1"/>
  <c r="Z266" i="1" s="1"/>
  <c r="V266" i="1"/>
  <c r="X266" i="1" s="1"/>
  <c r="Y242" i="1"/>
  <c r="Z242" i="1" s="1"/>
  <c r="V242" i="1"/>
  <c r="X242" i="1" s="1"/>
  <c r="Y333" i="1"/>
  <c r="Z333" i="1" s="1"/>
  <c r="V333" i="1"/>
  <c r="X333" i="1" s="1"/>
  <c r="Y206" i="1"/>
  <c r="Z206" i="1" s="1"/>
  <c r="V206" i="1"/>
  <c r="X206" i="1" s="1"/>
  <c r="V295" i="1"/>
  <c r="X295" i="1" s="1"/>
  <c r="Y295" i="1"/>
  <c r="Z295" i="1" s="1"/>
  <c r="Y160" i="1"/>
  <c r="Z160" i="1" s="1"/>
  <c r="V160" i="1"/>
  <c r="X160" i="1" s="1"/>
  <c r="V169" i="1"/>
  <c r="X169" i="1" s="1"/>
  <c r="Y169" i="1"/>
  <c r="Z169" i="1" s="1"/>
  <c r="Y209" i="1"/>
  <c r="Z209" i="1" s="1"/>
  <c r="V209" i="1"/>
  <c r="X209" i="1" s="1"/>
  <c r="Y319" i="1"/>
  <c r="Z319" i="1" s="1"/>
  <c r="V319" i="1"/>
  <c r="X319" i="1" s="1"/>
  <c r="Y273" i="1"/>
  <c r="Z273" i="1" s="1"/>
  <c r="V273" i="1"/>
  <c r="X273" i="1" s="1"/>
  <c r="V162" i="1"/>
  <c r="X162" i="1" s="1"/>
  <c r="Y162" i="1"/>
  <c r="Z162" i="1" s="1"/>
  <c r="Y132" i="1"/>
  <c r="Z132" i="1" s="1"/>
  <c r="V132" i="1"/>
  <c r="X132" i="1" s="1"/>
  <c r="Y42" i="1"/>
  <c r="Z42" i="1" s="1"/>
  <c r="V42" i="1"/>
  <c r="X42" i="1" s="1"/>
  <c r="Y55" i="1"/>
  <c r="Z55" i="1" s="1"/>
  <c r="V55" i="1"/>
  <c r="X55" i="1" s="1"/>
  <c r="Y12" i="1"/>
  <c r="Z12" i="1" s="1"/>
  <c r="V12" i="1"/>
  <c r="X12" i="1" s="1"/>
  <c r="Y274" i="1"/>
  <c r="Z274" i="1" s="1"/>
  <c r="V274" i="1"/>
  <c r="X274" i="1" s="1"/>
  <c r="V143" i="1"/>
  <c r="X143" i="1" s="1"/>
  <c r="Y143" i="1"/>
  <c r="Z143" i="1" s="1"/>
  <c r="V121" i="1"/>
  <c r="X121" i="1" s="1"/>
  <c r="Y121" i="1"/>
  <c r="Z121" i="1" s="1"/>
  <c r="Y34" i="1"/>
  <c r="Z34" i="1" s="1"/>
  <c r="V34" i="1"/>
  <c r="X34" i="1" s="1"/>
  <c r="V257" i="1"/>
  <c r="X257" i="1" s="1"/>
  <c r="Y257" i="1"/>
  <c r="Z257" i="1" s="1"/>
  <c r="Y194" i="1"/>
  <c r="Z194" i="1" s="1"/>
  <c r="V194" i="1"/>
  <c r="X194" i="1" s="1"/>
  <c r="Y97" i="1"/>
  <c r="Z97" i="1" s="1"/>
  <c r="V97" i="1"/>
  <c r="X97" i="1" s="1"/>
  <c r="Y60" i="1"/>
  <c r="Z60" i="1" s="1"/>
  <c r="V60" i="1"/>
  <c r="X60" i="1" s="1"/>
  <c r="V26" i="1"/>
  <c r="X26" i="1" s="1"/>
  <c r="Y26" i="1"/>
  <c r="Z26" i="1" s="1"/>
  <c r="V135" i="1"/>
  <c r="X135" i="1" s="1"/>
  <c r="Y135" i="1"/>
  <c r="Z135" i="1" s="1"/>
  <c r="Y112" i="1"/>
  <c r="Z112" i="1" s="1"/>
  <c r="V112" i="1"/>
  <c r="X112" i="1" s="1"/>
  <c r="V320" i="1"/>
  <c r="X320" i="1" s="1"/>
  <c r="Y320" i="1"/>
  <c r="Z320" i="1" s="1"/>
  <c r="Y349" i="1"/>
  <c r="Z349" i="1" s="1"/>
  <c r="V349" i="1"/>
  <c r="X349" i="1" s="1"/>
  <c r="Y234" i="1"/>
  <c r="Z234" i="1" s="1"/>
  <c r="V234" i="1"/>
  <c r="X234" i="1" s="1"/>
  <c r="Y182" i="1"/>
  <c r="Z182" i="1" s="1"/>
  <c r="V182" i="1"/>
  <c r="X182" i="1" s="1"/>
  <c r="V203" i="1"/>
  <c r="X203" i="1" s="1"/>
  <c r="Y203" i="1"/>
  <c r="Z203" i="1" s="1"/>
  <c r="Y255" i="1"/>
  <c r="Z255" i="1" s="1"/>
  <c r="V255" i="1"/>
  <c r="X255" i="1" s="1"/>
  <c r="Y253" i="1"/>
  <c r="Z253" i="1" s="1"/>
  <c r="V253" i="1"/>
  <c r="X253" i="1" s="1"/>
  <c r="Y233" i="1"/>
  <c r="Z233" i="1" s="1"/>
  <c r="V233" i="1"/>
  <c r="X233" i="1" s="1"/>
  <c r="V156" i="1"/>
  <c r="X156" i="1" s="1"/>
  <c r="Y156" i="1"/>
  <c r="Z156" i="1" s="1"/>
  <c r="Y45" i="1"/>
  <c r="Z45" i="1" s="1"/>
  <c r="V45" i="1"/>
  <c r="X45" i="1" s="1"/>
  <c r="V313" i="1"/>
  <c r="X313" i="1" s="1"/>
  <c r="Y313" i="1"/>
  <c r="Z313" i="1" s="1"/>
  <c r="V154" i="1"/>
  <c r="X154" i="1" s="1"/>
  <c r="Y154" i="1"/>
  <c r="Z154" i="1" s="1"/>
  <c r="V46" i="1"/>
  <c r="X46" i="1" s="1"/>
  <c r="Y46" i="1"/>
  <c r="Z46" i="1" s="1"/>
  <c r="Y8" i="1"/>
  <c r="Z8" i="1" s="1"/>
  <c r="V8" i="1"/>
  <c r="X8" i="1" s="1"/>
  <c r="Y188" i="1"/>
  <c r="Z188" i="1" s="1"/>
  <c r="V188" i="1"/>
  <c r="X188" i="1" s="1"/>
  <c r="V75" i="1"/>
  <c r="X75" i="1" s="1"/>
  <c r="Y75" i="1"/>
  <c r="Z75" i="1" s="1"/>
  <c r="V94" i="1"/>
  <c r="X94" i="1" s="1"/>
  <c r="Y94" i="1"/>
  <c r="Z94" i="1" s="1"/>
  <c r="V438" i="1"/>
  <c r="X438" i="1" s="1"/>
  <c r="Y438" i="1"/>
  <c r="Z438" i="1" s="1"/>
  <c r="Y185" i="1"/>
  <c r="Z185" i="1" s="1"/>
  <c r="V185" i="1"/>
  <c r="X185" i="1" s="1"/>
  <c r="V145" i="1"/>
  <c r="X145" i="1" s="1"/>
  <c r="Y145" i="1"/>
  <c r="Z145" i="1" s="1"/>
  <c r="V444" i="1"/>
  <c r="X444" i="1" s="1"/>
  <c r="Y444" i="1"/>
  <c r="Z444" i="1" s="1"/>
  <c r="V377" i="1"/>
  <c r="X377" i="1" s="1"/>
  <c r="Y377" i="1"/>
  <c r="Z377" i="1" s="1"/>
  <c r="Y399" i="1"/>
  <c r="Z399" i="1" s="1"/>
  <c r="V399" i="1"/>
  <c r="X399" i="1" s="1"/>
  <c r="Y355" i="1"/>
  <c r="Z355" i="1" s="1"/>
  <c r="V355" i="1"/>
  <c r="X355" i="1" s="1"/>
  <c r="Y325" i="1"/>
  <c r="Z325" i="1" s="1"/>
  <c r="V325" i="1"/>
  <c r="X325" i="1" s="1"/>
  <c r="Y269" i="1"/>
  <c r="Z269" i="1" s="1"/>
  <c r="V269" i="1"/>
  <c r="X269" i="1" s="1"/>
  <c r="Y237" i="1"/>
  <c r="Z237" i="1" s="1"/>
  <c r="V237" i="1"/>
  <c r="X237" i="1" s="1"/>
  <c r="Y223" i="1"/>
  <c r="Z223" i="1" s="1"/>
  <c r="V223" i="1"/>
  <c r="X223" i="1" s="1"/>
  <c r="Y485" i="1"/>
  <c r="Z485" i="1" s="1"/>
  <c r="V485" i="1"/>
  <c r="X485" i="1" s="1"/>
  <c r="V475" i="1"/>
  <c r="X475" i="1" s="1"/>
  <c r="Y475" i="1"/>
  <c r="Z475" i="1" s="1"/>
  <c r="Y385" i="1"/>
  <c r="Z385" i="1" s="1"/>
  <c r="V385" i="1"/>
  <c r="X385" i="1" s="1"/>
  <c r="Y474" i="1"/>
  <c r="Z474" i="1" s="1"/>
  <c r="V474" i="1"/>
  <c r="X474" i="1" s="1"/>
  <c r="V449" i="1"/>
  <c r="X449" i="1" s="1"/>
  <c r="Y449" i="1"/>
  <c r="Z449" i="1" s="1"/>
  <c r="Y335" i="1"/>
  <c r="Z335" i="1" s="1"/>
  <c r="V335" i="1"/>
  <c r="X335" i="1" s="1"/>
  <c r="Y346" i="1"/>
  <c r="Z346" i="1" s="1"/>
  <c r="V346" i="1"/>
  <c r="X346" i="1" s="1"/>
  <c r="Y363" i="1"/>
  <c r="Z363" i="1" s="1"/>
  <c r="V363" i="1"/>
  <c r="X363" i="1" s="1"/>
  <c r="V354" i="1"/>
  <c r="X354" i="1" s="1"/>
  <c r="Y354" i="1"/>
  <c r="Z354" i="1" s="1"/>
  <c r="V398" i="1"/>
  <c r="X398" i="1" s="1"/>
  <c r="Y398" i="1"/>
  <c r="Z398" i="1" s="1"/>
  <c r="Y322" i="1"/>
  <c r="Z322" i="1" s="1"/>
  <c r="V322" i="1"/>
  <c r="X322" i="1" s="1"/>
  <c r="Y434" i="1"/>
  <c r="Z434" i="1" s="1"/>
  <c r="V434" i="1"/>
  <c r="X434" i="1" s="1"/>
  <c r="V400" i="1"/>
  <c r="X400" i="1" s="1"/>
  <c r="Y400" i="1"/>
  <c r="Z400" i="1" s="1"/>
  <c r="Y226" i="1"/>
  <c r="Z226" i="1" s="1"/>
  <c r="V226" i="1"/>
  <c r="X226" i="1" s="1"/>
  <c r="V339" i="1"/>
  <c r="X339" i="1" s="1"/>
  <c r="Y339" i="1"/>
  <c r="Z339" i="1" s="1"/>
  <c r="Y317" i="1"/>
  <c r="Z317" i="1" s="1"/>
  <c r="V317" i="1"/>
  <c r="X317" i="1" s="1"/>
  <c r="Y231" i="1"/>
  <c r="Z231" i="1" s="1"/>
  <c r="V231" i="1"/>
  <c r="X231" i="1" s="1"/>
  <c r="V310" i="1"/>
  <c r="X310" i="1" s="1"/>
  <c r="Y310" i="1"/>
  <c r="Z310" i="1" s="1"/>
  <c r="Y221" i="1"/>
  <c r="Z221" i="1" s="1"/>
  <c r="V221" i="1"/>
  <c r="X221" i="1" s="1"/>
  <c r="Y164" i="1"/>
  <c r="Z164" i="1" s="1"/>
  <c r="V164" i="1"/>
  <c r="X164" i="1" s="1"/>
  <c r="V141" i="1"/>
  <c r="X141" i="1" s="1"/>
  <c r="Y141" i="1"/>
  <c r="Z141" i="1" s="1"/>
  <c r="Y109" i="1"/>
  <c r="Z109" i="1" s="1"/>
  <c r="V109" i="1"/>
  <c r="X109" i="1" s="1"/>
  <c r="V323" i="1"/>
  <c r="X323" i="1" s="1"/>
  <c r="Y323" i="1"/>
  <c r="Z323" i="1" s="1"/>
  <c r="V260" i="1"/>
  <c r="X260" i="1" s="1"/>
  <c r="Y260" i="1"/>
  <c r="Z260" i="1" s="1"/>
  <c r="V316" i="1"/>
  <c r="X316" i="1" s="1"/>
  <c r="Y316" i="1"/>
  <c r="Z316" i="1" s="1"/>
  <c r="V196" i="1"/>
  <c r="X196" i="1" s="1"/>
  <c r="Y196" i="1"/>
  <c r="Z196" i="1" s="1"/>
  <c r="Y152" i="1"/>
  <c r="Z152" i="1" s="1"/>
  <c r="V152" i="1"/>
  <c r="X152" i="1" s="1"/>
  <c r="Y140" i="1"/>
  <c r="Z140" i="1" s="1"/>
  <c r="V140" i="1"/>
  <c r="X140" i="1" s="1"/>
  <c r="Y29" i="1"/>
  <c r="Z29" i="1" s="1"/>
  <c r="V29" i="1"/>
  <c r="X29" i="1" s="1"/>
  <c r="Y115" i="1"/>
  <c r="Z115" i="1" s="1"/>
  <c r="V115" i="1"/>
  <c r="X115" i="1" s="1"/>
  <c r="V70" i="1"/>
  <c r="X70" i="1" s="1"/>
  <c r="Y70" i="1"/>
  <c r="Z70" i="1" s="1"/>
  <c r="V28" i="1"/>
  <c r="X28" i="1" s="1"/>
  <c r="Y28" i="1"/>
  <c r="Z28" i="1" s="1"/>
  <c r="V19" i="1"/>
  <c r="X19" i="1" s="1"/>
  <c r="Y19" i="1"/>
  <c r="Z19" i="1" s="1"/>
  <c r="Y89" i="1"/>
  <c r="Z89" i="1" s="1"/>
  <c r="V89" i="1"/>
  <c r="X89" i="1" s="1"/>
  <c r="Y128" i="1"/>
  <c r="Z128" i="1" s="1"/>
  <c r="V128" i="1"/>
  <c r="X128" i="1" s="1"/>
  <c r="Y117" i="1"/>
  <c r="Z117" i="1" s="1"/>
  <c r="V117" i="1"/>
  <c r="X117" i="1" s="1"/>
  <c r="Y463" i="1"/>
  <c r="Z463" i="1" s="1"/>
  <c r="V463" i="1"/>
  <c r="X463" i="1" s="1"/>
  <c r="Y396" i="1"/>
  <c r="Z396" i="1" s="1"/>
  <c r="V396" i="1"/>
  <c r="X396" i="1" s="1"/>
  <c r="Y410" i="1"/>
  <c r="Z410" i="1" s="1"/>
  <c r="V410" i="1"/>
  <c r="X410" i="1" s="1"/>
  <c r="V482" i="1"/>
  <c r="X482" i="1" s="1"/>
  <c r="Y482" i="1"/>
  <c r="Z482" i="1" s="1"/>
  <c r="V456" i="1"/>
  <c r="X456" i="1" s="1"/>
  <c r="Y456" i="1"/>
  <c r="Z456" i="1" s="1"/>
  <c r="Y471" i="1"/>
  <c r="Z471" i="1" s="1"/>
  <c r="V471" i="1"/>
  <c r="X471" i="1" s="1"/>
  <c r="Y416" i="1"/>
  <c r="Z416" i="1" s="1"/>
  <c r="V416" i="1"/>
  <c r="X416" i="1" s="1"/>
  <c r="Y345" i="1"/>
  <c r="Z345" i="1" s="1"/>
  <c r="V345" i="1"/>
  <c r="X345" i="1" s="1"/>
  <c r="Y404" i="1"/>
  <c r="Z404" i="1" s="1"/>
  <c r="V404" i="1"/>
  <c r="X404" i="1" s="1"/>
  <c r="Y435" i="1"/>
  <c r="Z435" i="1" s="1"/>
  <c r="V435" i="1"/>
  <c r="X435" i="1" s="1"/>
  <c r="V371" i="1"/>
  <c r="X371" i="1" s="1"/>
  <c r="Y371" i="1"/>
  <c r="Z371" i="1" s="1"/>
  <c r="V351" i="1"/>
  <c r="X351" i="1" s="1"/>
  <c r="Y351" i="1"/>
  <c r="Z351" i="1" s="1"/>
  <c r="Y423" i="1"/>
  <c r="Z423" i="1" s="1"/>
  <c r="V423" i="1"/>
  <c r="X423" i="1" s="1"/>
  <c r="Y334" i="1"/>
  <c r="Z334" i="1" s="1"/>
  <c r="V334" i="1"/>
  <c r="X334" i="1" s="1"/>
  <c r="Y271" i="1"/>
  <c r="Z271" i="1" s="1"/>
  <c r="V271" i="1"/>
  <c r="X271" i="1" s="1"/>
  <c r="Y290" i="1"/>
  <c r="Z290" i="1" s="1"/>
  <c r="V290" i="1"/>
  <c r="X290" i="1" s="1"/>
  <c r="V254" i="1"/>
  <c r="X254" i="1" s="1"/>
  <c r="Y254" i="1"/>
  <c r="Z254" i="1" s="1"/>
  <c r="Y191" i="1"/>
  <c r="Z191" i="1" s="1"/>
  <c r="V191" i="1"/>
  <c r="X191" i="1" s="1"/>
  <c r="V275" i="1"/>
  <c r="X275" i="1" s="1"/>
  <c r="Y275" i="1"/>
  <c r="Z275" i="1" s="1"/>
  <c r="Y177" i="1"/>
  <c r="Z177" i="1" s="1"/>
  <c r="V177" i="1"/>
  <c r="X177" i="1" s="1"/>
  <c r="V248" i="1"/>
  <c r="X248" i="1" s="1"/>
  <c r="Y248" i="1"/>
  <c r="Z248" i="1" s="1"/>
  <c r="V243" i="1"/>
  <c r="X243" i="1" s="1"/>
  <c r="Y243" i="1"/>
  <c r="Z243" i="1" s="1"/>
  <c r="V289" i="1"/>
  <c r="X289" i="1" s="1"/>
  <c r="Y289" i="1"/>
  <c r="Z289" i="1" s="1"/>
  <c r="V268" i="1"/>
  <c r="X268" i="1" s="1"/>
  <c r="Y268" i="1"/>
  <c r="Z268" i="1" s="1"/>
  <c r="Y192" i="1"/>
  <c r="Z192" i="1" s="1"/>
  <c r="V192" i="1"/>
  <c r="X192" i="1" s="1"/>
  <c r="V147" i="1"/>
  <c r="X147" i="1" s="1"/>
  <c r="Y147" i="1"/>
  <c r="Z147" i="1" s="1"/>
  <c r="Y24" i="1"/>
  <c r="Z24" i="1" s="1"/>
  <c r="V24" i="1"/>
  <c r="X24" i="1" s="1"/>
  <c r="V216" i="1"/>
  <c r="X216" i="1" s="1"/>
  <c r="Y216" i="1"/>
  <c r="Z216" i="1" s="1"/>
  <c r="V35" i="1"/>
  <c r="X35" i="1" s="1"/>
  <c r="Y35" i="1"/>
  <c r="Z35" i="1" s="1"/>
  <c r="Y176" i="1"/>
  <c r="Z176" i="1" s="1"/>
  <c r="V176" i="1"/>
  <c r="X176" i="1" s="1"/>
  <c r="V137" i="1"/>
  <c r="X137" i="1" s="1"/>
  <c r="Y137" i="1"/>
  <c r="Z137" i="1" s="1"/>
  <c r="V23" i="1"/>
  <c r="X23" i="1" s="1"/>
  <c r="Y23" i="1"/>
  <c r="Z23" i="1" s="1"/>
  <c r="V15" i="1"/>
  <c r="X15" i="1" s="1"/>
  <c r="Y15" i="1"/>
  <c r="Z15" i="1" s="1"/>
  <c r="V173" i="1"/>
  <c r="X173" i="1" s="1"/>
  <c r="Y173" i="1"/>
  <c r="Z173" i="1" s="1"/>
  <c r="V86" i="1"/>
  <c r="X86" i="1" s="1"/>
  <c r="Y86" i="1"/>
  <c r="Z86" i="1" s="1"/>
  <c r="V27" i="1"/>
  <c r="X27" i="1" s="1"/>
  <c r="Y27" i="1"/>
  <c r="Z27" i="1" s="1"/>
  <c r="V159" i="1"/>
  <c r="X159" i="1" s="1"/>
  <c r="Y159" i="1"/>
  <c r="Z159" i="1" s="1"/>
  <c r="Y108" i="1"/>
  <c r="Z108" i="1" s="1"/>
  <c r="V108" i="1"/>
  <c r="X108" i="1" s="1"/>
  <c r="V77" i="1"/>
  <c r="X77" i="1" s="1"/>
  <c r="Y77" i="1"/>
  <c r="Z77" i="1" s="1"/>
</calcChain>
</file>

<file path=xl/sharedStrings.xml><?xml version="1.0" encoding="utf-8"?>
<sst xmlns="http://schemas.openxmlformats.org/spreadsheetml/2006/main" count="9814" uniqueCount="2113">
  <si>
    <t>ID</t>
  </si>
  <si>
    <t>Imagen Original</t>
  </si>
  <si>
    <t>Imagen Renombrada</t>
  </si>
  <si>
    <t>Name</t>
  </si>
  <si>
    <t>Sector</t>
  </si>
  <si>
    <t>Sensor</t>
  </si>
  <si>
    <t>Proyecto</t>
  </si>
  <si>
    <t>FechaAdqui</t>
  </si>
  <si>
    <t>FechaCarga</t>
  </si>
  <si>
    <t>Estado</t>
  </si>
  <si>
    <t>URL</t>
  </si>
  <si>
    <t>PAIS</t>
  </si>
  <si>
    <t>COMPAÑÍA</t>
  </si>
  <si>
    <t>TIPO</t>
  </si>
  <si>
    <t>Tipo 2</t>
  </si>
  <si>
    <t>DIA</t>
  </si>
  <si>
    <t>MES</t>
  </si>
  <si>
    <t>AÑO</t>
  </si>
  <si>
    <t>Carpeta</t>
  </si>
  <si>
    <t>Zorder</t>
  </si>
  <si>
    <t>Mosaic Dataset</t>
  </si>
  <si>
    <t>Nombre Concatenado</t>
  </si>
  <si>
    <t>Nombre Sector</t>
  </si>
  <si>
    <t>Verificacion</t>
  </si>
  <si>
    <t>Correlativo Vuelo</t>
  </si>
  <si>
    <t>NombreVuelo</t>
  </si>
  <si>
    <t>20250108_EB1-Orthomosaic.tiff</t>
  </si>
  <si>
    <t>EB1</t>
  </si>
  <si>
    <t>DJI MATRICE 350 RTK</t>
  </si>
  <si>
    <t>PAO</t>
  </si>
  <si>
    <t>Activo</t>
  </si>
  <si>
    <t>CL</t>
  </si>
  <si>
    <t>MLP</t>
  </si>
  <si>
    <t>IF</t>
  </si>
  <si>
    <t>Ortho</t>
  </si>
  <si>
    <t>Puerto_Punta_Chungo_Drone</t>
  </si>
  <si>
    <t>CL_MLP_PAO_IF_Ortho_ALL</t>
  </si>
  <si>
    <t>20250226_Area1_Cuncumen-D835-Orthomosaic.tiff</t>
  </si>
  <si>
    <t>CL_MLP_PAO_IF_Ortho_25_02_26_Area1_Cuncumen-D835.tiff</t>
  </si>
  <si>
    <t>Area1_Cuncumen-D835</t>
  </si>
  <si>
    <t>Chacay_El_Mauro_Drone</t>
  </si>
  <si>
    <t>20250226_Area2_Cuncumen-D835-Orthomosaic.tiff</t>
  </si>
  <si>
    <t>CL_MLP_PAO_IF_Ortho_25_02_26_Area2_Cuncumen-D835.tiff</t>
  </si>
  <si>
    <t>Area2_Cuncumen-D835</t>
  </si>
  <si>
    <t>20250226_RutaD835.tif</t>
  </si>
  <si>
    <t>CL_MLP_PAO_IF_Ortho_25_02_26_RutaD835.tiff</t>
  </si>
  <si>
    <t>RutaD835</t>
  </si>
  <si>
    <t>20250310_NSTC_116a118.tif</t>
  </si>
  <si>
    <t>CL_MLP_PAO_IF_Ortho_25_03_10_NSTC_116a118.tiff</t>
  </si>
  <si>
    <t>NSTC_116a118</t>
  </si>
  <si>
    <t>El_Mauro_Puerto_Punta_Chungo_Drone</t>
  </si>
  <si>
    <t>20250310_NSTC_118a120.tif</t>
  </si>
  <si>
    <t>CL_MLP_PAO_IF_Ortho_25_03_10_NSTC_118a120.tiff</t>
  </si>
  <si>
    <t>NSTC_118a120</t>
  </si>
  <si>
    <t>20250312_SRA2.tif</t>
  </si>
  <si>
    <t>SRA2</t>
  </si>
  <si>
    <t>Chacay_Drone</t>
  </si>
  <si>
    <t>20250317_NSTC_120a121.tif</t>
  </si>
  <si>
    <t>CL_MLP_PAO_IF_Ortho_25_03_17_NSTC_Km_120_a_121.tif</t>
  </si>
  <si>
    <t>NSTC_Km_120_a_121</t>
  </si>
  <si>
    <t>20250319_Orejas16_Ruta-D-865.tif</t>
  </si>
  <si>
    <t>CL_MLP_PAO_IF_Ortho_25_03_19_Orejas16_Ruta-D-865.tiff</t>
  </si>
  <si>
    <t>Orejas16_Ruta-D-865</t>
  </si>
  <si>
    <t>20250319_Orejas17_Ruta-D-865.tif</t>
  </si>
  <si>
    <t>CL_MLP_PAO_IF_Ortho_25_03_19_Orejas17_Ruta-D-865.tiff</t>
  </si>
  <si>
    <t>Orejas17_Ruta-D-865</t>
  </si>
  <si>
    <t>20250319_Orejas18.tif</t>
  </si>
  <si>
    <t>CL_MLP_PAO_IF_Ortho_25_03_19_Orejas18.tiff</t>
  </si>
  <si>
    <t>Orejas18</t>
  </si>
  <si>
    <t>20250331_EB2.tif</t>
  </si>
  <si>
    <t>CL_MLP_PAO_IF_Ortho_25_03_31_EB2.tiff</t>
  </si>
  <si>
    <t>EB2</t>
  </si>
  <si>
    <t>20250331_EV2.tif</t>
  </si>
  <si>
    <t>CL_MLP_PAO_IF_Ortho_25_03_31_EV2.tiff</t>
  </si>
  <si>
    <t>EV2</t>
  </si>
  <si>
    <t>20250402_DME-13.tiff</t>
  </si>
  <si>
    <t>CL_MLP_PAO_IF_Ortho_25_04_02_DME-13.tiff</t>
  </si>
  <si>
    <t>DME-13</t>
  </si>
  <si>
    <t>20250402_Patio-Acopio-17_reprocesado-Orthomosaic.tiff</t>
  </si>
  <si>
    <t>CL_MLP_PAO_IF_Ortho_25_04_02_Patio-Acopio-17.tiff</t>
  </si>
  <si>
    <t>Patio-Acopio-17</t>
  </si>
  <si>
    <t>20250402_Ruta-SE-a-DME-13-Orthomosaic.tiff</t>
  </si>
  <si>
    <t>CL_MLP_PAO_IF_Ortho_25_04_02_Ruta-SE-a-DME-13.tiff</t>
  </si>
  <si>
    <t>Ruta-SE-a-DME-13</t>
  </si>
  <si>
    <t>20250403_Area-patio-19b-y-armado-Orthomosaic.tiff</t>
  </si>
  <si>
    <t>CL_MLP_PAO_IF_Ortho_25_04_03_Area-patio-19b-y-armado.tiff</t>
  </si>
  <si>
    <t>Area-patio-19b-y-armado</t>
  </si>
  <si>
    <t>El_Mauro_Drone</t>
  </si>
  <si>
    <t>20250403_Subestación-El-Mauro-Orthomosaic.tiff</t>
  </si>
  <si>
    <t>CL_MLP_PAO_IF_Ortho_25_04_03_Subestacion-El-Mauro.tiff</t>
  </si>
  <si>
    <t>Subestacion-El-Mauro</t>
  </si>
  <si>
    <t>Cachimba_de_Bajo_Camisas_ED2</t>
  </si>
  <si>
    <t>20250409_Ruta-D-847_01.tif</t>
  </si>
  <si>
    <t>CL_MLP_PAO_IF_Ortho_25_04_09_Ruta-D-847_01.tiff</t>
  </si>
  <si>
    <t>Ruta-D-847_01</t>
  </si>
  <si>
    <t>20250409_Ruta-D-847_02.tif</t>
  </si>
  <si>
    <t>CL_MLP_PAO_IF_Ortho_25_04_09_Ruta-D-847_02.tiff</t>
  </si>
  <si>
    <t>Ruta-D-847_02</t>
  </si>
  <si>
    <t>20250409_Ruta-D-847_03.tif</t>
  </si>
  <si>
    <t>CL_MLP_PAO_IF_Ortho_25_04_09_Ruta-D-847_03.tiff</t>
  </si>
  <si>
    <t>Ruta-D-847_03</t>
  </si>
  <si>
    <t>20250410_Ruta-D-865_01.tif</t>
  </si>
  <si>
    <t>CL_MLP_PAO_IF_Ortho_25_04_10_Ruta-D-865_01.tiff</t>
  </si>
  <si>
    <t>Ruta-D-865_01</t>
  </si>
  <si>
    <t>20250410_Ruta-D-865_02.tif</t>
  </si>
  <si>
    <t>CL_MLP_PAO_IF_Ortho_25_04_10_Ruta-D-865_02.tiff</t>
  </si>
  <si>
    <t>Ruta-D-865_02</t>
  </si>
  <si>
    <t>20250410_Ruta-D-865_03.tif</t>
  </si>
  <si>
    <t>CL_MLP_PAO_IF_Ortho_25_04_10_Ruta-D-865_03.tiff</t>
  </si>
  <si>
    <t>Ruta-D-865_03</t>
  </si>
  <si>
    <t>20250410_Ruta-D-865_04.tif</t>
  </si>
  <si>
    <t>CL_MLP_PAO_IF_Ortho_25_04_10_Ruta-D-865_04.tiff</t>
  </si>
  <si>
    <t>Ruta-D-865_04</t>
  </si>
  <si>
    <t>20250410_Ruta-D-865_05.tif</t>
  </si>
  <si>
    <t>CL_MLP_PAO_IF_Ortho_25_04_10_Ruta-D-865_05.tiff</t>
  </si>
  <si>
    <t>Ruta-D-865_05</t>
  </si>
  <si>
    <t>Sector_Pupio_I_Area_1</t>
  </si>
  <si>
    <t>Monte_Aranda_82p3_a_80p7</t>
  </si>
  <si>
    <t>Monte-Aranda-84p2-a-82p3</t>
  </si>
  <si>
    <t>20250512_Monte-Aranda-84p2-a-82p3-01.tif</t>
  </si>
  <si>
    <t>CL_MLP_PAO_IF_Ortho_25_05_07_Monte-Aranda-84p2-a-82p3-01.tiff</t>
  </si>
  <si>
    <t>Monte-Aranda-84p2-a-82p3-01</t>
  </si>
  <si>
    <t>20250512_Monte-Aranda-84p2-a-82p3-02.tif</t>
  </si>
  <si>
    <t>CL_MLP_PAO_IF_Ortho_25_05_07_Monte-Aranda-84p2-a-82p3-02.tiff</t>
  </si>
  <si>
    <t>Monte-Aranda-84p2-a-82p3-02</t>
  </si>
  <si>
    <t>20250512_Monte-Aranda-84p2-a-82p3-03.tif</t>
  </si>
  <si>
    <t>CL_MLP_PAO_IF_Ortho_25_05_07_Monte-Aranda-84p2-a-82p3-03.tiff</t>
  </si>
  <si>
    <t>Monte-Aranda-84p2-a-82p3-03</t>
  </si>
  <si>
    <t>20250512_Monte-Aranda-84p2-a-82p3-04.tif</t>
  </si>
  <si>
    <t>CL_MLP_PAO_IF_Ortho_25_05_07_Monte-Aranda-84p2-a-82p3-04.tiff</t>
  </si>
  <si>
    <t>Monte-Aranda-84p2-a-82p3-04</t>
  </si>
  <si>
    <t>20250507_Ruta-D-377-E01.tif</t>
  </si>
  <si>
    <t>CL_MLP_PAO_IF_Ortho_25_05_07_Ruta-D-377-E01.tiff</t>
  </si>
  <si>
    <t>Ruta-D-377-E01</t>
  </si>
  <si>
    <t>20250507_Ruta-D-377-E02.tif</t>
  </si>
  <si>
    <t>CL_MLP_PAO_IF_Ortho_25_05_07_Ruta-D-377-E02.tiff</t>
  </si>
  <si>
    <t>Ruta-D-377-E02</t>
  </si>
  <si>
    <t>20250507_Ruta-D-377-E03.tif</t>
  </si>
  <si>
    <t>CL_MLP_PAO_IF_Ortho_25_05_07_Ruta-D-377-E03.tiff</t>
  </si>
  <si>
    <t>Ruta-D-377-E03</t>
  </si>
  <si>
    <t>EDT</t>
  </si>
  <si>
    <t>20250512_EDT-Completa-01.tiff</t>
  </si>
  <si>
    <t>CL_MLP_PAO_IF_Ortho_25_05_12_EDT-Completa-01.tif</t>
  </si>
  <si>
    <t>EDT-Completa-01</t>
  </si>
  <si>
    <t>20250512_EDT-Completa-02.tiff</t>
  </si>
  <si>
    <t>CL_MLP_PAO_IF_Ortho_25_05_12_EDT-Completa-02.tif</t>
  </si>
  <si>
    <t>EDT-Completa-02</t>
  </si>
  <si>
    <t>20250512_EDT-Completa-03.tiff</t>
  </si>
  <si>
    <t>CL_MLP_PAO_IF_Ortho_25_05_12_EDT-Completa-03.tif</t>
  </si>
  <si>
    <t>EDT-Completa-03</t>
  </si>
  <si>
    <t>20250512_EDT-Completa-04.tiff</t>
  </si>
  <si>
    <t>CL_MLP_PAO_IF_Ortho_25_05_12_EDT-Completa-04.tif</t>
  </si>
  <si>
    <t>EDT-Completa-04</t>
  </si>
  <si>
    <t>20250512_EDT-Completa-05.tiff</t>
  </si>
  <si>
    <t>CL_MLP_PAO_IF_Ortho_25_05_12_EDT-Completa-05.tif</t>
  </si>
  <si>
    <t>EDT-Completa-05</t>
  </si>
  <si>
    <t>20250512_EDT-Completa-06.tiff</t>
  </si>
  <si>
    <t>CL_MLP_PAO_IF_Ortho_25_05_12_EDT-Completa-06.tif</t>
  </si>
  <si>
    <t>EDT-Completa-06</t>
  </si>
  <si>
    <t>IIFF15-Campamento-Tipay</t>
  </si>
  <si>
    <t>20250512_IIFF15-Campamento-Tipay-01.tif</t>
  </si>
  <si>
    <t>CL_MLP_PAO_IF_Ortho_25_05_12_IIFF15-Campamento-Tipay-01.tiff</t>
  </si>
  <si>
    <t>IIFF15-Campamento-Tipay-01</t>
  </si>
  <si>
    <t>20250512_IIFF15-Campamento-Tipay-02.tif</t>
  </si>
  <si>
    <t>CL_MLP_PAO_IF_Ortho_25_05_12_IIFF15-Campamento-Tipay-02.tiff</t>
  </si>
  <si>
    <t>IIFF15-Campamento-Tipay-02</t>
  </si>
  <si>
    <t>20250512_IIFF15-Campamento-Tipay-03.tif</t>
  </si>
  <si>
    <t>CL_MLP_PAO_IF_Ortho_25_05_12_IIFF15-Campamento-Tipay-03.tiff</t>
  </si>
  <si>
    <t>IIFF15-Campamento-Tipay-03</t>
  </si>
  <si>
    <t>20250512_IIFF15-Campamento-Tipay-04.tif</t>
  </si>
  <si>
    <t>CL_MLP_PAO_IF_Ortho_25_05_12_IIFF15-Campamento-Tipay-04.tiff</t>
  </si>
  <si>
    <t>IIFF15-Campamento-Tipay-04</t>
  </si>
  <si>
    <t>20250512_IIFF15-Campamento-Tipay-05.tif</t>
  </si>
  <si>
    <t>CL_MLP_PAO_IF_Ortho_25_05_12_IIFF15-Campamento-Tipay-05.tiff</t>
  </si>
  <si>
    <t>IIFF15-Campamento-Tipay-05</t>
  </si>
  <si>
    <t>20250512_IIFF15-Campamento-Tipay-06.tif</t>
  </si>
  <si>
    <t>CL_MLP_PAO_IF_Ortho_25_05_12_IIFF15-Campamento-Tipay-06.tiff</t>
  </si>
  <si>
    <t>IIFF15-Campamento-Tipay-06</t>
  </si>
  <si>
    <t>20250512_Monte-Aranda-84p2-a-82p3-05.tif</t>
  </si>
  <si>
    <t>CL_MLP_PAO_IF_Ortho_25_05_12_Monte-Aranda-84p2-a-82p3.tiff</t>
  </si>
  <si>
    <t>20250515_DME9_PA12_IIFF8_01-Orthomosaic.tiff</t>
  </si>
  <si>
    <t>CL_MLP_PAO_IF_Ortho_25_05_15_DME9_PA12_IIFF8.tiff</t>
  </si>
  <si>
    <t>DME9_PA12_IIFF8</t>
  </si>
  <si>
    <t>20250515_ED1_IIFF7_DME8_01-Orthomosaic.tiff</t>
  </si>
  <si>
    <t>CL_MLP_PAO_IF_Ortho_25_05_15_ED1_IIFF7_DME8.tiff</t>
  </si>
  <si>
    <t>ED1_IIFF7_DME8</t>
  </si>
  <si>
    <t>20250525_EM2_PA10_PA11_1.tif</t>
  </si>
  <si>
    <t>CL_MLP_PAO_IF_Ortho_25_05_15_EM2_PA11_01.tiff</t>
  </si>
  <si>
    <t>EM2_PA11_01</t>
  </si>
  <si>
    <t>20250529_DME5A_DME17_a_NSTC_78p9-Orthomosaic.tiff</t>
  </si>
  <si>
    <t>CL_MLP_PAO_IF_Ortho_25_05_29_DME5A_DME17_a_NSTC_78p9.tiff</t>
  </si>
  <si>
    <t>DME5A_DME17_a_NSTC_78p9</t>
  </si>
  <si>
    <t>20250602_ByPassDrenes_Estacion_Drenes_El_Mauro-Orthomosaic.tiff</t>
  </si>
  <si>
    <t>CL_MLP_PAO_IF_Ortho_25_06_02_ByPassDrenes_Estacion_Drenes_El_Mauro.tiff</t>
  </si>
  <si>
    <t>ByPassDrenes_Estacion_Drenes_El_Mauro</t>
  </si>
  <si>
    <t>20250602_Estacion_Drenes_El_Mauro-Orthomosaic.tiff</t>
  </si>
  <si>
    <t>CL_MLP_PAO_IF_Ortho_25_06_02_Estacion_Drenes_El_Mauro.tiff</t>
  </si>
  <si>
    <t>Estacion_Drenes_El_Mauro</t>
  </si>
  <si>
    <t>20250604_CaminoAcceso03_LasAnimas-Orthomosaic.tiff</t>
  </si>
  <si>
    <t>CL_MLP_PAO_IF_Ortho_25_06_04_CaminoAcceso03_LasAnimas.tiff</t>
  </si>
  <si>
    <t>CaminoAcceso03_LasAnimas</t>
  </si>
  <si>
    <t>20250604_EM3-Orthomosaic.tiff</t>
  </si>
  <si>
    <t>CL_MLP_PAO_IF_Ortho_25_06_04_EM3.tiff</t>
  </si>
  <si>
    <t>EM3</t>
  </si>
  <si>
    <t>20250605_33-kv-74p7-a-75p5-Orthomosaic.tiff</t>
  </si>
  <si>
    <t>CL_MLP_PAO_IF_Ortho_25_06_05_33-kv-74p7-a-75p5.tiff</t>
  </si>
  <si>
    <t>33-kv-74p7-a-75p5</t>
  </si>
  <si>
    <t>20250605_33-kV-NSTC-km-75p5-a-76p4-Orthomosaic.tiff</t>
  </si>
  <si>
    <t>CL_MLP_PAO_IF_Ortho_25_06_05_33-kV-NSTC-km-75p5-a-76p4.tiff</t>
  </si>
  <si>
    <t>33-kV-NSTC-km-75p5-a-76p4</t>
  </si>
  <si>
    <t>20250609_EB2-Orthomosaic.tiff</t>
  </si>
  <si>
    <t>CL_MLP_PAO_IF_Ortho_25_06_09_EB2.tiff</t>
  </si>
  <si>
    <t>20250609_EV2-Orthomosaic.tiff</t>
  </si>
  <si>
    <t>CL_MLP_PAO_IF_Ortho_25_06_09_EV2.tiff</t>
  </si>
  <si>
    <t>20250609_EV2_a_NSTC_Km_87p1-Orthomosaic.tiff</t>
  </si>
  <si>
    <t>CL_MLP_PAO_IF_Ortho_25_06_09_EV2_a_NSTC_Km_87p1.tiff</t>
  </si>
  <si>
    <t>EV2_a_NSTC_Km_87p1</t>
  </si>
  <si>
    <t>20250609_Tramo_EV2_a_EB2-Orthomosaic.tiff</t>
  </si>
  <si>
    <t>CL_MLP_PAO_IF_Ortho_25_06_09_Tramo_EV2_a_EB2.tiff</t>
  </si>
  <si>
    <t>Tramo_EV2_a_EB2</t>
  </si>
  <si>
    <t>20250611_Subestación_El_Mauro-Orthomosaic.tiff</t>
  </si>
  <si>
    <t>CL_MLP_PAO_IF_Ortho_25_06_11_Subestacion_El_Mauro.tiff</t>
  </si>
  <si>
    <t>Subestacion_El_Mauro</t>
  </si>
  <si>
    <t>20250618_NSTC_Km_36p5_a_37p7.tiff</t>
  </si>
  <si>
    <t>CL_MLP_PAO_IF_Ortho_25_06_18_NSTC_Km_36p5_a_37p7.tiff</t>
  </si>
  <si>
    <t>NSTC_Km_36p5_a_37p7</t>
  </si>
  <si>
    <t>20250618_NSTC_Km_37p7_a_39.tiff</t>
  </si>
  <si>
    <t>CL_MLP_PAO_IF_Ortho_25_06_18_NSTC_Km_37p7_a_39.tiff</t>
  </si>
  <si>
    <t>NSTC_Km_37p7_a_39</t>
  </si>
  <si>
    <t>20250618_NSTC_Km_40p4_a_PA10.tiff</t>
  </si>
  <si>
    <t>CL_MLP_PAO_IF_Ortho_25_06_18_NSTC_Km_40p4_a_PA10.tiff</t>
  </si>
  <si>
    <t>NSTC_Km_40p4_a_PA10</t>
  </si>
  <si>
    <t>20250618_NSTC-Km_39_a_40p4f.tiff</t>
  </si>
  <si>
    <t>CL_MLP_PAO_IF_Ortho_25_06_18_NSTC-Km_39_a_40p4f.tiff</t>
  </si>
  <si>
    <t>NSTC-Km_39_a_40p4f</t>
  </si>
  <si>
    <t>20250623_NSTC_Km_121p5_a_123p5.tiff</t>
  </si>
  <si>
    <t>CL_MLP_PAO_IF_Ortho_25_06_23_NSTC_Km_121p5_a_123p5f.tiff</t>
  </si>
  <si>
    <t>NSTC_Km_121p5_a_123p5f</t>
  </si>
  <si>
    <t>20250623_NSTC_Km_123p5_a_124p7.tiff</t>
  </si>
  <si>
    <t>CL_MLP_PAO_IF_Ortho_25_06_23_NSTC_Km_123p5_a_124p7f.tiff</t>
  </si>
  <si>
    <t>NSTC_Km_123p5_a_124p7f</t>
  </si>
  <si>
    <t>20250626_EV2-Orthomosaic.tiff</t>
  </si>
  <si>
    <t>CL_MLP_PAO_IF_Ortho_25_06_26_EV2.tiff</t>
  </si>
  <si>
    <t>20250626_Monte_Aranda_82p3_a_80p7-Orthomosaic.tiff</t>
  </si>
  <si>
    <t>CL_MLP_PAO_IF_Ortho_25_06_26_Monte_Aranda_82p3_a_80p7.tiff</t>
  </si>
  <si>
    <t>20250626_Monte_Aranda_84p2_a_82p3-Orthomosaic.tiff</t>
  </si>
  <si>
    <t>CL_MLP_PAO_IF_Ortho_25_06_26_Monte_Aranda_84p2_a_82p3.tiff</t>
  </si>
  <si>
    <t>Monte_Aranda_84p2_a_82p3</t>
  </si>
  <si>
    <t>CL_MLP_PAO_IF_Ortho_25_06_26_Tramo_EV2_a_EB2.tiff</t>
  </si>
  <si>
    <t>CL_MLP_PAO_IF_Ortho_25_06_26_Tramo_EV2_a_EB2</t>
  </si>
  <si>
    <t>20250702_DME9_PA12_IIFF8_2.tiff</t>
  </si>
  <si>
    <t>CL_MLP_PAO_IF_Ortho_25_07_02_DME9_PA12_IIFF8_2.tiff</t>
  </si>
  <si>
    <t>DME9_PA12_IIFF8_2</t>
  </si>
  <si>
    <t>20250702_EM2_PA10_PA11_2.tiff</t>
  </si>
  <si>
    <t>CL_MLP_PAO_IF_Ortho_25_07_02_EM2_PA10_PA11_2.tiff</t>
  </si>
  <si>
    <t>EM2_PA10_PA11_2</t>
  </si>
  <si>
    <t>20250703_EV1.tiff</t>
  </si>
  <si>
    <t>CL_MLP_PAO_IF_Ortho_25_07_03_EV1.tiff</t>
  </si>
  <si>
    <t>EV1</t>
  </si>
  <si>
    <t>20250703_IIFF4_PA4.tiff</t>
  </si>
  <si>
    <t>CL_MLP_PAO_IF_Ortho_25_07_03_IIFF4_PA4.tiff</t>
  </si>
  <si>
    <t>IIFF4_PA4</t>
  </si>
  <si>
    <t>20250703_NSTC_Km_16p1_a_DME4.tiff</t>
  </si>
  <si>
    <t>CL_MLP_PAO_IF_Ortho_25_07_03_NSTC_Km_16p1_a_DME4.tiff</t>
  </si>
  <si>
    <t>NSTC_Km_16p1_a_DME4</t>
  </si>
  <si>
    <t>20250709_NSTC_Km_100_a_101.tiff</t>
  </si>
  <si>
    <t>CL_MLP_PAO_IF_Ortho_25_07_09_NSTC_Km_100_a_101.tiff</t>
  </si>
  <si>
    <t>NSTC_Km_100_a_101</t>
  </si>
  <si>
    <t>20250715_NSTC_Km_101_a_102.tiff</t>
  </si>
  <si>
    <t>CL_MLP_PAO_IF_Ortho_25_07_15_NSTC_Km_101_a_102f.tiff</t>
  </si>
  <si>
    <t>NSTC_Km_101_a_102f</t>
  </si>
  <si>
    <t>20250715_NSTC_Km_102_a_103p2.tiff</t>
  </si>
  <si>
    <t>CL_MLP_PAO_IF_Ortho_25_07_15_NSTC_Km_102_a_103p2f.tiff</t>
  </si>
  <si>
    <t>NSTC_Km_102_a_103p2f</t>
  </si>
  <si>
    <t>20250715_Oreja_16_NSTC_103p3_a_103p8_2.tiff</t>
  </si>
  <si>
    <t>CL_MLP_PAO_IF_Ortho_25_07_15_Oreja_16_NSTC_103p3_a_103p8_2f.tiff</t>
  </si>
  <si>
    <t>Oreja_16_NSTC_103p3_a_103p8_2f</t>
  </si>
  <si>
    <t>20250715_Oreja_17_NSTC_103p7_a_104p9_2.tiff</t>
  </si>
  <si>
    <t>CL_MLP_PAO_IF_Ortho_25_07_15_Oreja_17_NSTC_103p7_a_104p9_2f.tiff</t>
  </si>
  <si>
    <t>Oreja_17_NSTC_103p7_a_104p9_2f</t>
  </si>
  <si>
    <t>20250716_NSTC_Km_105p6_a_107.tiff</t>
  </si>
  <si>
    <t>CL_MLP_PAO_IF_Ortho_25_07_16_NSTC_Km_105p6_a_107f.tiff</t>
  </si>
  <si>
    <t>NSTC_Km_105p6_a_107f</t>
  </si>
  <si>
    <t>20250716_NSTC_Km_99_a_100.tiff</t>
  </si>
  <si>
    <t>CL_MLP_PAO_IF_Ortho_25_07_16_NSTC_Km_99_a_100f.tiff</t>
  </si>
  <si>
    <t>NSTC_Km_99_a_100f</t>
  </si>
  <si>
    <t>20250716_Oreja_18_NSTC_104p9_a_105p6_2.tiff</t>
  </si>
  <si>
    <t>CL_MLP_PAO_IF_Ortho_25_07_16_Oreja_18_NSTC_104p9_a_105p6_2f.tiff</t>
  </si>
  <si>
    <t>Oreja_18_NSTC_104p9_a_105p6_2f</t>
  </si>
  <si>
    <t>20250722_NSTC_Km_107_a_108-Orthomosaic.tiff</t>
  </si>
  <si>
    <t>CL_MLP_PAO_IF_Ortho_25_07_22_NSTC_Km_107_a_108.tiff</t>
  </si>
  <si>
    <t>NSTC_Km_107_a_108</t>
  </si>
  <si>
    <t>20250722_NSTC_Km_108_a_109p1-Orthomosaic.tiff</t>
  </si>
  <si>
    <t>CL_MLP_PAO_IF_Ortho_25_07_22_NSTC_Km_108_a_109p1.tiff</t>
  </si>
  <si>
    <t>NSTC_Km_108_a_109p1</t>
  </si>
  <si>
    <t>20250722_NSTC_Km_109p1_a_110-Orthomosaic.tiff</t>
  </si>
  <si>
    <t>CL_MLP_PAO_IF_Ortho_25_07_22_NSTC_Km_109p1_a_110.tiff</t>
  </si>
  <si>
    <t>NSTC_Km_109p1_a_110</t>
  </si>
  <si>
    <t>20250722_NSTC_Km_110_a_111-Orthomosaic.tiff</t>
  </si>
  <si>
    <t>CL_MLP_PAO_IF_Ortho_25_07_22_NSTC_Km_110_a_111.tiff</t>
  </si>
  <si>
    <t>NSTC_Km_110_a_111</t>
  </si>
  <si>
    <t>20250722_NSTC_Km_111_a_112-Orthomosaic.tiff</t>
  </si>
  <si>
    <t>CL_MLP_PAO_IF_Ortho_25_07_22_NSTC_Km_111_a_112.tiff</t>
  </si>
  <si>
    <t>NSTC_Km_111_a_112</t>
  </si>
  <si>
    <t>20250812_Linea_33_kV_NorteElMauro_Area11_11-Orthomosaic</t>
  </si>
  <si>
    <t>CL_MLP_PAO_IF_Ortho_25_08_12_Linea_33_kV_NorteElMauro_Area11_11.tiff</t>
  </si>
  <si>
    <t>Linea_33_kV_NorteElMauro_Area11_11</t>
  </si>
  <si>
    <t>20250812_Linea_33_kV_NorteElMauro_Area12_12-Orthomosaic</t>
  </si>
  <si>
    <t>CL_MLP_PAO_IF_Ortho_25_08_12_Linea_33_kV_NorteElMauro_Area12_12.tiff</t>
  </si>
  <si>
    <t>Linea_33_kV_NorteElMauro_Area12_12</t>
  </si>
  <si>
    <t>20250813_Linea_33_kV_NorteElMauro_Area10_10-Orthomosaic</t>
  </si>
  <si>
    <t>CL_MLP_PAO_IF_Ortho_25_08_13_Linea_33_kV_NorteElMauro_Area10_10.tiff</t>
  </si>
  <si>
    <t>Linea_33_kV_NorteElMauro_Area10_10</t>
  </si>
  <si>
    <t>20250813_Linea-33_kV_NorteElMauro_Area9_9-Orthomosaic</t>
  </si>
  <si>
    <t>CL_MLP_PAO_IF_Ortho_25_08_13_Linea_33_kV_NorteElMauro_Area9_9.tiff</t>
  </si>
  <si>
    <t>Linea_33_kV_NorteElMauro_Area9_9</t>
  </si>
  <si>
    <t>20250820_Linea_33_kV_NorteElMauro_Area7_7_01-Orthomosaic</t>
  </si>
  <si>
    <t>CL_MLP_PAO_IF_Ortho_25_08_20_Linea_33_kV_NorteElMauro_Area7_7.tiff</t>
  </si>
  <si>
    <t>Linea_33_kV_NorteElMauro_Area7_7</t>
  </si>
  <si>
    <t>20250820_Linea_33_kV_NorteElMauro_Area8_8_01-Orthomosaic</t>
  </si>
  <si>
    <t>CL_MLP_PAO_IF_Ortho_25_08_20_Linea_33_kV_NorteElMauro_Area8_8.tiff</t>
  </si>
  <si>
    <t>Linea_33_kV_NorteElMauro_Area8_8</t>
  </si>
  <si>
    <t>20250826_Linea_33_kV_NorteElMauro_Area5_5_01-Orthomosaic</t>
  </si>
  <si>
    <t>Linea_33_kV_NorteElMauro_Area5_5</t>
  </si>
  <si>
    <t>20250826_Linea_33_kV_NorteElMauro_Area6_6_01-Orthomosaic</t>
  </si>
  <si>
    <t>Linea_33_kV_NorteElMauro_Area6_6</t>
  </si>
  <si>
    <t>20250827_Linea_33_kV_NorteElMauro_Area3_3_01-Orthomosaic</t>
  </si>
  <si>
    <t>Linea_33_kV_NorteElMauro_Area3_3</t>
  </si>
  <si>
    <t>20250827_Linea_33_kV_NorteElMauro_Area4_4-Orthomosaic</t>
  </si>
  <si>
    <t>Linea_33_kV_NorteElMauro_Area4_4</t>
  </si>
  <si>
    <t>20250902_DME5C_DME_16_a_NSTC_79p4</t>
  </si>
  <si>
    <t>DME5C_DME_16_a_NSTC_79p4</t>
  </si>
  <si>
    <t>20250902_Instalacion_FaenaN15_Alrededores_Tipay (2)</t>
  </si>
  <si>
    <t>Instalacion_FaenaN15_Alrededores_Tipay_2</t>
  </si>
  <si>
    <t>20250903_EstructuraTranquilla_NSTC_Km_20_a_21-Orthomosaic</t>
  </si>
  <si>
    <t>EstructuraTranquilla_NSTC_Km_20_a_21</t>
  </si>
  <si>
    <t>20250903_NSTC_Km_21_a_22_DME5-Orthomosaic</t>
  </si>
  <si>
    <t>NSTC_Km_21_a_22_DME5</t>
  </si>
  <si>
    <t>20250903_Tranquilla_NSTC_Km_18_a_19-Orthomosaic</t>
  </si>
  <si>
    <t>Tranquilla_NSTC_Km_18_a_19</t>
  </si>
  <si>
    <t>20250903_Tranquilla_NSTC_Km_19_a_20-Orthomosaic</t>
  </si>
  <si>
    <t>Tranquilla_NSTC_Km_19_a_20</t>
  </si>
  <si>
    <t>20250909_NSTC_Km_112_a_113-Orthomosaic</t>
  </si>
  <si>
    <t>NSTC_Km_112_a_113</t>
  </si>
  <si>
    <t>20250909_NSTC_Km_113_a_114-Orthomosaic</t>
  </si>
  <si>
    <t>NSTC_Km_113_a_114</t>
  </si>
  <si>
    <t>20250909_NSTC_Km_114_a_115-Orthomosaic</t>
  </si>
  <si>
    <t>NSTC_Km_114_a_115</t>
  </si>
  <si>
    <t>20250909_NSTC_Km_115_a_116p4-Orthomosaic</t>
  </si>
  <si>
    <t>NSTC_Km_115_a_116p4</t>
  </si>
  <si>
    <t>20250910_Area_Mauro_H-Orthomosaic</t>
  </si>
  <si>
    <t>Area_Mauro_H</t>
  </si>
  <si>
    <t>20250910_ElMauro_Asentamiento_AeronauticoGP-Orthomosaic</t>
  </si>
  <si>
    <t>ElMauro_Asentamiento_AeronauticoGP</t>
  </si>
  <si>
    <t>20250911_Linea_33_kV_NorteElMauro_Area1_1-Orthomosaic</t>
  </si>
  <si>
    <t>Linea33kV_Norte_El_Mauro_Area_1_1</t>
  </si>
  <si>
    <t>20250911_Linea_33_kV_NorteElMauro_Area2_2-Orthomosaic</t>
  </si>
  <si>
    <t>Linea33kV_Norte_El_Mauro_Area_2_2</t>
  </si>
  <si>
    <t>20250924_EC-TK100-SRA2-Orthomosaic.tiff</t>
  </si>
  <si>
    <t>EC-TK100-SRA2</t>
  </si>
  <si>
    <t>20250924_NSTC-2p3-a-4p4-Area-1-Orthomosaic.tiff</t>
  </si>
  <si>
    <t>NSTC-2p3-a-4p4-Area-1</t>
  </si>
  <si>
    <t>20250924_NSTC-Km-0-a-1p1-SRA-Orthomosaic.tiff</t>
  </si>
  <si>
    <t>NSTC-Km-0-a-1p1-SRA</t>
  </si>
  <si>
    <t>20250924_NSTC-Km-1p1-a-1p5-SRA-Orthomosaic.tiff</t>
  </si>
  <si>
    <t>NSTC-Km-1p1-a-1p5-SRA</t>
  </si>
  <si>
    <t>20250924_NSTC-Km-1p5-a-2p2-Orthomosaic.tiff</t>
  </si>
  <si>
    <t>NSTC-Km-1p5-a-2p2</t>
  </si>
  <si>
    <t>20250924_NSTC-km-2p2-a-3p5-Orthomosaic.tiff</t>
  </si>
  <si>
    <t>NSTC-km-2p2-a-3p5</t>
  </si>
  <si>
    <t>20250924_SRA-2-km-56p1-a-57p7-Area-2-Orthomosaic.tiff</t>
  </si>
  <si>
    <t>SRA-2-km-56p1-a-57p7-Area-2</t>
  </si>
  <si>
    <t>20250924_SRA2-Km-57p7-a-59-Orthomosaic.tiff</t>
  </si>
  <si>
    <t>SRA2-Km-57p7-a-59</t>
  </si>
  <si>
    <t>20250925_EM1-Orthomosaic.tiff</t>
  </si>
  <si>
    <t>EM1</t>
  </si>
  <si>
    <t>20250925_EM1-EstacionChoapa3-Orthomosaic.tiff</t>
  </si>
  <si>
    <t>EM1-EstacionChoapa3</t>
  </si>
  <si>
    <t>20250925_NSTC-km-7p0-a-8p3-Orthomosaic.tiff</t>
  </si>
  <si>
    <t>NSTC-km-7p0-a-8p3</t>
  </si>
  <si>
    <t>20250925_SRA-2-53p2-a-54p6-Orthomosaic.tiff</t>
  </si>
  <si>
    <t>SRA-2-53p2-a-54p6</t>
  </si>
  <si>
    <t>20251001_NSTC_Km_87p1_a_88p7-Orthomosaic.tiff</t>
  </si>
  <si>
    <t>NSTC_Km_87p1_a_88p7</t>
  </si>
  <si>
    <t>20251001_Pupio_I_sector_2_2-Orthomosaic.tiff</t>
  </si>
  <si>
    <t>Pupio_I_sector_2_2</t>
  </si>
  <si>
    <t>20251002_NSTC_Km_91p5_a_92-Orthomosaic.tiff</t>
  </si>
  <si>
    <t>NSTC_Km_91p5_a_92</t>
  </si>
  <si>
    <t>20251002_NSTC_Km_92_a_93-Orthomosaic.tiff</t>
  </si>
  <si>
    <t>NSTC_Km_92_a_93</t>
  </si>
  <si>
    <t>20251002_NSTC_Km_93_a_94-Orthomosaic.tiff</t>
  </si>
  <si>
    <t>NSTC_Km_93_a_94</t>
  </si>
  <si>
    <t>20251002_NSTC_Km_94_a_95-Orthomosaic.tiff</t>
  </si>
  <si>
    <t>NSTC_Km_94_a_95</t>
  </si>
  <si>
    <t>20251007_DME5A_DME17_a_NSTC_78p9-Orthomosaic.tiff</t>
  </si>
  <si>
    <t>20251007_DME5C_DME_16_a_NSTC_79p4-Orthomosaic.tiff</t>
  </si>
  <si>
    <t>20251008_ElMauro_E7_E9-Orthomosaic.tiff</t>
  </si>
  <si>
    <t>ElMauro_E7_E9</t>
  </si>
  <si>
    <t>20251009_ElMauro_E7_E8-Orthomosaic.tiff</t>
  </si>
  <si>
    <t>ElMauro_E7_E8</t>
  </si>
  <si>
    <t>20251015_DME_13-Orthomosaic.tiff</t>
  </si>
  <si>
    <t>DME_13</t>
  </si>
  <si>
    <t>20251016_NSTC_Km_100_a_101-Orthomosaic</t>
  </si>
  <si>
    <t>20251016_Oreja_17_NSTC_103p7_a_104p9-Orthomosaic</t>
  </si>
  <si>
    <t>Oreja_17_NSTC_103p7_a_104p9</t>
  </si>
  <si>
    <t>20251016_Oreja_18_NSTC_104p9_a_105p6-Orthomosaic</t>
  </si>
  <si>
    <t>Oreja_18_NSTC_104p9_a_105p6</t>
  </si>
  <si>
    <t>20251021_NSTC_km_4p4_a_7p0-Orthomosaic</t>
  </si>
  <si>
    <t>NSTC_km_4p4_a_7p0</t>
  </si>
  <si>
    <t>20251021_SRA_2_km_54p6_a_56p1_Area-1-Orthomosaic</t>
  </si>
  <si>
    <t>SRA_2_km_54p6_a_56p1_Area-1</t>
  </si>
  <si>
    <t>20251111_NSTC_Km_31_a_32-Orthomosaic.tiff</t>
  </si>
  <si>
    <t>CanalAraya_NSTC_Km_17_a_18</t>
  </si>
  <si>
    <t>20251111_NSTC_Km_21_a_22_DME5-Orthomosaic.tiff</t>
  </si>
  <si>
    <t>DME7_PA7_IF6</t>
  </si>
  <si>
    <t>20251111_CanalAraya_NSTC_Km_17_a_18-Orthomosaic.tiff</t>
  </si>
  <si>
    <t>20251111_DME7_PA7_IF6-Orthomosaic.tiff</t>
  </si>
  <si>
    <t>NSTC_Km_31_a_32</t>
  </si>
  <si>
    <t>20251113_DME9-PA12-IIFF8_03-Orthomosaic.tiff</t>
  </si>
  <si>
    <t>DME9-PA12-IIFF8_03</t>
  </si>
  <si>
    <t>20251113_Drenaje-Bajo-Quelen-Orthomosaic.tiff</t>
  </si>
  <si>
    <t>Drenaje-Bajo-Quelen</t>
  </si>
  <si>
    <t>20251113_ED1-IIFF7-DME8_02-Orthomosaic.tiff</t>
  </si>
  <si>
    <t>ED1-IIFF7-DME8_02</t>
  </si>
  <si>
    <t>20251113_EM2-PA10-PA11_03-Orthomosaic.tiff</t>
  </si>
  <si>
    <t>EM2-PA10-PA11_03</t>
  </si>
  <si>
    <t>20251118_EB2_03-Orthomosaic.tiff</t>
  </si>
  <si>
    <t>EB2_03</t>
  </si>
  <si>
    <t>20251118_EV2_04-Orthomosaic.tiff</t>
  </si>
  <si>
    <t>EV2_04</t>
  </si>
  <si>
    <t>20251118_IIFFN13A-Orthomosaic.tiff</t>
  </si>
  <si>
    <t>IIFFN13A</t>
  </si>
  <si>
    <t>20251118_Tramo-EV2-a-EB2_03-Orthomosaic.tiff</t>
  </si>
  <si>
    <t>Tramo-EV2-a-EB2_03</t>
  </si>
  <si>
    <t>20251119_ED2_02-Orthomosaic.tiff</t>
  </si>
  <si>
    <t>ED2_02</t>
  </si>
  <si>
    <t>20251119_EM3_02-Orthomosaic.tiff</t>
  </si>
  <si>
    <t>EM3_02</t>
  </si>
  <si>
    <t>20251119_NSTC-Km-50p3-a-51-Orthomosaic.tiff</t>
  </si>
  <si>
    <t>NSTC-Km-50p3-a-51</t>
  </si>
  <si>
    <t>20251119_NSTC-Km-56-a-57p2-Orthomosaic.tiff</t>
  </si>
  <si>
    <t>NSTC-Km-56-a-57p2</t>
  </si>
  <si>
    <t>20251125_Linea-33-kV-NorteElMauro-Area11_02-Orthomosaic.tiff</t>
  </si>
  <si>
    <t>Linea-33-kV-NorteElMauro-Area11_02</t>
  </si>
  <si>
    <t>20251125_Linea-33-kV-NorteElMauro-Area12_02-Orthomosaic.tiff</t>
  </si>
  <si>
    <t>Linea-33-kV-NorteElMauro-Area12_02</t>
  </si>
  <si>
    <t>20251127_Linea-33-kV-NorteElMauro-Area10_02-Orthomosaic.tiff</t>
  </si>
  <si>
    <t>Linea-33-kV-NorteElMauro-Area10_02</t>
  </si>
  <si>
    <t>20251127_Linea-33-kV-NorteElMauro-Area9_02-Orthomosaic.tiff</t>
  </si>
  <si>
    <t>Linea-33-kV-NorteElMauro-Area9_02</t>
  </si>
  <si>
    <t>20251202_Linea-33-kV-NorteElMauro-Area7_02-Orthomosaic.tiff</t>
  </si>
  <si>
    <t>Linea-33-kV-NorteElMauro-Area7_02</t>
  </si>
  <si>
    <t>20251202_Linea-33-kV-NorteElMauro-Area8_02-Orthomosaic.tiff</t>
  </si>
  <si>
    <t>Linea-33-kV-NorteElMauro-Area8_02</t>
  </si>
  <si>
    <t>20251203_Linea-33-kV-NorteElMauro-Area5_02-Orthomosaic.tiff</t>
  </si>
  <si>
    <t>Linea-33-kV-NorteElMauro-Area5_02</t>
  </si>
  <si>
    <t>20251203_Linea-33-kV-NorteElMauro-Area6_02-Orthomosaic.tiff</t>
  </si>
  <si>
    <t>Linea-33-kV-NorteElMauro-Area6_02</t>
  </si>
  <si>
    <t>GS_PLATAFORMA INTEGRADA COMPLETA 19-12-2025.tif</t>
  </si>
  <si>
    <t>Plataforma_Integrada_El_Mauro</t>
  </si>
  <si>
    <t>DJI MAVIC 3 ENTERPRISE</t>
  </si>
  <si>
    <t>CL_MLP_PAO_IF_Ortho_Geosupport</t>
  </si>
  <si>
    <t>GS_ORTOFOTO PLATAFORMA 26-12-2025.tif</t>
  </si>
  <si>
    <t>GS_ORTOFOTO PLATAFORMA INTEGRADA 02-01-2026.tif</t>
  </si>
  <si>
    <t>GS_ORTOFOTO_TORRES E85-E125.tif</t>
  </si>
  <si>
    <t>DME5A-DME17-a-NSTC-78p9</t>
  </si>
  <si>
    <t>GS_ORTOFOTO_EV2_040126.tif</t>
  </si>
  <si>
    <t>GS_ORTOFOTO_Avance Estación de Drenaje 2.tif</t>
  </si>
  <si>
    <t>ED2</t>
  </si>
  <si>
    <t>GS_ORTOFOTO_SUBESTACIÓN EL MAURO.tif</t>
  </si>
  <si>
    <t>Linea-33-kV-NorteElMauro-Area12</t>
  </si>
  <si>
    <t>GS_ORTOFOTO PATIO DE ACOPIO N°19B 07-01-2026.tif</t>
  </si>
  <si>
    <t>Patio-19B-y-Armado</t>
  </si>
  <si>
    <t>GS_ORTOFOTO TORRE E48 A E84 PV4 07-01-2026.tif</t>
  </si>
  <si>
    <t>TORRE_E48_A_E84_PV4</t>
  </si>
  <si>
    <t>GS_ORTOFOTO TORRES E12 - E30 PV4 (PRIORIDAD 4).tif</t>
  </si>
  <si>
    <t>TORRES_E12_-_E30_PV4</t>
  </si>
  <si>
    <t>GS_ORTOFOTO TORRES E31 A E48 PV4 PRIORIDAD 5.tif</t>
  </si>
  <si>
    <t>TORRES_E31_A_E48_PV4</t>
  </si>
  <si>
    <t>GS_ORTOFOTO POZOS PRP 09-01-2026.tif</t>
  </si>
  <si>
    <t>Linea-33-kV-NorteElMauro-Area3</t>
  </si>
  <si>
    <t>GS_ORTOFOTO PLATAFORMA INTEGRADA 09-01-2026.tif</t>
  </si>
  <si>
    <t>GS_ORTOFOTO TORRE E85 A E 125 09-01-2026.tif</t>
  </si>
  <si>
    <t>TORRE_E85_A_E_125</t>
  </si>
  <si>
    <t>GS_ORTOFOTO ED1 PRIORIDAD 15 10-01-2026.tif</t>
  </si>
  <si>
    <t>ED1-IIFF7-DME8</t>
  </si>
  <si>
    <t>GS_ORTOFOTO ED2 PRIORIDAD 17 10-01-2026.tif</t>
  </si>
  <si>
    <t>GS_ORTOFOTO TORRES E125 A EML2.tif</t>
  </si>
  <si>
    <t>MonteAranda-NSTC-Km-84p2-a-82p3</t>
  </si>
  <si>
    <t>GS_ORTOFOTO EM1 11-01-2026.tif</t>
  </si>
  <si>
    <t>GS_ORTOFOTO_Tramo 2 linea 33KV,  Torres E31-E48_14-01-26.tif</t>
  </si>
  <si>
    <t>Linea-33-kV-NorteElMauro-Area1</t>
  </si>
  <si>
    <t>GS_ORTOFOTO_Tramo 3 linea 33kv y EM4, Torres E14-E22 (Prioridad 2)_14-01-26.tif</t>
  </si>
  <si>
    <t>Linea-33-kV-NorteElMauro-Area6</t>
  </si>
  <si>
    <t>GS_ORTOFOTO_EM4 (Prioridad 16)_14-01-26.tif</t>
  </si>
  <si>
    <t>Linea-33-kV-NorteElMauro-Area7</t>
  </si>
  <si>
    <t>GS_ORTOFOTO_SUBESTACION EL MAURO_14-01-25.tif</t>
  </si>
  <si>
    <t>GS_ORTOFOTO_EM1_16-01-2026.tif</t>
  </si>
  <si>
    <t>GS_Ortofoto_Tramo 3 linea 33 KV , Torres E23-E30_16-01-26.tif</t>
  </si>
  <si>
    <t>GS_ORTOFOTO PLATAFORMA INTEGRADA 16-01-2026.tif</t>
  </si>
  <si>
    <t>GS_ORTOFOTO_Tramo 1 linea 33KV,  Torres E127-EML2   (Prioridad 8)_17-01-26.tif</t>
  </si>
  <si>
    <t>GS_ORTOFOTO_EV2_18-01-26.tif</t>
  </si>
  <si>
    <t>GS_ORTOFOTO EV1 PRIORIDAD 14 20-01-2026.tif</t>
  </si>
  <si>
    <t>GS_ORTOFOTO POZOS PRP 20-01-2026.tif</t>
  </si>
  <si>
    <t>GS_ORTOFOTO EM2 21-01-2026.tif</t>
  </si>
  <si>
    <t>DME9-PA12-IIFF8</t>
  </si>
  <si>
    <t>GS_ORTOFOTO_POLIGONO ED1 PRIORIDAD 15.tif</t>
  </si>
  <si>
    <t>GS_ORTOFOTO EM2 SECTOR 2 21-01-2026.tif</t>
  </si>
  <si>
    <t>IIFF9-PA13</t>
  </si>
  <si>
    <t>GS_ORTOFOTO TORRES E48 A E84 PV4 21-01-2026.tif</t>
  </si>
  <si>
    <t>InstalacionesTipay</t>
  </si>
  <si>
    <t>GS_ORTOFOTO_Patio de Acopio 19B (Prioridad 11).tif</t>
  </si>
  <si>
    <t>GS_ORTOFOTO PLATAFORMA INTEGRADA 30-01-2026.tif</t>
  </si>
  <si>
    <t>GS_ORTOFOTO_EB2_310126.tif</t>
  </si>
  <si>
    <t>EB2_1</t>
  </si>
  <si>
    <t>GS_ORTOFOTO_EV2_310126.tif</t>
  </si>
  <si>
    <t>EV2_1</t>
  </si>
  <si>
    <t>1001-03-T-CS-202-0000-C-IT-02232[000].tif</t>
  </si>
  <si>
    <t>Linea-33-kV-NorteElMauro-Area3_1</t>
  </si>
  <si>
    <t>GS_Ortofoto Poligono Torres E127-EML2.tif</t>
  </si>
  <si>
    <t>1001-03-T-CS-202-4310-C-DW-23424[000].tif</t>
  </si>
  <si>
    <t>GS_ORTOFOTO_Tramo 3 linea 33 KV , Torres E23-E30  (Prioridad 4)_01-02-26.tif</t>
  </si>
  <si>
    <t>GS_ORTOFOTO TORRE E23-E30 PV4 03-02-2026.tif</t>
  </si>
  <si>
    <t>GS_ORTOFOTO EM2 04-02-2026.tif</t>
  </si>
  <si>
    <t>GS_ORTOFOTO ED1 04-02-2026.tif</t>
  </si>
  <si>
    <t>GS_ORTOFOTO EM2 SECTOR 2 04-02-2026.tif</t>
  </si>
  <si>
    <t>GS_ORTOFOTO_04-02-2026_POZOS PRP.tif</t>
  </si>
  <si>
    <t>GS_ORTOFOTO TORRES E31 A E48 PV4 05-02-2026.tif</t>
  </si>
  <si>
    <t>33-kV-NSTC-Km-74p7-a-75p5</t>
  </si>
  <si>
    <t>GS_ORTOFOTO_ED2 (Prioridad 17).tif</t>
  </si>
  <si>
    <t>GS_ORTOFOTO EV1 05-02-2026.tif</t>
  </si>
  <si>
    <t>GS_ORTOFOTO_EV2 (Prioridad 12).tif</t>
  </si>
  <si>
    <t>GS_ORTOFOTO_06-02-2026_EM N°1 (Prioridad 13).tif</t>
  </si>
  <si>
    <t>GS_ORTOFOTO PATIO 19B 06-02-2026.tif</t>
  </si>
  <si>
    <t>GS_ORTOFOTO_06-07-2026_SSEE EL MAURO (PRIORIDAD 1).tif</t>
  </si>
  <si>
    <t>GS_ORTOFOTO TORRES E48 A E84 06-02-2026.tif</t>
  </si>
  <si>
    <t>GS_ORTOFOTO TORRES E127 A EML2 07-02-2025.tif</t>
  </si>
  <si>
    <t>GS_ORTOFOTO PLATAFORMA INTEGRADA 07-02-2026.tif</t>
  </si>
  <si>
    <t>GS_ORTOFOTO_Tramo 2 linea 33KV,  Torres E85-E127  (Prioridad 7).tif</t>
  </si>
  <si>
    <t>GS_ORTOFOTO EM4 PRIORIDAD 16 09-02-2026.tif</t>
  </si>
  <si>
    <t>EM4</t>
  </si>
  <si>
    <t>GS_ORTOFOTO EM4 PRIORIDAD N°2 09-02-2026.tif</t>
  </si>
  <si>
    <t>EM4_PR2</t>
  </si>
  <si>
    <t>GS_ORTOFOTO ED1 (10-02-2026).tif</t>
  </si>
  <si>
    <t>GS_ORTOFOTO_EB2_11-02-26.tif</t>
  </si>
  <si>
    <t>GS_ORTOFOTO_EM1_110226.tif</t>
  </si>
  <si>
    <t>EM1_1</t>
  </si>
  <si>
    <t>GS_ORTOFOTO_EV1_(prioridad 14)110226.tif</t>
  </si>
  <si>
    <t>EV1_1</t>
  </si>
  <si>
    <t>GS_ORTOFOTO_EV2_11-02-2026.tif</t>
  </si>
  <si>
    <t>GS_ORTOFOTO_Tramo 1 linea 33KV,  Torres E127-EML2 _11-02-26.tif</t>
  </si>
  <si>
    <t>GS_ORTOFOTO_Tramo 2 linea 33KV,  Torres E85-E127 _11-02-26.tif</t>
  </si>
  <si>
    <t>GS_ORTOFOTO_Tramo 3 linea 33 KV , Torres E23-E30  (Prioridad 4)_11-02-26.tif</t>
  </si>
  <si>
    <t>GS_ORTOFOTO ED2 12-02-2026.tif</t>
  </si>
  <si>
    <t>GS_ORTOFOTO_EM4_12-02-26.tif</t>
  </si>
  <si>
    <t>GS_ORTOFOTO_EM2-2_120226 (prioridad 10).tif</t>
  </si>
  <si>
    <t>IIFF9-PA13_1</t>
  </si>
  <si>
    <t>GS_ORTOFOTO_PATIO 19B_12-02-26.tif</t>
  </si>
  <si>
    <t>ORTOFOTO_EM2_130226.tif</t>
  </si>
  <si>
    <t>DME9_PA12_IIFF8_1</t>
  </si>
  <si>
    <t>GS_ORTOFOTO PLATAFORMA INTEGRADA 13-02-2026.tif</t>
  </si>
  <si>
    <t>GS_ORTOFOTO_Subestacion El Mauro_14-02-26.tif</t>
  </si>
  <si>
    <t>GS_Ortofoto Poligono Torres E31-E48_14-02-26.tif</t>
  </si>
  <si>
    <t>GS_ORTOFOTO_Tramo 2 linea 33KV,  Torres E48-E84_15-02-26.tif</t>
  </si>
  <si>
    <t>GS_ORTOFOTO EM2 18-02-2026.tif</t>
  </si>
  <si>
    <t>GS_ORTOFOTO TORRES E48-E84.tif</t>
  </si>
  <si>
    <t>TORRES_E48_A_E84_PV4</t>
  </si>
  <si>
    <t>GS_ORTOFOTO ED1 19-02-2026.tif</t>
  </si>
  <si>
    <t>GS_ORTOFOTO TORRES E127 A EML2 19-02-2026.tif</t>
  </si>
  <si>
    <t>GS_Ortofoto_19-02-2026_Torres E23-E30.tif</t>
  </si>
  <si>
    <t>GS_ORTOFOTO EM1 (PRIORIDAD X) 20-02-2026.tif</t>
  </si>
  <si>
    <t>GS_ORTOFOTO_EM4 (Prioridad 16).tif</t>
  </si>
  <si>
    <t>GS_ORTOFOTO_20-02-2026_TRAMO3 (PRIORIDAD 2).tif</t>
  </si>
  <si>
    <t>GS_ORTOFOTO ESTACION DE VALVULAS N°2 20-02-2026.tif</t>
  </si>
  <si>
    <t>GS_PLATAFORMA INTEGRADA 20-02-2026.tif</t>
  </si>
  <si>
    <t>GS_ORTOFOTO TORRES E84 A E127.tif</t>
  </si>
  <si>
    <t>TORRES_E84_A_E127</t>
  </si>
  <si>
    <t>GS_ORTOFOTO ED2 21-02-2026.tif</t>
  </si>
  <si>
    <t>GS_ORTOFOTO EV1 21-02-2026.tif</t>
  </si>
  <si>
    <t>GS_ORTOFOTO EM2 SECTOR 2 21-02-2026.tif</t>
  </si>
  <si>
    <t>GS_ORTOFOTO_21-02-22_Patio 19B - PV4 (Prioridad 11).tif</t>
  </si>
  <si>
    <t>GS_ORTOFOTO_21-02-2026_SSEE EL MAURO (PRIORIDAD 1).tif</t>
  </si>
  <si>
    <t>GS_ORTOFOTO_22-02-2026_TRAMO 2, Torres E31-E48  (Prioridad 5).tif</t>
  </si>
  <si>
    <t>ORTOFOTO_CORTADA_POZOS_240226.tif</t>
  </si>
  <si>
    <t>GS_ORTOFOTO_EM4_25-02-26.tif</t>
  </si>
  <si>
    <t>ORTOFOTO_EV1_250226.tif</t>
  </si>
  <si>
    <t>GS_ORTOFOTO_Tramo 1 Línea 33 kV E-125 –ML EB2 25-02-26.tif</t>
  </si>
  <si>
    <t>GS_ORTOFOTO_EB3_26-02-26.tif</t>
  </si>
  <si>
    <t>EB3</t>
  </si>
  <si>
    <t>GS_ORTOFOTO EM2 (PRIORIDAD).tif</t>
  </si>
  <si>
    <t>EM2</t>
  </si>
  <si>
    <t>GS_EBD_26-02-2026.tif</t>
  </si>
  <si>
    <t>GS_ORTOFOTO_EV2_26-02-26.tif</t>
  </si>
  <si>
    <t>GS_ORTOFOTO EM2-2 (26-02-2026).tif</t>
  </si>
  <si>
    <t>GS_ORTOFOTO_SSEE_26-02-26.tif</t>
  </si>
  <si>
    <t>GS_Tramo 2 Línea 33 kV E-085 –E-125 (Prioridad 7) 26_02_26.tif</t>
  </si>
  <si>
    <t>GS_ORTOFOTO PLATAFORMA COMPLETA 27-02-2026.tif</t>
  </si>
  <si>
    <t>ORTOFOTO_CORTADA_EM1_280226.tif</t>
  </si>
  <si>
    <t>ORTOFOTO_PATIO 19B_280226.tif</t>
  </si>
  <si>
    <t>GS_Ortofoto_Tramo 2 Línea 33 kV E-035 –E-048_28-02-26.tif</t>
  </si>
  <si>
    <t>TORRES_E35_A_E48</t>
  </si>
  <si>
    <t>GS_Ortofoto_Tramo 2 Línea 33 kV E-048 –E-084_Prioridad 6.tif</t>
  </si>
  <si>
    <t>ORTOFOTO_CORTADA_ED1_010326.tif</t>
  </si>
  <si>
    <t>GS_Ortofoto_Tramo 3 Línea 33 kV ML SE Mauro –E-035_01-03-26.tif</t>
  </si>
  <si>
    <t>Subestacion-El-Mauro_A_E35</t>
  </si>
  <si>
    <t>GS_ORTOFOTO_ED2_02-03-26.tif</t>
  </si>
  <si>
    <t>GS_ORTOFOTO EM2 04-03-2026.tif</t>
  </si>
  <si>
    <t>GS_ORTOFOTO EBD 04-03-2026.tif</t>
  </si>
  <si>
    <t>EBD</t>
  </si>
  <si>
    <t>GS_ORTOFOTO EM2-2 04-03-2026.tif</t>
  </si>
  <si>
    <t>GS_ORTOFOTO POZOS PRP 04-03-2026.tif</t>
  </si>
  <si>
    <t>GS_ORTOFOTO ED2 05-03-2026.tif</t>
  </si>
  <si>
    <t>GS_ORTOFOTO EV1 05-03-2026.tif</t>
  </si>
  <si>
    <t>GS_ORTOFOTO EM1 06-03-2026.tif</t>
  </si>
  <si>
    <t>GS_ORTOFOTO EM4 06-03-2026.tif</t>
  </si>
  <si>
    <t>GS_ORTOFOTO PLATAFORMA 06-03-2026.tif</t>
  </si>
  <si>
    <t>GS_ORTOFOTO E48 A E84 PV4 06-03-2026.tif</t>
  </si>
  <si>
    <t>GS_ORTOFOTO EB3 07-03-2026.tif</t>
  </si>
  <si>
    <t>GS_ORTOFOTO ED1 07-03-2026.tif</t>
  </si>
  <si>
    <t>GS_ORTOFOTO EV2 07-03-2026.tif</t>
  </si>
  <si>
    <t>GS_ORTOFOTO_07-03-2026_ PATIO19B.tif</t>
  </si>
  <si>
    <t>GS_ORTOFOTO SSEE MAURO 07-03-2026.tif</t>
  </si>
  <si>
    <t>GS_ORTOFOTO PRIORIDAD N°8 08-03-2026.tif</t>
  </si>
  <si>
    <t>GS_ORTOFOTO SSEE MAURO A E35 08-03-2026.tif</t>
  </si>
  <si>
    <t>GS_ORTOFOTO_TORRES E35 A E48 PV4 08-03-2026.tif</t>
  </si>
  <si>
    <t>GS_ORTOFOTO_TORRES E85 A E125 08-03-2026.tif</t>
  </si>
  <si>
    <t>TORRES_E85_A_E125</t>
  </si>
  <si>
    <t>GS_ORTOFOTO_EV1_110326.tif</t>
  </si>
  <si>
    <t>GS_ORTOFOTO E035-E048_11-03-26.tif</t>
  </si>
  <si>
    <t>TORRES_E035_E048</t>
  </si>
  <si>
    <t>GS_ORTOFOTO_Tramo 2 Línea 33 kV E-048 –E-084_11-03-26.tif</t>
  </si>
  <si>
    <t>GS_ORTOFOTO_EB3_120326.tif</t>
  </si>
  <si>
    <t>GS_ORTOFOTO_MAURO_120326.tif</t>
  </si>
  <si>
    <t>GS_ortofoto_Tramo 2 Línea 33 kV E-085 –E-125.tif</t>
  </si>
  <si>
    <t>TORRE_E85_A_E125</t>
  </si>
  <si>
    <t>GS_ORTOFOTO_EM1_130326.tif</t>
  </si>
  <si>
    <t>GS_ORTOFOTO_EM4_13-03-26.tif</t>
  </si>
  <si>
    <t>GS_ORTOFOTO_EV2 13.03.2026.tif</t>
  </si>
  <si>
    <t>GS_Ortofoto_Tramo 1 Línea 33 kV E-125 –ML EB2_13-03-26.tif</t>
  </si>
  <si>
    <t>GS_ORTOFOTO PLATAFORMA INTEGRADA 13-03-2026.tif</t>
  </si>
  <si>
    <t>GS_ORTOFOTO ED1.tif</t>
  </si>
  <si>
    <t>GS_ORTOFOTO_EM2-SECTOR 2_14-03-26.tif</t>
  </si>
  <si>
    <t>GS_Tramo 3 Línea 33 kV ML SE Mauro –E-035_14-03-26.tif</t>
  </si>
  <si>
    <t>Subestacion-El-Mauro_A_E35_</t>
  </si>
  <si>
    <t>GS_ORTOFOTO ED2 ORTOFOTO + AFD POLIGONO_15.03.2026.tif</t>
  </si>
  <si>
    <t>GS_ORTOFOTO_POZOS PRP_15-03-26.tif</t>
  </si>
  <si>
    <t>GS_ORTOFOTO_PATIO 19B_16-03-26.tif</t>
  </si>
  <si>
    <t>GS_ORTOFOTO EM2 18032026.tif</t>
  </si>
  <si>
    <t>GS_ORTOFOTO EM2 SECTOR 2.tif</t>
  </si>
  <si>
    <t>EM2_S2</t>
  </si>
  <si>
    <t>GS_ORTOFOTO EV1 18-03-2026.tif</t>
  </si>
  <si>
    <t>GS_ORTOFOTO ED2 19-03-2026.tif</t>
  </si>
  <si>
    <t>GS_ORTOFOTO_19-03-2026_EM4.tif</t>
  </si>
  <si>
    <t>GS_ORTOFOTO PLATAFORMA INTEGRADA 19-03-2026.tif</t>
  </si>
  <si>
    <t>GS_ORTOFOTO_EB3_20-03-2026.tif</t>
  </si>
  <si>
    <t>OERTOFOTO.tif</t>
  </si>
  <si>
    <t>ORTOFOTO COMPLETA.tif</t>
  </si>
  <si>
    <t>GS_ORTOFOTO_Patio 19B (Prioridad 11).tif</t>
  </si>
  <si>
    <t>GS_ORTOFOTO_SSEE MAURO 20-03-2026.tif</t>
  </si>
  <si>
    <t>ORTOFOTO.tif</t>
  </si>
  <si>
    <t>Camino_Alternativo_Salamanca</t>
  </si>
  <si>
    <t>GS_ORTOFOTO_EV2 (PRIORIDAD 12).tif</t>
  </si>
  <si>
    <t>GS_ORTOFOTO HIDROCICLONES 21-03-2026.tif</t>
  </si>
  <si>
    <t>Hidrociclones</t>
  </si>
  <si>
    <t>GS_ORTOFOTO_PRIORIDAD N°7_21-03-2026.tif</t>
  </si>
  <si>
    <t>GS_ORTOFOTO_PRIORIDAD N°5 21-03-2026.tif</t>
  </si>
  <si>
    <t>GS_ORTOFOTO Tramo 2 Linea 33kv E48-84 21-03-2026.tif</t>
  </si>
  <si>
    <t>GS_ORTOFOTO_TORRES E125 A EML2_22-03-2026.tif</t>
  </si>
  <si>
    <t>ORTOFOTO_CORTADA_260326.tif</t>
  </si>
  <si>
    <t>GS_ORTOFOTO_EBD_26-03-26.tif</t>
  </si>
  <si>
    <t>GS_ED2 ORTOFOTO CORTADA_26-03-2026.tif</t>
  </si>
  <si>
    <t>GS_EM3_ORTOFOTO CORTADA.tif</t>
  </si>
  <si>
    <t>GS_ORTOFOTO_PATIO 19B_26-03-2026.tif</t>
  </si>
  <si>
    <t>GS_PLATAFORMA INTEGRADA 26-03-2026.tif</t>
  </si>
  <si>
    <t>GS_ORTOFOTO_POZOS PRP_26-03-26.tif</t>
  </si>
  <si>
    <t>Pozos_PRP</t>
  </si>
  <si>
    <t>GS_ORTOFOTO PRIORIDAD N°4 20-03-2026.tif</t>
  </si>
  <si>
    <t>GS_ORTOFOTO_E048-E084_26-03-26.tif</t>
  </si>
  <si>
    <t>GS_ORTOFOTO_EB3_270326.tif</t>
  </si>
  <si>
    <t>GS_ORTOFOTO ESTACION CABECERA (PRIORIDAD 25).tif</t>
  </si>
  <si>
    <t>Estacion_Cabecera</t>
  </si>
  <si>
    <t>GS_ORTOFOTO_ESTACION INTERMEDIA 3_27-03-26.tif</t>
  </si>
  <si>
    <t>Estacion_Intermedia</t>
  </si>
  <si>
    <t>GS_ORTOFOTO_EV1_270326.tif</t>
  </si>
  <si>
    <t>GS_ORTOFOTO_HELIPUERTO_27-03-26.tif</t>
  </si>
  <si>
    <t>Helipuerto</t>
  </si>
  <si>
    <t>GS_Ortofoto_Tramo 1 Línea 33 kV E-125 – ML EB2 (27-03-2026).tif</t>
  </si>
  <si>
    <t>GS_ORTOFOTO_SSEE MAURO_270326.tif</t>
  </si>
  <si>
    <t>GS_ORTOFOTO_TRAMO 2 LINEA 33KV E-085 E-125_27-03-2026.tif</t>
  </si>
  <si>
    <t>GS_ORTOFOTO_EM2 (prioridad 9)_280326.tif</t>
  </si>
  <si>
    <t>ORTOFOTO_CORTADA_EM2-2_280326.tif</t>
  </si>
  <si>
    <t>GS_Ortofoto_Tramo 2 Línea 33 kV E-035 – E-048_28-03-26.tif</t>
  </si>
  <si>
    <t>GS_ACCESO A POZOS_29-03-26.tif</t>
  </si>
  <si>
    <t>Acceso_a_pozos</t>
  </si>
  <si>
    <t>GS_ORTOFOTO PLATAFORMA EBR (29-03-2026).tif</t>
  </si>
  <si>
    <t>EBR</t>
  </si>
  <si>
    <t>GS_ORTOFOTO CORTADA_ED1.tif</t>
  </si>
  <si>
    <t>ED1</t>
  </si>
  <si>
    <t>ORTOFOTO_CORTADA_EM1_290326.tif</t>
  </si>
  <si>
    <t>GS_ORTOFOTO_EM4_29-03-26.tif</t>
  </si>
  <si>
    <t>GS_ORTOFOTO_SE MAURO - E-035.tif</t>
  </si>
  <si>
    <t>GS_ORTOFOTO_EDT_30-03-26.tif</t>
  </si>
  <si>
    <t>GS_ORTOFOTO_EV2_30-03-26.tif</t>
  </si>
  <si>
    <t>GS_ORTOFOTO EM2 01-04-2026.tif</t>
  </si>
  <si>
    <t>GEOSP-TRN-002403_GS_ORTOFOTO_EM1_180426_P.tif</t>
  </si>
  <si>
    <t>GEOSP-TRN-002400_GS_ORTOFOTO_Estacion Cabecera_18-04-2026_P.tif</t>
  </si>
  <si>
    <t>GS_ORTOFOTO EM2-2 01-04-2026.tif</t>
  </si>
  <si>
    <t>EM2_2</t>
  </si>
  <si>
    <t>GEOSP-TRN-002272_ortofoto completa.tif</t>
  </si>
  <si>
    <t>GEOSP-TRN-002274_ORTOFOTO COMPLETA.tif</t>
  </si>
  <si>
    <t>GEOSP-TRN-002275_ortofoto completa.tif</t>
  </si>
  <si>
    <t>GEOSP-TRN-002288_ORTOFOTO COMPLETA.tif</t>
  </si>
  <si>
    <t>GS_ORTOFOTO PLATAFORMA INTEGRADA 02-04-2026.tif</t>
  </si>
  <si>
    <t>GEOSP-TRN-002283_ortofoto completa.tif</t>
  </si>
  <si>
    <t>GS_TORRES E85 A E125_02-04-2026.tif</t>
  </si>
  <si>
    <t>GEOSP-TRN-002279_ORTOFOTO COMPLETA.tif</t>
  </si>
  <si>
    <t>GS_ORTOFOTO TORRES E48 A E84_02-04-2026.tif</t>
  </si>
  <si>
    <t>GS_ORTOFOTO_EM1. (Prioridad 13).tif</t>
  </si>
  <si>
    <t>GS_ORTOFOTO_Estacion Cabecera (Prioridad 25).tif</t>
  </si>
  <si>
    <t>GS_ORTOFOTO PLATAFORMA EBR 04-04-2026.tif</t>
  </si>
  <si>
    <t>GEOSP-TRN-002294_ORTOFOTO COMPLETA.tif</t>
  </si>
  <si>
    <t>GEOSP-TRN-002315_GS_ORTOFOTO_04-04-2026_EI 3 (Prioridad 21).tif</t>
  </si>
  <si>
    <t>GEOSP-TRN-002305_ortofoto completa.tif</t>
  </si>
  <si>
    <t>GS_ORTOFOTO_TRAMO 1 TORRE E125 A ML EB2.tif</t>
  </si>
  <si>
    <t>GEOSP-TRN-002313_GS_ORTOFOTO_EB3_05-04-2026.tif</t>
  </si>
  <si>
    <t>GEOSP-TRN-002309_ortofoto completa.tif</t>
  </si>
  <si>
    <t>GEOSP-TRN-002310_ORTOFOTO COMPLETA.tif</t>
  </si>
  <si>
    <t>GEOSP-TRN-002323_GD_ORTOFOTO_PATIO 19B_05-04-26.tif</t>
  </si>
  <si>
    <t>GEOSP-TRN-002312_GS_ORTOFOTO SSEE MAURO_05-04-2026.tif</t>
  </si>
  <si>
    <t>GEOSP-TRN-002317_GS_ORTOFOTO_PRIORIDAD N°4 05-04-2026.tif</t>
  </si>
  <si>
    <t>GEOSP-TRN-002326_GS_ORTOFOTO CORTADA_EV1.tif</t>
  </si>
  <si>
    <t>GEOSP-TRN-002327_GD_ORTOFOTO_E-035 - E-048_08-04-26.tif</t>
  </si>
  <si>
    <t>GEOSP-TRN-002335_GS_ORTOFOTO_EB3_09-04-26.tif</t>
  </si>
  <si>
    <t>GEOSP-TRN-002338_GS_ORTOFOTO_ED2_09-04-26.tif</t>
  </si>
  <si>
    <t>GEOSP-TRN-002334_GS_ORTOFOTO_EM1_090426.tif</t>
  </si>
  <si>
    <t>GEOSP-TRN-002333_GS_ORTOFOTO CORTADA_EST. INT. N3.tif</t>
  </si>
  <si>
    <t>GS_ORTOFOTO PLATAFORMA INT.tif</t>
  </si>
  <si>
    <t>GEOSP-TRN-002332_GS_ORTOFOTO_SSEE_09-04-26.tif</t>
  </si>
  <si>
    <t>GEOSP-TRN-002337_GS_ORTOFOTO_SE MAURO E035_09-04-26.tif</t>
  </si>
  <si>
    <t>GEOSP-TRN-002343_GS_ORTOFOTO_EBD_10-04-26.tif</t>
  </si>
  <si>
    <t>GEOSP-TRN-002344_GS_ORTOFOTO_EC_10-04-26.tif</t>
  </si>
  <si>
    <t>GEOSP-TRN-002346_GS_ORTOFOTO_HELIPUERTO MAURO MLP_10.04.2026.tif</t>
  </si>
  <si>
    <t>GEOSP-TRN-002341_GS_ORTOFOTO_PATIO ACOPIO 19B_10-04-2026.tif</t>
  </si>
  <si>
    <t>GEOSP-TRN-002349_GS_ORTOFOTO_POZOS PRP_10-04-26.tif</t>
  </si>
  <si>
    <t>GEOSP-TRN-002348_GS_ORTOFOTO_E-048 -E-084.tif</t>
  </si>
  <si>
    <t>GEOSP-TRN-002353_GS_ORTOFOTO_CAMINO ALTERNATIVO SALAMANCA_11-04-26.tif</t>
  </si>
  <si>
    <t>GEOSP-TRN-002352_GS_EDT_11-04-26.tif</t>
  </si>
  <si>
    <t>GEOSP-TRN-002354_GS_ORTOFOTO_EM2, SECTOR2_11-04-2026.tif</t>
  </si>
  <si>
    <t>GEOSP-TRN-002361_ORTOFOTO_CORTADA_EM3_110426.tif</t>
  </si>
  <si>
    <t>GEOSP-TRN-002355_GS_ORTOFOTO_ E-125 – ML EB2_11-04-26.tif</t>
  </si>
  <si>
    <t>GEOSP-TRN-002364_GS_ORTOFOTO_ACCESO A POZO_11-04-26.tif</t>
  </si>
  <si>
    <t>GEOSP-TRN-002363_GS_ORTOFOTO_EV2_12-04-26.tif</t>
  </si>
  <si>
    <t>GEOSP-TRN-002375_GS_ORTOFOTO_E-085 - E-125_12-04-26.tif</t>
  </si>
  <si>
    <t>GEOSP-TRN-002370_GS_ORTOFOTO_ED1_13-04-2026.tif</t>
  </si>
  <si>
    <t>GEOSP-TRN-002376_GS_ORTOFOTO_EM4_13-04-26.tif</t>
  </si>
  <si>
    <t>GEOSP-TRN-002450_GS_ORTOFOTO_EM1_250426_P.tif</t>
  </si>
  <si>
    <t>GEOSP-TRN-002265_GS_ORTOFOTO EM2 01-04-2026_P.tif</t>
  </si>
  <si>
    <t>GEOSP-TRN-002382_GS_ORTOFOTO_EM2_15_04_2026_P.tif(REV)</t>
  </si>
  <si>
    <t>GEOSP-TRN-002384_GS_ORTOFOTO_EM2, Sector2_15-04-2026_P.tif</t>
  </si>
  <si>
    <t>GEOSP-TRN-002379_ORTOFOTO ESTCION VALVULA N°1_15-04-2026_P.tif(REV)</t>
  </si>
  <si>
    <t>GEOSP-TRN-002399_GS_ORTOFOTO_ED2_16-04-26_P.tif</t>
  </si>
  <si>
    <t>GEOSP-TRN-002396_GS_ORTOFOTO_EM4_16-04-2026_P.tif</t>
  </si>
  <si>
    <t>GEOSP-TRN-002270_ortofoto completa.1_P.tif</t>
  </si>
  <si>
    <t>GEOSP-TRN-002381_GS_Ortofoto_Tramo 2 Línea 33 kV E-035 – E-048 (Prioridad 5)_15-04-26_P.tif</t>
  </si>
  <si>
    <t>GEOSP-TRN-002393_GS_ORTOFOTO_ACCESO A POZOS_16-04-2026_P.tif</t>
  </si>
  <si>
    <t>GEOSP-TRN-002387_GS_ORTOFOTO_CAMINO ALTERNATIVO_16_04_26_P.tif</t>
  </si>
  <si>
    <t>GEOSP-TRN-002391_GS_ORTOFOTO_EBD_16_04_26_P.tif</t>
  </si>
  <si>
    <t>GEOSP-TRN-002389_GS_ORTOFOTO_EM4_16-04-2026_P.tif</t>
  </si>
  <si>
    <t>GEOSP-TRN-002386_GS_ORTOFOTO_Pozos PRP_16-04-2026_P.tif</t>
  </si>
  <si>
    <t>GEOSP-TRN-002395_GS_EB3_17_04_26_P.tif</t>
  </si>
  <si>
    <t>GEOSP-TRN-002398_GS_ORTOFOTO_Estación Intermedia 3_17-04-2026_P.tif</t>
  </si>
  <si>
    <t>GS_ORTOFOTO PLATAFORMA EBR 18-04-2026.tif</t>
  </si>
  <si>
    <t>GEOSP-TRN-002394_GS_SUBESTACION EL MAURO PRIORIDAD 1_17_04_26_P.tif</t>
  </si>
  <si>
    <t>GEOSP-TRN-002402_GS_ORTOFOTO_HELIPUERTO MAURO MLP_180426_P.tif</t>
  </si>
  <si>
    <t>GEOSP-TRN-002405_GS_ORTOFOTO_Patio 19B_18-04-2026_P.tif</t>
  </si>
  <si>
    <t>GEOSP-TRN-002436_ORTOFOTO_EB3_220426_P.tif</t>
  </si>
  <si>
    <t>GEOSP-TRN-002439_GS_ORTOFOTO_ESTACION INTERMEDIA 3_22-04-26_P.tif</t>
  </si>
  <si>
    <t>GEOSP-TRN-002435_ORTOFOTO_SSEE MAURO_220426_P.tif</t>
  </si>
  <si>
    <t>GEOSP-TRN-002441_GS_Tramo 2 Línea 33 kV E-035 – E-048_23-04-26_P.tif</t>
  </si>
  <si>
    <t>GEOSP-TRN-002445_GS_ORTOFOTO_PATIO 19B_24-04-26_P.tif</t>
  </si>
  <si>
    <t>GEOSP-TRN-002448_GS_ORTOFOTO_EBD_25-04-26_P.tif</t>
  </si>
  <si>
    <t>GEOSP-TRN-002447_GS_ORTOFOTO_POZOS PRP_25-04-26_P.tif</t>
  </si>
  <si>
    <t>GEOSP-TRN-002392_GS_ORTOFOTO_TORRES E48 A E84_16-04-2026.tif</t>
  </si>
  <si>
    <t>GEOSP-TRN-002401_GS_ORTOFOTO_TORRES E85 A E 125_17-04-2026_P.tif</t>
  </si>
  <si>
    <t>GEOSP-TRN-002416_GS_ORTOFOTO_ED1_18-04-2026_P.tif</t>
  </si>
  <si>
    <t>GEOSP-TRN-002408_GS_ORTOFOTO_Tramo 1 Línea 33 kV E-125 a ML EB2_180426_P.tif</t>
  </si>
  <si>
    <t>GEOSP-TRN-002423_GS_ORTOFOTO_EV2_190426_P.tif</t>
  </si>
  <si>
    <t>GEOSP-TRN-002457_GS_ORTOFOTO_Tramo 2 Línea 33 kV E-085 – E-125_25-04-26.tif</t>
  </si>
  <si>
    <t>GEOSP-TRN-002459_GS_ORTOFOTO_EDT_26-04-26.tif</t>
  </si>
  <si>
    <t>GEOSP-TRN-002510_GS_ORTOFOTO_EM1_01-05-2026.tif</t>
  </si>
  <si>
    <t>GEOSP-TRN-002578_GS_ORTOFOTO_EM1_09-05-26.tif</t>
  </si>
  <si>
    <t>GEOSP-TRN-002574_GS_Orotofoto_EC_09-05-26.tif</t>
  </si>
  <si>
    <t>GEOSP-TRN-002513_GS_ORTOFOTO_EV1_010526.tif</t>
  </si>
  <si>
    <t>GEOSP-TRN-002521_GS_ORTOFOTO_ED1_02-05-2026.tif</t>
  </si>
  <si>
    <t>GEOSP-TRN-002520_GS_ORTOFOTO_EM2_020526.tif</t>
  </si>
  <si>
    <t>GEOSP-TRN-002523_GS_Ortofoto EM2, Sector2( Prioridad 10)_02_05_26.tif</t>
  </si>
  <si>
    <t>GEOSP-TRN-002528_GS_ORTOFOTO_ED2_03-05-2026.tif</t>
  </si>
  <si>
    <t>GEOSP-TRN-002536_GS_ORTOFOTO EM3_03-05-2026.tif</t>
  </si>
  <si>
    <t>GEOSP-TRN-002557_ORTOFOTO_ED2_070526.tif</t>
  </si>
  <si>
    <t>GEOSP-TRN-002554_GS_ORTOFOTO_EM2-2_070526.tif</t>
  </si>
  <si>
    <t>GEOSP-TRN-002568_GS_Ortofoto_EM3_07-05-26.tif</t>
  </si>
  <si>
    <t>GEOSP-TRN-002582_GS_ORTOFOTO_EV1_09-05-26.tif</t>
  </si>
  <si>
    <t>GEOSP-TRN-002503_GS_ORTOFOTO_EM4_300426.tif</t>
  </si>
  <si>
    <t>GEOSP-TRN-002505_GS_Tramo 2 Línea 33 kV E-035 – E-048. (Prioridad 5).tif</t>
  </si>
  <si>
    <t>GEOSP-TRN-002512_GS_ORTOFOTO_ACCESO A POZOS_01-05-2026.tif</t>
  </si>
  <si>
    <t>GEOSP-TRN-002516_GS_ ORTOFOTO_Pozos PRP (Prioridad 18)_01_05_26.tif</t>
  </si>
  <si>
    <t>GEOSP-TRN-002534_GS_ORTOFOTO_TORRES SSEE MAURO A E35_02-05-2026.tif</t>
  </si>
  <si>
    <t>GEOSP-TRN-002526_GS_ORTOFOTO_Camino alternativo Salamanca (Prioridad 22)_030526.tif</t>
  </si>
  <si>
    <t>GEOSP-TRN-002529_GS_ORTOFOTO_EBD_030526.tif</t>
  </si>
  <si>
    <t>GEOSP-TRN-002550_ORTOFOTO_CAMINO ALTERNATIVO SALAMANCA_060526.tif</t>
  </si>
  <si>
    <t>GEOSP-TRN-002564_GS_Ortofoto_Poligono Torres E35-E48.tif</t>
  </si>
  <si>
    <t>GEOSP-TRN-002553_GS_ORTOFOTO_ESTACIÓN INTEMEDIA3_070526.tif</t>
  </si>
  <si>
    <t>GEOSP-TRN-002567_GS_Ortofoto_acceso a pozos_08-05-26.tif</t>
  </si>
  <si>
    <t>GEOSP-TRN-002560_GS_Ortofoto_EBD_08-05-26.tif</t>
  </si>
  <si>
    <t>GEOSP-TRN-002569_GS_Ortofoto_EM4_08-05-26.tif</t>
  </si>
  <si>
    <t>GEOSP-TRN-002561_GS_Ortofoto_Pozos PRP_08-08-26.tif</t>
  </si>
  <si>
    <t>GEOSP-TRN-002585_GS_Ortofoto_SSEEE35.tif</t>
  </si>
  <si>
    <t>GEOSP-TRN-002508_GS_ORTOFOTO TORRES E85 A E125_29-04-2026.tif</t>
  </si>
  <si>
    <t>GEOSP-TRN-002524_GS_ORTOFOTO_ESTACION DE VALVULAS N°2_02-05-2026.tif</t>
  </si>
  <si>
    <t>GEOSP-TRN-002519_GS_ORTOFOTO_Tramo 2 Torres E48-E84_02-05-2026.tif</t>
  </si>
  <si>
    <t>GEOSP-TRN-002533_GS_ORTOFOTO_Torres E125-ML EB2_03-05-2026.tif</t>
  </si>
  <si>
    <t>GEOSP-TRN-002579_GS_ORTOFOTO_EV2_09-05-26.tif</t>
  </si>
  <si>
    <t>GEOSP-TRN-002530_GS_ORTOFOTO_Estacion Disipadora Terminal (Prioridad 23)_03_05_26.tif</t>
  </si>
  <si>
    <t>GEOSP-TRN-002581_GS_ORTOFOTO_EDT_09-05-26.tif</t>
  </si>
  <si>
    <t>Fecha</t>
  </si>
  <si>
    <t>CL_MLP_PAO_IF_Ortho_26_04_29_TORRE_E85_A_E_125</t>
  </si>
  <si>
    <t>CL_MLP_PAO_IF_Ortho_26_04_30_EM4</t>
  </si>
  <si>
    <t>CL_MLP_PAO_IF_Ortho_26_04_30_TORRES_E35_A_E48</t>
  </si>
  <si>
    <t>CL_MLP_PAO_IF_Ortho_26_05_01_Acceso_a_pozos</t>
  </si>
  <si>
    <t>CL_MLP_PAO_IF_Ortho_26_05_01_EM1</t>
  </si>
  <si>
    <t>CL_MLP_PAO_IF_Ortho_26_05_01_EV1</t>
  </si>
  <si>
    <t>CL_MLP_PAO_IF_Ortho_26_05_01_Pozos_PRP</t>
  </si>
  <si>
    <t>CL_MLP_PAO_IF_Ortho_26_05_02_ED1</t>
  </si>
  <si>
    <t>CL_MLP_PAO_IF_Ortho_26_05_02_EM2</t>
  </si>
  <si>
    <t>CL_MLP_PAO_IF_Ortho_26_05_02_EM2_S2</t>
  </si>
  <si>
    <t>CL_MLP_PAO_IF_Ortho_26_05_02_EV2</t>
  </si>
  <si>
    <t>CL_MLP_PAO_IF_Ortho_26_05_02_Subestacion-El-Mauro_A_E35</t>
  </si>
  <si>
    <t>CL_MLP_PAO_IF_Ortho_26_05_02_TORRES_E48_A_E84_PV4</t>
  </si>
  <si>
    <t>CL_MLP_PAO_IF_Ortho_26_05_03_Camino_Alternativo_Salamanca</t>
  </si>
  <si>
    <t>CL_MLP_PAO_IF_Ortho_26_05_03_EBD</t>
  </si>
  <si>
    <t>CL_MLP_PAO_IF_Ortho_26_05_03_ED2</t>
  </si>
  <si>
    <t>CL_MLP_PAO_IF_Ortho_26_05_03_EDT</t>
  </si>
  <si>
    <t>CL_MLP_PAO_IF_Ortho_26_05_03_EM3</t>
  </si>
  <si>
    <t>CL_MLP_PAO_IF_Ortho_26_05_03_MonteAranda-NSTC-Km-84p2-a-82p3</t>
  </si>
  <si>
    <t>CL_MLP_PAO_IF_Ortho_26_05_06_Camino_Alternativo_Salamanca</t>
  </si>
  <si>
    <t>CL_MLP_PAO_IF_Ortho_26_05_06_TORRES_E35_A_E48</t>
  </si>
  <si>
    <t>CL_MLP_PAO_IF_Ortho_26_05_07_ED2</t>
  </si>
  <si>
    <t>CL_MLP_PAO_IF_Ortho_26_05_07_EM2_S2</t>
  </si>
  <si>
    <t>CL_MLP_PAO_IF_Ortho_26_05_07_EM3</t>
  </si>
  <si>
    <t>CL_MLP_PAO_IF_Ortho_26_05_07_Estacion_Intermedia</t>
  </si>
  <si>
    <t>CL_MLP_PAO_IF_Ortho_26_05_08_Acceso_a_pozos</t>
  </si>
  <si>
    <t>CL_MLP_PAO_IF_Ortho_26_05_08_EBD</t>
  </si>
  <si>
    <t>CL_MLP_PAO_IF_Ortho_26_05_08_EM4</t>
  </si>
  <si>
    <t>CL_MLP_PAO_IF_Ortho_26_05_08_Pozos_PRP</t>
  </si>
  <si>
    <t>CL_MLP_PAO_IF_Ortho_26_05_08_Subestacion-El-Mauro_A_E35</t>
  </si>
  <si>
    <t>CL_MLP_PAO_IF_Ortho_26_05_09_EDT</t>
  </si>
  <si>
    <t>CL_MLP_PAO_IF_Ortho_26_05_09_EM1</t>
  </si>
  <si>
    <t>CL_MLP_PAO_IF_Ortho_26_05_09_Estacion_Cabecera</t>
  </si>
  <si>
    <t>CL_MLP_PAO_IF_Ortho_26_05_09_EV1</t>
  </si>
  <si>
    <t>CL_MLP_PAO_IF_Ortho_26_05_09_EV2</t>
  </si>
  <si>
    <t>Numero</t>
  </si>
  <si>
    <t>CL_MLP_PAO_IF_Ortho_25_01_08_EB1</t>
  </si>
  <si>
    <t>CL_MLP_PAO_IF_Ortho_25_02_26_RutaD835</t>
  </si>
  <si>
    <t>CL_MLP_PAO_IF_Ortho_25_03_10_NSTC_116a118</t>
  </si>
  <si>
    <t>CL_MLP_PAO_IF_Ortho_25_03_10_NSTC_118a120</t>
  </si>
  <si>
    <t>CL_MLP_PAO_IF_Ortho_25_03_12_SRA2</t>
  </si>
  <si>
    <t>CL_MLP_PAO_IF_Ortho_25_03_17_NSTC_Km_120_a_121</t>
  </si>
  <si>
    <t>CL_MLP_PAO_IF_Ortho_25_03_19_Orejas16_Ruta-D-865</t>
  </si>
  <si>
    <t>CL_MLP_PAO_IF_Ortho_25_03_19_Orejas17_Ruta-D-865</t>
  </si>
  <si>
    <t>CL_MLP_PAO_IF_Ortho_25_03_19_Orejas18</t>
  </si>
  <si>
    <t>CL_MLP_PAO_IF_Ortho_25_03_31_EB2</t>
  </si>
  <si>
    <t>CL_MLP_PAO_IF_Ortho_25_03_31_EV2</t>
  </si>
  <si>
    <t>CL_MLP_PAO_IF_Ortho_25_04_02_DME-13</t>
  </si>
  <si>
    <t>CL_MLP_PAO_IF_Ortho_25_04_02_Patio-Acopio-17</t>
  </si>
  <si>
    <t>CL_MLP_PAO_IF_Ortho_25_04_02_Ruta-SE-a-DME-13</t>
  </si>
  <si>
    <t>CL_MLP_PAO_IF_Ortho_25_04_03_Area-patio-19b-y-armado</t>
  </si>
  <si>
    <t>CL_MLP_PAO_IF_Ortho_25_04_03_Subestacion-El-Mauro</t>
  </si>
  <si>
    <t>CL_MLP_PAO_IF_Ortho_25_04_09_Cachimba_de_Bajo_Camisas_ED2</t>
  </si>
  <si>
    <t>CL_MLP_PAO_IF_Ortho_25_04_10_Sector_Pupio_I_Area_1</t>
  </si>
  <si>
    <t>CL_MLP_PAO_IF_Ortho_25_05_07_Monte_Aranda_82p3_a_80p7</t>
  </si>
  <si>
    <t>CL_MLP_PAO_IF_Ortho_25_05_07_Monte-Aranda-84p2-a-82p3</t>
  </si>
  <si>
    <t>CL_MLP_PAO_IF_Ortho_25_05_12_EDT</t>
  </si>
  <si>
    <t>CL_MLP_PAO_IF_Ortho_25_05_12_IIFF15-Campamento-Tipay</t>
  </si>
  <si>
    <t>CL_MLP_PAO_IF_Ortho_25_05_15_DME9_PA12_IIFF8</t>
  </si>
  <si>
    <t>CL_MLP_PAO_IF_Ortho_25_05_15_ED1_IIFF7_DME8</t>
  </si>
  <si>
    <t>CL_MLP_PAO_IF_Ortho_25_05_15_EM2_PA11_01</t>
  </si>
  <si>
    <t>CL_MLP_PAO_IF_Ortho_25_05_29_DME5A_DME17_a_NSTC_78p9</t>
  </si>
  <si>
    <t>CL_MLP_PAO_IF_Ortho_25_06_02_ByPassDrenes_Estacion_Drenes_El_Mauro</t>
  </si>
  <si>
    <t>CL_MLP_PAO_IF_Ortho_25_06_02_Estacion_Drenes_El_Mauro</t>
  </si>
  <si>
    <t>CL_MLP_PAO_IF_Ortho_25_06_04_CaminoAcceso03_LasAnimas</t>
  </si>
  <si>
    <t>CL_MLP_PAO_IF_Ortho_25_06_04_EM3</t>
  </si>
  <si>
    <t>CL_MLP_PAO_IF_Ortho_25_06_05_33-kv-74p7-a-75p5</t>
  </si>
  <si>
    <t>CL_MLP_PAO_IF_Ortho_25_06_05_33-kV-NSTC-km-75p5-a-76p4</t>
  </si>
  <si>
    <t>CL_MLP_PAO_IF_Ortho_25_06_09_EB2</t>
  </si>
  <si>
    <t>CL_MLP_PAO_IF_Ortho_25_06_09_EV2</t>
  </si>
  <si>
    <t>CL_MLP_PAO_IF_Ortho_25_06_09_EV2_a_NSTC_Km_87p1</t>
  </si>
  <si>
    <t>CL_MLP_PAO_IF_Ortho_25_06_09_Tramo_EV2_a_EB2</t>
  </si>
  <si>
    <t>CL_MLP_PAO_IF_Ortho_25_06_11_Subestacion_El_Mauro</t>
  </si>
  <si>
    <t>CL_MLP_PAO_IF_Ortho_25_06_18_NSTC_Km_36p5_a_37p7</t>
  </si>
  <si>
    <t>CL_MLP_PAO_IF_Ortho_25_06_18_NSTC_Km_37p7_a_39</t>
  </si>
  <si>
    <t>CL_MLP_PAO_IF_Ortho_25_06_18_NSTC_Km_40p4_a_PA10</t>
  </si>
  <si>
    <t>CL_MLP_PAO_IF_Ortho_25_06_18_NSTC-Km_39_a_40p4f</t>
  </si>
  <si>
    <t>CL_MLP_PAO_IF_Ortho_25_06_23_NSTC_Km_121p5_a_123p5f</t>
  </si>
  <si>
    <t>CL_MLP_PAO_IF_Ortho_25_06_23_NSTC_Km_123p5_a_124p7f</t>
  </si>
  <si>
    <t>CL_MLP_PAO_IF_Ortho_25_06_26_EV2</t>
  </si>
  <si>
    <t>CL_MLP_PAO_IF_Ortho_25_06_26_Monte_Aranda_82p3_a_80p7</t>
  </si>
  <si>
    <t>CL_MLP_PAO_IF_Ortho_25_06_26_Monte_Aranda_84p2_a_82p3</t>
  </si>
  <si>
    <t>CL_MLP_PAO_IF_Ortho_25_07_02_DME9_PA12_IIFF8_2</t>
  </si>
  <si>
    <t>CL_MLP_PAO_IF_Ortho_25_07_02_EM2_PA10_PA11_2</t>
  </si>
  <si>
    <t>CL_MLP_PAO_IF_Ortho_25_07_03_EV1</t>
  </si>
  <si>
    <t>CL_MLP_PAO_IF_Ortho_25_07_03_IIFF4_PA4</t>
  </si>
  <si>
    <t>CL_MLP_PAO_IF_Ortho_25_07_03_NSTC_Km_16p1_a_DME4</t>
  </si>
  <si>
    <t>CL_MLP_PAO_IF_Ortho_25_07_09_NSTC_Km_100_a_101</t>
  </si>
  <si>
    <t>CL_MLP_PAO_IF_Ortho_25_07_15_NSTC_Km_101_a_102f</t>
  </si>
  <si>
    <t>CL_MLP_PAO_IF_Ortho_25_07_15_NSTC_Km_102_a_103p2f</t>
  </si>
  <si>
    <t>CL_MLP_PAO_IF_Ortho_25_07_15_Oreja_16_NSTC_103p3_a_103p8_2f</t>
  </si>
  <si>
    <t>CL_MLP_PAO_IF_Ortho_25_07_15_Oreja_17_NSTC_103p7_a_104p9_2f</t>
  </si>
  <si>
    <t>CL_MLP_PAO_IF_Ortho_25_07_16_NSTC_Km_105p6_a_107f</t>
  </si>
  <si>
    <t>CL_MLP_PAO_IF_Ortho_25_07_16_NSTC_Km_99_a_100f</t>
  </si>
  <si>
    <t>CL_MLP_PAO_IF_Ortho_25_07_16_Oreja_18_NSTC_104p9_a_105p6_2f</t>
  </si>
  <si>
    <t>CL_MLP_PAO_IF_Ortho_25_07_22_NSTC_Km_107_a_108</t>
  </si>
  <si>
    <t>CL_MLP_PAO_IF_Ortho_25_07_22_NSTC_Km_108_a_109p1</t>
  </si>
  <si>
    <t>CL_MLP_PAO_IF_Ortho_25_07_22_NSTC_Km_109p1_a_110</t>
  </si>
  <si>
    <t>CL_MLP_PAO_IF_Ortho_25_07_22_NSTC_Km_110_a_111</t>
  </si>
  <si>
    <t>CL_MLP_PAO_IF_Ortho_25_07_22_NSTC_Km_111_a_112</t>
  </si>
  <si>
    <t>CL_MLP_PAO_IF_Ortho_25_08_12_Linea_33_kV_NorteElMauro_Area11_11</t>
  </si>
  <si>
    <t>CL_MLP_PAO_IF_Ortho_25_08_12_Linea_33_kV_NorteElMauro_Area12_12</t>
  </si>
  <si>
    <t>CL_MLP_PAO_IF_Ortho_25_08_13_Linea_33_kV_NorteElMauro_Area10_10</t>
  </si>
  <si>
    <t>CL_MLP_PAO_IF_Ortho_25_08_13_Linea_33_kV_NorteElMauro_Area9_9</t>
  </si>
  <si>
    <t>CL_MLP_PAO_IF_Ortho_25_08_20_Linea_33_kV_NorteElMauro_Area7_7</t>
  </si>
  <si>
    <t>CL_MLP_PAO_IF_Ortho_25_08_20_Linea_33_kV_NorteElMauro_Area8_8</t>
  </si>
  <si>
    <t>CL_MLP_PAO_IF_Ortho_25_08_26_Linea_33_kV_NorteElMauro_Area5_5</t>
  </si>
  <si>
    <t>CL_MLP_PAO_IF_Ortho_25_08_26_Linea_33_kV_NorteElMauro_Area6_6</t>
  </si>
  <si>
    <t>CL_MLP_PAO_IF_Ortho_25_08_28_Linea_33_kV_NorteElMauro_Area3_3</t>
  </si>
  <si>
    <t>CL_MLP_PAO_IF_Ortho_25_08_28_Linea_33_kV_NorteElMauro_Area4_4</t>
  </si>
  <si>
    <t>CL_MLP_PAO_IF_Ortho_25_09_02_DME5C_DME_16_a_NSTC_79p4</t>
  </si>
  <si>
    <t>CL_MLP_PAO_IF_Ortho_25_09_02_Instalacion_FaenaN15_Alrededores_Tipay_2</t>
  </si>
  <si>
    <t>CL_MLP_PAO_IF_Ortho_25_09_03_EstructuraTranquilla_NSTC_Km_20_a_21</t>
  </si>
  <si>
    <t>CL_MLP_PAO_IF_Ortho_25_09_03_NSTC_Km_21_a_22_DME5</t>
  </si>
  <si>
    <t>CL_MLP_PAO_IF_Ortho_25_09_03_Tranquilla_NSTC_Km_18_a_19</t>
  </si>
  <si>
    <t>CL_MLP_PAO_IF_Ortho_25_09_03_Tranquilla_NSTC_Km_19_a_20</t>
  </si>
  <si>
    <t>CL_MLP_PAO_IF_Ortho_25_09_09_NSTC_Km_112_a_113</t>
  </si>
  <si>
    <t>CL_MLP_PAO_IF_Ortho_25_09_09_NSTC_Km_113_a_114</t>
  </si>
  <si>
    <t>CL_MLP_PAO_IF_Ortho_25_09_09_NSTC_Km_114_a_115</t>
  </si>
  <si>
    <t>CL_MLP_PAO_IF_Ortho_25_09_09_NSTC_Km_115_a_116p4</t>
  </si>
  <si>
    <t>CL_MLP_PAO_IF_Ortho_25_09_10_Area_Mauro_H</t>
  </si>
  <si>
    <t>CL_MLP_PAO_IF_Ortho_25_09_10_ElMauro_Asentamiento_AeronauticoGP</t>
  </si>
  <si>
    <t>CL_MLP_PAO_IF_Ortho_25_09_11_Linea33kV_Norte_El_Mauro_Area_1_1</t>
  </si>
  <si>
    <t>CL_MLP_PAO_IF_Ortho_25_09_11_Linea33kV_Norte_El_Mauro_Area_2_2</t>
  </si>
  <si>
    <t>CL_MLP_PAO_IF_Ortho_25_09_24_EC-TK100-SRA2</t>
  </si>
  <si>
    <t>CL_MLP_PAO_IF_Ortho_25_09_24_NSTC-2p3-a-4p4-Area-1</t>
  </si>
  <si>
    <t>CL_MLP_PAO_IF_Ortho_25_09_24_NSTC-Km-0-a-1p1-SRA</t>
  </si>
  <si>
    <t>CL_MLP_PAO_IF_Ortho_25_09_24_NSTC-Km-1p1-a-1p5-SRA</t>
  </si>
  <si>
    <t>CL_MLP_PAO_IF_Ortho_25_09_24_NSTC-Km-1p5-a-2p2</t>
  </si>
  <si>
    <t>CL_MLP_PAO_IF_Ortho_25_09_24_NSTC-km-2p2-a-3p5</t>
  </si>
  <si>
    <t>CL_MLP_PAO_IF_Ortho_25_09_24_SRA-2-km-56p1-a-57p7-Area-2</t>
  </si>
  <si>
    <t>CL_MLP_PAO_IF_Ortho_25_09_24_SRA2-Km-57p7-a-59</t>
  </si>
  <si>
    <t>CL_MLP_PAO_IF_Ortho_25_09_25_EM1</t>
  </si>
  <si>
    <t>CL_MLP_PAO_IF_Ortho_25_09_25_EM1-EstacionChoapa3</t>
  </si>
  <si>
    <t>CL_MLP_PAO_IF_Ortho_25_09_25_NSTC-km-7p0-a-8p3</t>
  </si>
  <si>
    <t>CL_MLP_PAO_IF_Ortho_25_09_25_SRA-2-53p2-a-54p6</t>
  </si>
  <si>
    <t>CL_MLP_PAO_IF_Ortho_25_10_01_NSTC_Km_87p1_a_88p7</t>
  </si>
  <si>
    <t>CL_MLP_PAO_IF_Ortho_25_10_01_Pupio_I_sector_2_2</t>
  </si>
  <si>
    <t>CL_MLP_PAO_IF_Ortho_25_10_02_NSTC_Km_91p5_a_92</t>
  </si>
  <si>
    <t>CL_MLP_PAO_IF_Ortho_25_10_02_NSTC_Km_92_a_93</t>
  </si>
  <si>
    <t>CL_MLP_PAO_IF_Ortho_25_10_02_NSTC_Km_93_a_94</t>
  </si>
  <si>
    <t>CL_MLP_PAO_IF_Ortho_25_10_02_NSTC_Km_94_a_95</t>
  </si>
  <si>
    <t>CL_MLP_PAO_IF_Ortho_25_10_07_DME5A_DME17_a_NSTC_78p9</t>
  </si>
  <si>
    <t>CL_MLP_PAO_IF_Ortho_25_10_07_DME5C_DME_16_a_NSTC_79p4</t>
  </si>
  <si>
    <t>CL_MLP_PAO_IF_Ortho_25_10_08_ElMauro_E7_E9</t>
  </si>
  <si>
    <t>CL_MLP_PAO_IF_Ortho_25_10_09_ElMauro_E7_E8</t>
  </si>
  <si>
    <t>CL_MLP_PAO_IF_Ortho_25_10_15_DME_13</t>
  </si>
  <si>
    <t>CL_MLP_PAO_IF_Ortho_25_10_16_NSTC_Km_100_a_101</t>
  </si>
  <si>
    <t>CL_MLP_PAO_IF_Ortho_25_10_16_Oreja_17_NSTC_103p7_a_104p9</t>
  </si>
  <si>
    <t>CL_MLP_PAO_IF_Ortho_25_10_16_Oreja_18_NSTC_104p9_a_105p6</t>
  </si>
  <si>
    <t>CL_MLP_PAO_IF_Ortho_25_10_21_NSTC_km_4p4_a_7p0</t>
  </si>
  <si>
    <t>CL_MLP_PAO_IF_Ortho_25_10_21_SRA_2_km_54p6_a_56p1_Area-1</t>
  </si>
  <si>
    <t>CL_MLP_PAO_IF_Ortho_25_11_11_CanalAraya_NSTC_Km_17_a_18</t>
  </si>
  <si>
    <t>CL_MLP_PAO_IF_Ortho_25_11_11_DME7_PA7_IF6</t>
  </si>
  <si>
    <t>CL_MLP_PAO_IF_Ortho_25_11_11_NSTC_Km_21_a_22_DME5</t>
  </si>
  <si>
    <t>CL_MLP_PAO_IF_Ortho_25_11_11_NSTC_Km_31_a_32</t>
  </si>
  <si>
    <t>CL_MLP_PAO_IF_Ortho_25_11_13_DME9-PA12-IIFF8_03</t>
  </si>
  <si>
    <t>CL_MLP_PAO_IF_Ortho_25_11_13_Drenaje-Bajo-Quelen</t>
  </si>
  <si>
    <t>CL_MLP_PAO_IF_Ortho_25_11_13_ED1-IIFF7-DME8_02</t>
  </si>
  <si>
    <t>CL_MLP_PAO_IF_Ortho_25_11_13_EM2-PA10-PA11_03</t>
  </si>
  <si>
    <t>CL_MLP_PAO_IF_Ortho_25_11_18_EB2_03</t>
  </si>
  <si>
    <t>CL_MLP_PAO_IF_Ortho_25_11_18_EV2_04</t>
  </si>
  <si>
    <t>CL_MLP_PAO_IF_Ortho_25_11_18_IIFFN13A</t>
  </si>
  <si>
    <t>CL_MLP_PAO_IF_Ortho_25_11_18_Tramo-EV2-a-EB2_03</t>
  </si>
  <si>
    <t>CL_MLP_PAO_IF_Ortho_25_11_19_ED2_02</t>
  </si>
  <si>
    <t>CL_MLP_PAO_IF_Ortho_25_11_19_EM3_02</t>
  </si>
  <si>
    <t>CL_MLP_PAO_IF_Ortho_25_11_19_NSTC-Km-50p3-a-51</t>
  </si>
  <si>
    <t>CL_MLP_PAO_IF_Ortho_25_11_19_NSTC-Km-56-a-57p2</t>
  </si>
  <si>
    <t>CL_MLP_PAO_IF_Ortho_25_11_25_Linea-33-kV-NorteElMauro-Area11_02</t>
  </si>
  <si>
    <t>CL_MLP_PAO_IF_Ortho_25_11_25_Linea-33-kV-NorteElMauro-Area12_02</t>
  </si>
  <si>
    <t>CL_MLP_PAO_IF_Ortho_25_11_27_Linea-33-kV-NorteElMauro-Area10_02</t>
  </si>
  <si>
    <t>CL_MLP_PAO_IF_Ortho_25_11_27_Linea-33-kV-NorteElMauro-Area9_02</t>
  </si>
  <si>
    <t>CL_MLP_PAO_IF_Ortho_25_12_02_Linea-33-kV-NorteElMauro-Area7_02</t>
  </si>
  <si>
    <t>CL_MLP_PAO_IF_Ortho_25_12_02_Linea-33-kV-NorteElMauro-Area8_02</t>
  </si>
  <si>
    <t>CL_MLP_PAO_IF_Ortho_25_12_03_Linea-33-kV-NorteElMauro-Area5_02</t>
  </si>
  <si>
    <t>CL_MLP_PAO_IF_Ortho_25_12_03_Linea-33-kV-NorteElMauro-Area6_02</t>
  </si>
  <si>
    <t>CL_MLP_PAO_IF_Ortho_25_12_19_Plataforma_Integrada_El_Mauro</t>
  </si>
  <si>
    <t>CL_MLP_PAO_IF_Ortho_25_12_26_Plataforma_Integrada_El_Mauro</t>
  </si>
  <si>
    <t>CL_MLP_PAO_IF_Ortho_26_01_02_Plataforma_Integrada_El_Mauro</t>
  </si>
  <si>
    <t>CL_MLP_PAO_IF_Ortho_26_01_03_DME5A-DME17-a-NSTC-78p9</t>
  </si>
  <si>
    <t>CL_MLP_PAO_IF_Ortho_26_01_04_EV2</t>
  </si>
  <si>
    <t>CL_MLP_PAO_IF_Ortho_26_01_07_ED2</t>
  </si>
  <si>
    <t>CL_MLP_PAO_IF_Ortho_26_01_07_Linea-33-kV-NorteElMauro-Area12</t>
  </si>
  <si>
    <t>CL_MLP_PAO_IF_Ortho_26_01_07_Patio-19B-y-Armado</t>
  </si>
  <si>
    <t>CL_MLP_PAO_IF_Ortho_26_01_07_TORRE_E48_A_E84_PV4</t>
  </si>
  <si>
    <t>CL_MLP_PAO_IF_Ortho_26_01_07_TORRES_E12_-_E30_PV4</t>
  </si>
  <si>
    <t>CL_MLP_PAO_IF_Ortho_26_01_08_TORRES_E31_A_E48_PV4</t>
  </si>
  <si>
    <t>CL_MLP_PAO_IF_Ortho_26_01_09_Linea-33-kV-NorteElMauro-Area3</t>
  </si>
  <si>
    <t>CL_MLP_PAO_IF_Ortho_26_01_09_Plataforma_Integrada_El_Mauro</t>
  </si>
  <si>
    <t>CL_MLP_PAO_IF_Ortho_26_01_09_TORRE_E85_A_E_125</t>
  </si>
  <si>
    <t>CL_MLP_PAO_IF_Ortho_26_01_10_ED1-IIFF7-DME8</t>
  </si>
  <si>
    <t>CL_MLP_PAO_IF_Ortho_26_01_10_ED2</t>
  </si>
  <si>
    <t>CL_MLP_PAO_IF_Ortho_26_01_10_MonteAranda-NSTC-Km-84p2-a-82p3</t>
  </si>
  <si>
    <t>CL_MLP_PAO_IF_Ortho_26_01_11_EM1</t>
  </si>
  <si>
    <t>CL_MLP_PAO_IF_Ortho_26_01_14_Linea-33-kV-NorteElMauro-Area1</t>
  </si>
  <si>
    <t>CL_MLP_PAO_IF_Ortho_26_01_14_Linea-33-kV-NorteElMauro-Area6</t>
  </si>
  <si>
    <t>CL_MLP_PAO_IF_Ortho_26_01_14_Linea-33-kV-NorteElMauro-Area7</t>
  </si>
  <si>
    <t>CL_MLP_PAO_IF_Ortho_26_01_14_Subestacion-El-Mauro</t>
  </si>
  <si>
    <t>CL_MLP_PAO_IF_Ortho_26_01_16_EM1</t>
  </si>
  <si>
    <t>CL_MLP_PAO_IF_Ortho_26_01_16_Linea-33-kV-NorteElMauro-Area3</t>
  </si>
  <si>
    <t>CL_MLP_PAO_IF_Ortho_26_01_16_Plataforma_Integrada_El_Mauro</t>
  </si>
  <si>
    <t>CL_MLP_PAO_IF_Ortho_26_01_17_MonteAranda-NSTC-Km-84p2-a-82p3</t>
  </si>
  <si>
    <t>CL_MLP_PAO_IF_Ortho_26_01_18_EV2</t>
  </si>
  <si>
    <t>CL_MLP_PAO_IF_Ortho_26_01_20_EV1</t>
  </si>
  <si>
    <t>CL_MLP_PAO_IF_Ortho_26_01_20_Linea-33-kV-NorteElMauro-Area3</t>
  </si>
  <si>
    <t>CL_MLP_PAO_IF_Ortho_26_01_21_DME9-PA12-IIFF8</t>
  </si>
  <si>
    <t>CL_MLP_PAO_IF_Ortho_26_01_21_ED1-IIFF7-DME8</t>
  </si>
  <si>
    <t>CL_MLP_PAO_IF_Ortho_26_01_21_IIFF9-PA13</t>
  </si>
  <si>
    <t>CL_MLP_PAO_IF_Ortho_26_01_21_InstalacionesTipay</t>
  </si>
  <si>
    <t>CL_MLP_PAO_IF_Ortho_26_01_22_Patio-19B-y-Armado</t>
  </si>
  <si>
    <t>CL_MLP_PAO_IF_Ortho_26_01_30_Plataforma_Integrada_El_Mauro</t>
  </si>
  <si>
    <t>CL_MLP_PAO_IF_Ortho_26_01_31_EB2_1</t>
  </si>
  <si>
    <t>CL_MLP_PAO_IF_Ortho_26_01_31_EV2_1</t>
  </si>
  <si>
    <t>CL_MLP_PAO_IF_Ortho_26_01_31_Linea-33-kV-NorteElMauro-Area3_1</t>
  </si>
  <si>
    <t>CL_MLP_PAO_IF_Ortho_26_01_31_MonteAranda-NSTC-Km-84p2-a-82p3</t>
  </si>
  <si>
    <t>CL_MLP_PAO_IF_Ortho_26_01_31_Plataforma_Integrada_El_Mauro</t>
  </si>
  <si>
    <t>CL_MLP_PAO_IF_Ortho_26_02_01_TORRES_E12_-_E30_PV4</t>
  </si>
  <si>
    <t>CL_MLP_PAO_IF_Ortho_26_02_03_TORRES_E12_-_E30_PV4</t>
  </si>
  <si>
    <t>CL_MLP_PAO_IF_Ortho_26_02_04_DME9_PA12_IIFF8</t>
  </si>
  <si>
    <t>CL_MLP_PAO_IF_Ortho_26_02_04_ED1-IIFF7-DME8</t>
  </si>
  <si>
    <t>CL_MLP_PAO_IF_Ortho_26_02_04_IIFF9-PA13</t>
  </si>
  <si>
    <t>CL_MLP_PAO_IF_Ortho_26_02_04_Linea-33-kV-NorteElMauro-Area3</t>
  </si>
  <si>
    <t>CL_MLP_PAO_IF_Ortho_26_02_05_33-kV-NSTC-Km-74p7-a-75p5</t>
  </si>
  <si>
    <t>CL_MLP_PAO_IF_Ortho_26_02_05_ED2</t>
  </si>
  <si>
    <t>CL_MLP_PAO_IF_Ortho_26_02_05_EV1</t>
  </si>
  <si>
    <t>CL_MLP_PAO_IF_Ortho_26_02_05_EV2</t>
  </si>
  <si>
    <t>CL_MLP_PAO_IF_Ortho_26_02_06_EM1</t>
  </si>
  <si>
    <t>CL_MLP_PAO_IF_Ortho_26_02_06_Patio-19B-y-Armado</t>
  </si>
  <si>
    <t>CL_MLP_PAO_IF_Ortho_26_02_06_Subestacion-El-Mauro</t>
  </si>
  <si>
    <t>CL_MLP_PAO_IF_Ortho_26_02_06_TORRE_E48_A_E84_PV4</t>
  </si>
  <si>
    <t>CL_MLP_PAO_IF_Ortho_26_02_07_MonteAranda-NSTC-Km-84p2-a-82p3</t>
  </si>
  <si>
    <t>CL_MLP_PAO_IF_Ortho_26_02_07_Plataforma_Integrada_El_Mauro</t>
  </si>
  <si>
    <t>CL_MLP_PAO_IF_Ortho_26_02_07_TORRE_E85_A_E_125</t>
  </si>
  <si>
    <t>CL_MLP_PAO_IF_Ortho_26_02_09_EM4</t>
  </si>
  <si>
    <t>CL_MLP_PAO_IF_Ortho_26_02_09_EM4_PR2</t>
  </si>
  <si>
    <t>CL_MLP_PAO_IF_Ortho_26_02_10_ED1-IIFF7-DME8</t>
  </si>
  <si>
    <t>CL_MLP_PAO_IF_Ortho_26_02_11_EB2</t>
  </si>
  <si>
    <t>CL_MLP_PAO_IF_Ortho_26_02_11_EM1_1</t>
  </si>
  <si>
    <t>CL_MLP_PAO_IF_Ortho_26_02_11_EV1_1</t>
  </si>
  <si>
    <t>CL_MLP_PAO_IF_Ortho_26_02_11_EV2</t>
  </si>
  <si>
    <t>CL_MLP_PAO_IF_Ortho_26_02_11_MonteAranda-NSTC-Km-84p2-a-82p3</t>
  </si>
  <si>
    <t>CL_MLP_PAO_IF_Ortho_26_02_11_TORRE_E85_A_E_125</t>
  </si>
  <si>
    <t>CL_MLP_PAO_IF_Ortho_26_02_11_TORRES_E12_-_E30_PV4</t>
  </si>
  <si>
    <t>CL_MLP_PAO_IF_Ortho_26_02_12_ED2</t>
  </si>
  <si>
    <t>CL_MLP_PAO_IF_Ortho_26_02_12_EM4</t>
  </si>
  <si>
    <t>CL_MLP_PAO_IF_Ortho_26_02_12_IIFF9-PA13_1</t>
  </si>
  <si>
    <t>CL_MLP_PAO_IF_Ortho_26_02_12_Patio-19B-y-Armado</t>
  </si>
  <si>
    <t>CL_MLP_PAO_IF_Ortho_26_02_13_DME9_PA12_IIFF8_1</t>
  </si>
  <si>
    <t>CL_MLP_PAO_IF_Ortho_26_02_13_Plataforma_Integrada_El_Mauro</t>
  </si>
  <si>
    <t>CL_MLP_PAO_IF_Ortho_26_02_14_Subestacion-El-Mauro</t>
  </si>
  <si>
    <t>CL_MLP_PAO_IF_Ortho_26_02_14_TORRES_E31_A_E48_PV4</t>
  </si>
  <si>
    <t>CL_MLP_PAO_IF_Ortho_26_02_15_TORRE_E48_A_E84_PV4</t>
  </si>
  <si>
    <t>CL_MLP_PAO_IF_Ortho_26_02_18_DME9-PA12-IIFF8</t>
  </si>
  <si>
    <t>CL_MLP_PAO_IF_Ortho_26_02_18_TORRES_E48_A_E84_PV4</t>
  </si>
  <si>
    <t>CL_MLP_PAO_IF_Ortho_26_02_19_ED1_IIFF7_DME8</t>
  </si>
  <si>
    <t>CL_MLP_PAO_IF_Ortho_26_02_19_MonteAranda-NSTC-Km-84p2-a-82p3</t>
  </si>
  <si>
    <t>CL_MLP_PAO_IF_Ortho_26_02_19_TORRES_E12_-_E30_PV4</t>
  </si>
  <si>
    <t>CL_MLP_PAO_IF_Ortho_26_02_20_EM1</t>
  </si>
  <si>
    <t>CL_MLP_PAO_IF_Ortho_26_02_20_EM4</t>
  </si>
  <si>
    <t>CL_MLP_PAO_IF_Ortho_26_02_20_EM4_PR2</t>
  </si>
  <si>
    <t>CL_MLP_PAO_IF_Ortho_26_02_20_EV2</t>
  </si>
  <si>
    <t>CL_MLP_PAO_IF_Ortho_26_02_20_Plataforma_Integrada_El_Mauro</t>
  </si>
  <si>
    <t>CL_MLP_PAO_IF_Ortho_26_02_20_TORRES_E84_A_E127</t>
  </si>
  <si>
    <t>CL_MLP_PAO_IF_Ortho_26_02_21_ED2</t>
  </si>
  <si>
    <t>CL_MLP_PAO_IF_Ortho_26_02_21_EV1</t>
  </si>
  <si>
    <t>CL_MLP_PAO_IF_Ortho_26_02_21_IIFF9-PA13</t>
  </si>
  <si>
    <t>CL_MLP_PAO_IF_Ortho_26_02_21_Patio-19B-y-Armado</t>
  </si>
  <si>
    <t>CL_MLP_PAO_IF_Ortho_26_02_21_Subestacion-El-Mauro</t>
  </si>
  <si>
    <t>CL_MLP_PAO_IF_Ortho_26_02_22_TORRES_E31_A_E48_PV4</t>
  </si>
  <si>
    <t>CL_MLP_PAO_IF_Ortho_26_02_24_Linea-33-kV-NorteElMauro-Area3</t>
  </si>
  <si>
    <t>CL_MLP_PAO_IF_Ortho_26_02_25_EM4</t>
  </si>
  <si>
    <t>CL_MLP_PAO_IF_Ortho_26_02_25_EV1</t>
  </si>
  <si>
    <t>CL_MLP_PAO_IF_Ortho_26_02_25_MonteAranda-NSTC-Km-84p2-a-82p3</t>
  </si>
  <si>
    <t>CL_MLP_PAO_IF_Ortho_26_02_26_EB3</t>
  </si>
  <si>
    <t>CL_MLP_PAO_IF_Ortho_26_02_26_EM2</t>
  </si>
  <si>
    <t>CL_MLP_PAO_IF_Ortho_26_02_26_EV1</t>
  </si>
  <si>
    <t>CL_MLP_PAO_IF_Ortho_26_02_26_EV2</t>
  </si>
  <si>
    <t>CL_MLP_PAO_IF_Ortho_26_02_26_IIFF9-PA13</t>
  </si>
  <si>
    <t>CL_MLP_PAO_IF_Ortho_26_02_26_Subestacion-El-Mauro</t>
  </si>
  <si>
    <t>CL_MLP_PAO_IF_Ortho_26_02_26_TORRE_E85_A_E_125</t>
  </si>
  <si>
    <t>CL_MLP_PAO_IF_Ortho_26_02_27_Plataforma_Integrada_El_Mauro</t>
  </si>
  <si>
    <t>CL_MLP_PAO_IF_Ortho_26_02_28_EM1</t>
  </si>
  <si>
    <t>CL_MLP_PAO_IF_Ortho_26_02_28_Patio-19B-y-Armado</t>
  </si>
  <si>
    <t>CL_MLP_PAO_IF_Ortho_26_02_28_TORRES_E35_A_E48</t>
  </si>
  <si>
    <t>CL_MLP_PAO_IF_Ortho_26_02_28_TORRES_E48_A_E84_PV4</t>
  </si>
  <si>
    <t>CL_MLP_PAO_IF_Ortho_26_03_01_ED1-IIFF7-DME8</t>
  </si>
  <si>
    <t>CL_MLP_PAO_IF_Ortho_26_03_01_Subestacion-El-Mauro_A_E35</t>
  </si>
  <si>
    <t>CL_MLP_PAO_IF_Ortho_26_03_02_ED2</t>
  </si>
  <si>
    <t>CL_MLP_PAO_IF_Ortho_26_03_04_DME9-PA12-IIFF8</t>
  </si>
  <si>
    <t>CL_MLP_PAO_IF_Ortho_26_03_04_EBD</t>
  </si>
  <si>
    <t>CL_MLP_PAO_IF_Ortho_26_03_04_IIFF9-PA13</t>
  </si>
  <si>
    <t>CL_MLP_PAO_IF_Ortho_26_03_04_Linea-33-kV-NorteElMauro-Area3</t>
  </si>
  <si>
    <t>CL_MLP_PAO_IF_Ortho_26_03_05_ED2</t>
  </si>
  <si>
    <t>CL_MLP_PAO_IF_Ortho_26_03_05_EV1</t>
  </si>
  <si>
    <t>CL_MLP_PAO_IF_Ortho_26_03_06_EM1</t>
  </si>
  <si>
    <t>CL_MLP_PAO_IF_Ortho_26_03_06_EM4</t>
  </si>
  <si>
    <t>CL_MLP_PAO_IF_Ortho_26_03_06_Plataforma_Integrada_El_Mauro</t>
  </si>
  <si>
    <t>CL_MLP_PAO_IF_Ortho_26_03_06_TORRES_E48_A_E84_PV4</t>
  </si>
  <si>
    <t>CL_MLP_PAO_IF_Ortho_26_03_07_EB3</t>
  </si>
  <si>
    <t>CL_MLP_PAO_IF_Ortho_26_03_07_ED1-IIFF7-DME8</t>
  </si>
  <si>
    <t>CL_MLP_PAO_IF_Ortho_26_03_07_EV2</t>
  </si>
  <si>
    <t>CL_MLP_PAO_IF_Ortho_26_03_07_Patio-19B-y-Armado</t>
  </si>
  <si>
    <t>CL_MLP_PAO_IF_Ortho_26_03_07_Subestacion-El-Mauro</t>
  </si>
  <si>
    <t>CL_MLP_PAO_IF_Ortho_26_03_08_MonteAranda-NSTC-Km-84p2-a-82p3</t>
  </si>
  <si>
    <t>CL_MLP_PAO_IF_Ortho_26_03_08_Subestacion-El-Mauro_A_E35</t>
  </si>
  <si>
    <t>CL_MLP_PAO_IF_Ortho_26_03_08_TORRES_E35_A_E48</t>
  </si>
  <si>
    <t>CL_MLP_PAO_IF_Ortho_26_03_08_TORRES_E85_A_E125</t>
  </si>
  <si>
    <t>CL_MLP_PAO_IF_Ortho_26_03_11_EV1</t>
  </si>
  <si>
    <t>CL_MLP_PAO_IF_Ortho_26_03_11_TORRES_E035_E048</t>
  </si>
  <si>
    <t>CL_MLP_PAO_IF_Ortho_26_03_11_TORRES_E48_A_E84_PV4</t>
  </si>
  <si>
    <t>CL_MLP_PAO_IF_Ortho_26_03_12_EB3</t>
  </si>
  <si>
    <t>CL_MLP_PAO_IF_Ortho_26_03_12_Subestacion-El-Mauro</t>
  </si>
  <si>
    <t>CL_MLP_PAO_IF_Ortho_26_03_12_TORRE_E85_A_E125</t>
  </si>
  <si>
    <t>CL_MLP_PAO_IF_Ortho_26_03_13_EM1</t>
  </si>
  <si>
    <t>CL_MLP_PAO_IF_Ortho_26_03_13_EM4</t>
  </si>
  <si>
    <t>CL_MLP_PAO_IF_Ortho_26_03_13_EV2</t>
  </si>
  <si>
    <t>CL_MLP_PAO_IF_Ortho_26_03_13_MonteAranda-NSTC-Km-84p2-a-82p3</t>
  </si>
  <si>
    <t>CL_MLP_PAO_IF_Ortho_26_03_13_Plataforma_Integrada_El_Mauro</t>
  </si>
  <si>
    <t>CL_MLP_PAO_IF_Ortho_26_03_14_ED1-IIFF7-DME8</t>
  </si>
  <si>
    <t>CL_MLP_PAO_IF_Ortho_26_03_14_EM2</t>
  </si>
  <si>
    <t>CL_MLP_PAO_IF_Ortho_26_03_14_IIFF9-PA13</t>
  </si>
  <si>
    <t>CL_MLP_PAO_IF_Ortho_26_03_14_Subestacion-El-Mauro_A_E35</t>
  </si>
  <si>
    <t>CL_MLP_PAO_IF_Ortho_26_03_15_ED2</t>
  </si>
  <si>
    <t>CL_MLP_PAO_IF_Ortho_26_03_15_Linea-33-kV-NorteElMauro-Area3_1</t>
  </si>
  <si>
    <t>CL_MLP_PAO_IF_Ortho_26_03_16_Patio-19B-y-Armado</t>
  </si>
  <si>
    <t>CL_MLP_PAO_IF_Ortho_26_03_18_EM2</t>
  </si>
  <si>
    <t>CL_MLP_PAO_IF_Ortho_26_03_18_EM2_S2</t>
  </si>
  <si>
    <t>CL_MLP_PAO_IF_Ortho_26_03_18_EV1</t>
  </si>
  <si>
    <t>CL_MLP_PAO_IF_Ortho_26_03_19_ED2</t>
  </si>
  <si>
    <t>CL_MLP_PAO_IF_Ortho_26_03_19_EM4</t>
  </si>
  <si>
    <t>CL_MLP_PAO_IF_Ortho_26_03_19_Plataforma_Integrada_El_Mauro</t>
  </si>
  <si>
    <t>CL_MLP_PAO_IF_Ortho_26_03_20_EB3</t>
  </si>
  <si>
    <t>CL_MLP_PAO_IF_Ortho_26_03_20_EM1</t>
  </si>
  <si>
    <t>CL_MLP_PAO_IF_Ortho_26_03_20_Estacion_Drenes_El_Mauro</t>
  </si>
  <si>
    <t>CL_MLP_PAO_IF_Ortho_26_03_20_Patio-19B-y-Armado</t>
  </si>
  <si>
    <t>CL_MLP_PAO_IF_Ortho_26_03_20_Subestacion-El-Mauro</t>
  </si>
  <si>
    <t>CL_MLP_PAO_IF_Ortho_26_03_21_Camino_Alternativo_Salamanca</t>
  </si>
  <si>
    <t>CL_MLP_PAO_IF_Ortho_26_03_21_EV2</t>
  </si>
  <si>
    <t>CL_MLP_PAO_IF_Ortho_26_03_21_Hidrociclones</t>
  </si>
  <si>
    <t>CL_MLP_PAO_IF_Ortho_26_03_21_TORRE_E85_A_E_125</t>
  </si>
  <si>
    <t>CL_MLP_PAO_IF_Ortho_26_03_21_TORRES_E35_A_E48</t>
  </si>
  <si>
    <t>CL_MLP_PAO_IF_Ortho_26_03_21_TORRES_E48_A_E84_PV4</t>
  </si>
  <si>
    <t>CL_MLP_PAO_IF_Ortho_26_03_22_MonteAranda-NSTC-Km-84p2-a-82p3</t>
  </si>
  <si>
    <t>CL_MLP_PAO_IF_Ortho_26_03_26_Camino_Alternativo_Salamanca</t>
  </si>
  <si>
    <t>CL_MLP_PAO_IF_Ortho_26_03_26_EBD</t>
  </si>
  <si>
    <t>CL_MLP_PAO_IF_Ortho_26_03_26_ED2</t>
  </si>
  <si>
    <t>CL_MLP_PAO_IF_Ortho_26_03_26_EM3</t>
  </si>
  <si>
    <t>CL_MLP_PAO_IF_Ortho_26_03_26_Patio-19B-y-Armado</t>
  </si>
  <si>
    <t>CL_MLP_PAO_IF_Ortho_26_03_26_Plataforma_Integrada_El_Mauro</t>
  </si>
  <si>
    <t>CL_MLP_PAO_IF_Ortho_26_03_26_Pozos_PRP</t>
  </si>
  <si>
    <t>CL_MLP_PAO_IF_Ortho_26_03_26_Subestacion-El-Mauro_A_E35</t>
  </si>
  <si>
    <t>CL_MLP_PAO_IF_Ortho_26_03_26_TORRES_E48_A_E84_PV4</t>
  </si>
  <si>
    <t>CL_MLP_PAO_IF_Ortho_26_03_27_EB3</t>
  </si>
  <si>
    <t>CL_MLP_PAO_IF_Ortho_26_03_27_Estacion_Cabecera</t>
  </si>
  <si>
    <t>CL_MLP_PAO_IF_Ortho_26_03_27_Estacion_Intermedia</t>
  </si>
  <si>
    <t>CL_MLP_PAO_IF_Ortho_26_03_27_EV1</t>
  </si>
  <si>
    <t>CL_MLP_PAO_IF_Ortho_26_03_27_Helipuerto</t>
  </si>
  <si>
    <t>CL_MLP_PAO_IF_Ortho_26_03_27_MonteAranda-NSTC-Km-84p2-a-82p3</t>
  </si>
  <si>
    <t>CL_MLP_PAO_IF_Ortho_26_03_27_Subestacion-El-Mauro</t>
  </si>
  <si>
    <t>CL_MLP_PAO_IF_Ortho_26_03_27_TORRE_E85_A_E_125</t>
  </si>
  <si>
    <t>CL_MLP_PAO_IF_Ortho_26_03_28_DME9-PA12-IIFF8</t>
  </si>
  <si>
    <t>CL_MLP_PAO_IF_Ortho_26_03_28_EM2</t>
  </si>
  <si>
    <t>CL_MLP_PAO_IF_Ortho_26_03_28_IIFF9-PA13</t>
  </si>
  <si>
    <t>CL_MLP_PAO_IF_Ortho_26_03_28_TORRES_E35_A_E48</t>
  </si>
  <si>
    <t>CL_MLP_PAO_IF_Ortho_26_03_29_Acceso_a_pozos</t>
  </si>
  <si>
    <t>CL_MLP_PAO_IF_Ortho_26_03_29_EBR</t>
  </si>
  <si>
    <t>CL_MLP_PAO_IF_Ortho_26_03_29_ED1</t>
  </si>
  <si>
    <t>CL_MLP_PAO_IF_Ortho_26_03_29_EM1</t>
  </si>
  <si>
    <t>CL_MLP_PAO_IF_Ortho_26_03_29_EM4</t>
  </si>
  <si>
    <t>CL_MLP_PAO_IF_Ortho_26_03_29_Subestacion-El-Mauro_A_E35</t>
  </si>
  <si>
    <t>CL_MLP_PAO_IF_Ortho_26_03_30_EDT</t>
  </si>
  <si>
    <t>CL_MLP_PAO_IF_Ortho_26_03_30_EV2</t>
  </si>
  <si>
    <t>CL_MLP_PAO_IF_Ortho_26_04_01_DME9-PA12-IIFF8</t>
  </si>
  <si>
    <t>CL_MLP_PAO_IF_Ortho_26_04_01_EBD</t>
  </si>
  <si>
    <t>CL_MLP_PAO_IF_Ortho_26_04_01_EM2</t>
  </si>
  <si>
    <t>CL_MLP_PAO_IF_Ortho_26_04_01_EM2_2</t>
  </si>
  <si>
    <t>CL_MLP_PAO_IF_Ortho_26_04_01_Pozos_PRP</t>
  </si>
  <si>
    <t>CL_MLP_PAO_IF_Ortho_26_04_02_Camino_Alternativo_Salamanca</t>
  </si>
  <si>
    <t>CL_MLP_PAO_IF_Ortho_26_04_02_ED2</t>
  </si>
  <si>
    <t>CL_MLP_PAO_IF_Ortho_26_04_02_EM3</t>
  </si>
  <si>
    <t>CL_MLP_PAO_IF_Ortho_26_04_02_EM4</t>
  </si>
  <si>
    <t>CL_MLP_PAO_IF_Ortho_26_04_02_Plataforma_Integrada_El_Mauro</t>
  </si>
  <si>
    <t>CL_MLP_PAO_IF_Ortho_26_04_02_Pozos_PRP</t>
  </si>
  <si>
    <t>CL_MLP_PAO_IF_Ortho_26_04_02_TORRE_E85_A_E_125</t>
  </si>
  <si>
    <t>CL_MLP_PAO_IF_Ortho_26_04_02_TORRES_E35_A_E48</t>
  </si>
  <si>
    <t>CL_MLP_PAO_IF_Ortho_26_04_02_TORRES_E48_A_E84_PV4</t>
  </si>
  <si>
    <t>CL_MLP_PAO_IF_Ortho_26_04_03_EM1</t>
  </si>
  <si>
    <t>CL_MLP_PAO_IF_Ortho_26_04_03_Estacion_Cabecera</t>
  </si>
  <si>
    <t>CL_MLP_PAO_IF_Ortho_26_04_04_EBR</t>
  </si>
  <si>
    <t>CL_MLP_PAO_IF_Ortho_26_04_04_ED1-IIFF7-DME8</t>
  </si>
  <si>
    <t>CL_MLP_PAO_IF_Ortho_26_04_04_Estacion_Intermedia</t>
  </si>
  <si>
    <t>CL_MLP_PAO_IF_Ortho_26_04_04_EV2</t>
  </si>
  <si>
    <t>CL_MLP_PAO_IF_Ortho_26_04_04_MonteAranda-NSTC-Km-84p2-a-82p3</t>
  </si>
  <si>
    <t>CL_MLP_PAO_IF_Ortho_26_04_05_EB3</t>
  </si>
  <si>
    <t>CL_MLP_PAO_IF_Ortho_26_04_05_EV1</t>
  </si>
  <si>
    <t>CL_MLP_PAO_IF_Ortho_26_04_05_Helipuerto</t>
  </si>
  <si>
    <t>CL_MLP_PAO_IF_Ortho_26_04_05_Patio-19B-y-Armado</t>
  </si>
  <si>
    <t>CL_MLP_PAO_IF_Ortho_26_04_05_Subestacion-El-Mauro</t>
  </si>
  <si>
    <t>CL_MLP_PAO_IF_Ortho_26_04_05_Subestacion-El-Mauro_A_E35</t>
  </si>
  <si>
    <t>CL_MLP_PAO_IF_Ortho_26_04_08_EV1</t>
  </si>
  <si>
    <t>CL_MLP_PAO_IF_Ortho_26_04_08_TORRES_E35_A_E48</t>
  </si>
  <si>
    <t>CL_MLP_PAO_IF_Ortho_26_04_09_EB3</t>
  </si>
  <si>
    <t>CL_MLP_PAO_IF_Ortho_26_04_09_ED2</t>
  </si>
  <si>
    <t>CL_MLP_PAO_IF_Ortho_26_04_09_EM1</t>
  </si>
  <si>
    <t>CL_MLP_PAO_IF_Ortho_26_04_09_Estacion_Intermedia</t>
  </si>
  <si>
    <t>CL_MLP_PAO_IF_Ortho_26_04_09_Plataforma_Integrada_El_Mauro</t>
  </si>
  <si>
    <t>CL_MLP_PAO_IF_Ortho_26_04_09_Subestacion-El-Mauro</t>
  </si>
  <si>
    <t>CL_MLP_PAO_IF_Ortho_26_04_09_Subestacion-El-Mauro_A_E35</t>
  </si>
  <si>
    <t>CL_MLP_PAO_IF_Ortho_26_04_10_EBD</t>
  </si>
  <si>
    <t>CL_MLP_PAO_IF_Ortho_26_04_10_Estacion_Cabecera</t>
  </si>
  <si>
    <t>CL_MLP_PAO_IF_Ortho_26_04_10_Helipuerto</t>
  </si>
  <si>
    <t>CL_MLP_PAO_IF_Ortho_26_04_10_Patio-19B-y-Armado</t>
  </si>
  <si>
    <t>CL_MLP_PAO_IF_Ortho_26_04_10_Pozos_PRP</t>
  </si>
  <si>
    <t>CL_MLP_PAO_IF_Ortho_26_04_10_TORRES_E48_A_E84_PV4</t>
  </si>
  <si>
    <t>CL_MLP_PAO_IF_Ortho_26_04_11_Camino_Alternativo_Salamanca</t>
  </si>
  <si>
    <t>CL_MLP_PAO_IF_Ortho_26_04_11_EDT</t>
  </si>
  <si>
    <t>CL_MLP_PAO_IF_Ortho_26_04_11_EM2_S2</t>
  </si>
  <si>
    <t>CL_MLP_PAO_IF_Ortho_26_04_11_EM3</t>
  </si>
  <si>
    <t>CL_MLP_PAO_IF_Ortho_26_04_11_MonteAranda-NSTC-Km-84p2-a-82p3</t>
  </si>
  <si>
    <t>CL_MLP_PAO_IF_Ortho_26_04_11_Pozos_PRP</t>
  </si>
  <si>
    <t>CL_MLP_PAO_IF_Ortho_26_04_12_EV2</t>
  </si>
  <si>
    <t>CL_MLP_PAO_IF_Ortho_26_04_12_TORRE_E85_A_E_125</t>
  </si>
  <si>
    <t>CL_MLP_PAO_IF_Ortho_26_04_13_ED1-IIFF7-DME8</t>
  </si>
  <si>
    <t>CL_MLP_PAO_IF_Ortho_26_04_13_EM4</t>
  </si>
  <si>
    <t>CL_MLP_PAO_IF_Ortho_26_04_15_EM2</t>
  </si>
  <si>
    <t>CL_MLP_PAO_IF_Ortho_26_04_15_EM2_S2</t>
  </si>
  <si>
    <t>CL_MLP_PAO_IF_Ortho_26_04_15_EV1</t>
  </si>
  <si>
    <t>CL_MLP_PAO_IF_Ortho_26_04_15_TORRES_E35_A_E48</t>
  </si>
  <si>
    <t>CL_MLP_PAO_IF_Ortho_26_04_16_Acceso_a_pozos</t>
  </si>
  <si>
    <t>CL_MLP_PAO_IF_Ortho_26_04_16_Camino_Alternativo_Salamanca</t>
  </si>
  <si>
    <t>CL_MLP_PAO_IF_Ortho_26_04_16_EBD</t>
  </si>
  <si>
    <t>CL_MLP_PAO_IF_Ortho_26_04_16_ED2</t>
  </si>
  <si>
    <t>CL_MLP_PAO_IF_Ortho_26_04_16_EM3</t>
  </si>
  <si>
    <t>CL_MLP_PAO_IF_Ortho_26_04_16_EM4</t>
  </si>
  <si>
    <t>CL_MLP_PAO_IF_Ortho_26_04_16_Pozos_PRP</t>
  </si>
  <si>
    <t>CL_MLP_PAO_IF_Ortho_26_04_16_TORRES_E48_A_E84_PV4</t>
  </si>
  <si>
    <t>CL_MLP_PAO_IF_Ortho_26_04_17_EB3</t>
  </si>
  <si>
    <t>CL_MLP_PAO_IF_Ortho_26_04_17_Estacion_Intermedia</t>
  </si>
  <si>
    <t>CL_MLP_PAO_IF_Ortho_26_04_17_Subestacion-El-Mauro</t>
  </si>
  <si>
    <t>CL_MLP_PAO_IF_Ortho_26_04_17_TORRE_E85_A_E_125</t>
  </si>
  <si>
    <t>CL_MLP_PAO_IF_Ortho_26_04_18_EBR</t>
  </si>
  <si>
    <t>CL_MLP_PAO_IF_Ortho_26_04_18_ED1</t>
  </si>
  <si>
    <t>CL_MLP_PAO_IF_Ortho_26_04_18_EM1</t>
  </si>
  <si>
    <t>CL_MLP_PAO_IF_Ortho_26_04_18_Estacion_Cabecera</t>
  </si>
  <si>
    <t>CL_MLP_PAO_IF_Ortho_26_04_18_Helipuerto</t>
  </si>
  <si>
    <t>CL_MLP_PAO_IF_Ortho_26_04_18_MonteAranda-NSTC-Km-84p2-a-82p3</t>
  </si>
  <si>
    <t>CL_MLP_PAO_IF_Ortho_26_04_18_Patio-19B-y-Armado</t>
  </si>
  <si>
    <t>CL_MLP_PAO_IF_Ortho_26_04_19_EV2</t>
  </si>
  <si>
    <t>CL_MLP_PAO_IF_Ortho_26_04_22_EB3</t>
  </si>
  <si>
    <t>CL_MLP_PAO_IF_Ortho_26_04_22_Estacion_Intermedia</t>
  </si>
  <si>
    <t>CL_MLP_PAO_IF_Ortho_26_04_22_Subestacion-El-Mauro</t>
  </si>
  <si>
    <t>CL_MLP_PAO_IF_Ortho_26_04_23_TORRES_E35_A_E48</t>
  </si>
  <si>
    <t>CL_MLP_PAO_IF_Ortho_26_04_24_Patio-19B-y-Armado</t>
  </si>
  <si>
    <t>CL_MLP_PAO_IF_Ortho_26_04_25_EBD</t>
  </si>
  <si>
    <t>CL_MLP_PAO_IF_Ortho_26_04_25_EM1</t>
  </si>
  <si>
    <t>CL_MLP_PAO_IF_Ortho_26_04_25_Pozos_PRP</t>
  </si>
  <si>
    <t>CL_MLP_PAO_IF_Ortho_26_04_25_TORRE_E85_A_E_125</t>
  </si>
  <si>
    <t>CL_MLP_PAO_IF_Ortho_26_04_26_EDT</t>
  </si>
  <si>
    <t>OBJECTID *</t>
  </si>
  <si>
    <t>Shape *</t>
  </si>
  <si>
    <t>MinPS</t>
  </si>
  <si>
    <t>MaxPS</t>
  </si>
  <si>
    <t>LowPS</t>
  </si>
  <si>
    <t>HighPS</t>
  </si>
  <si>
    <t>Category</t>
  </si>
  <si>
    <t>Tag</t>
  </si>
  <si>
    <t>GroupName</t>
  </si>
  <si>
    <t>ProductNam</t>
  </si>
  <si>
    <t>CenterX</t>
  </si>
  <si>
    <t>CenterY</t>
  </si>
  <si>
    <t>ZOrder</t>
  </si>
  <si>
    <t>TypeID</t>
  </si>
  <si>
    <t>ItemTS</t>
  </si>
  <si>
    <t>UriHash</t>
  </si>
  <si>
    <t>Fecha_Adqu</t>
  </si>
  <si>
    <t>Fecha_Publ</t>
  </si>
  <si>
    <t>ID IMAGE SERVER</t>
  </si>
  <si>
    <t>URL FINAL</t>
  </si>
  <si>
    <t>Polygon</t>
  </si>
  <si>
    <t>CL_MLP_PAO_IF_Ortho_25_02_01_Transversal_TR_0</t>
  </si>
  <si>
    <t>Dataset</t>
  </si>
  <si>
    <t xml:space="preserve"> </t>
  </si>
  <si>
    <t>3F6B9CAB6EAF6ACEFAE1DCA5B2D14BC4</t>
  </si>
  <si>
    <t>Sector 0</t>
  </si>
  <si>
    <t>Vuelo Aerofotogramétrico</t>
  </si>
  <si>
    <t>&lt;Null&gt;</t>
  </si>
  <si>
    <t>https://sig.aminerals.cl/imgdyn/rest/services/CL_MLP_PAO/CL_MLP_PAO_IF_Ortho_Transversal/ImageServer/file?id=.%5CTransversal_Aereo%5C25_02_02%5CCL_MLP_PAO_IF_Ortho_25_02_01_Transversal_TR_1.tif</t>
  </si>
  <si>
    <t>CL_MLP_PAO_IF_Ortho_25_02_01_Transversal_TR_1</t>
  </si>
  <si>
    <t>C74D29FB11693EC647FF15DB4FEFA53E</t>
  </si>
  <si>
    <t>Sector 1</t>
  </si>
  <si>
    <t>CL_MLP_PAO_IF_Ortho_25_02_01_Transversal_TR_10</t>
  </si>
  <si>
    <t>E657F485B42BB4665ACF912FB213C8CD</t>
  </si>
  <si>
    <t>Sector 10</t>
  </si>
  <si>
    <t>https://sig.aminerals.cl/imgdyn/rest/services/CL_MLP_PAO/CL_MLP_PAO_IF_Ortho_Transversal/ImageServer/file?id=.%5CTransversal_Aereo%5C25_02_02%5CCL_MLP_PAO_IF_Ortho_25_02_01_Transversal_TR_10.tif</t>
  </si>
  <si>
    <t>CL_MLP_PAO_IF_Ortho_25_02_01_Transversal_TR_100</t>
  </si>
  <si>
    <t>85C0DF7175A722966D6838798E475004</t>
  </si>
  <si>
    <t>Sector 100</t>
  </si>
  <si>
    <t>https://sig.aminerals.cl/imgdyn/rest/services/CL_MLP_PAO/CL_MLP_PAO_IF_Ortho_Transversal/ImageServer/file?id=.%5CTransversal_Aereo%5C25_02_02%5CCL_MLP_PAO_IF_Ortho_25_02_01_Transversal_TR_100.tif</t>
  </si>
  <si>
    <t>CL_MLP_PAO_IF_Ortho_25_02_01_Transversal_TR_101</t>
  </si>
  <si>
    <t>EFE7C00140CEE9BADE371A68DFFA579D</t>
  </si>
  <si>
    <t>Sector 101</t>
  </si>
  <si>
    <t>https://sig.aminerals.cl/imgdyn/rest/services/CL_MLP_PAO/CL_MLP_PAO_IF_Ortho_Transversal/ImageServer/file?id=.%5CTransversal_Aereo%5C25_02_02%5CCL_MLP_PAO_IF_Ortho_25_02_01_Transversal_TR_101.tif</t>
  </si>
  <si>
    <t>CL_MLP_PAO_IF_Ortho_25_02_01_Transversal_TR_102</t>
  </si>
  <si>
    <t>C1F1EB4796DF99D46B9ECB182969F69C</t>
  </si>
  <si>
    <t>Sector 102</t>
  </si>
  <si>
    <t>https://sig.aminerals.cl/imgdyn/rest/services/CL_MLP_PAO/CL_MLP_PAO_IF_Ortho_Transversal/ImageServer/file?id=.%5CTransversal_Aereo%5C25_02_02%5CCL_MLP_PAO_IF_Ortho_25_02_01_Transversal_TR_102.tif</t>
  </si>
  <si>
    <t>CL_MLP_PAO_IF_Ortho_25_02_01_Transversal_TR_103</t>
  </si>
  <si>
    <t>CA18D1996DFC4C1EAD856C9023578878</t>
  </si>
  <si>
    <t>Sector 103</t>
  </si>
  <si>
    <t>https://sig.aminerals.cl/imgdyn/rest/services/CL_MLP_PAO/CL_MLP_PAO_IF_Ortho_Transversal/ImageServer/file?id=.%5CTransversal_Aereo%5C25_02_02%5CCL_MLP_PAO_IF_Ortho_25_02_01_Transversal_TR_103.tif</t>
  </si>
  <si>
    <t>CL_MLP_PAO_IF_Ortho_25_02_01_Transversal_TR_104</t>
  </si>
  <si>
    <t>7946903D82566728D08CE79538EA96C5</t>
  </si>
  <si>
    <t>Sector 104</t>
  </si>
  <si>
    <t>https://sig.aminerals.cl/imgdyn/rest/services/CL_MLP_PAO/CL_MLP_PAO_IF_Ortho_Transversal/ImageServer/file?id=.%5CTransversal_Aereo%5C25_02_02%5CCL_MLP_PAO_IF_Ortho_25_02_01_Transversal_TR_104.tif</t>
  </si>
  <si>
    <t>CL_MLP_PAO_IF_Ortho_25_02_01_Transversal_TR_105</t>
  </si>
  <si>
    <t>1A2FDA6578F56908162DD37FEE6F0335</t>
  </si>
  <si>
    <t>Sector 105</t>
  </si>
  <si>
    <t>https://sig.aminerals.cl/imgdyn/rest/services/CL_MLP_PAO/CL_MLP_PAO_IF_Ortho_Transversal/ImageServer/file?id=.%5CTransversal_Aereo%5C25_02_02%5CCL_MLP_PAO_IF_Ortho_25_02_01_Transversal_TR_105.tif</t>
  </si>
  <si>
    <t>CL_MLP_PAO_IF_Ortho_25_02_01_Transversal_TR_106</t>
  </si>
  <si>
    <t>F7687EFBB8A5655D3C5E3093E90CE4CC</t>
  </si>
  <si>
    <t>Sector 106</t>
  </si>
  <si>
    <t>https://sig.aminerals.cl/imgdyn/rest/services/CL_MLP_PAO/CL_MLP_PAO_IF_Ortho_Transversal/ImageServer/file?id=.%5CTransversal_Aereo%5C25_02_02%5CCL_MLP_PAO_IF_Ortho_25_02_01_Transversal_TR_106.tif</t>
  </si>
  <si>
    <t>CL_MLP_PAO_IF_Ortho_25_02_01_Transversal_TR_107</t>
  </si>
  <si>
    <t>0B368F8FCBEEB7B51F2A603AA5340568</t>
  </si>
  <si>
    <t>Sector 107</t>
  </si>
  <si>
    <t>https://sig.aminerals.cl/imgdyn/rest/services/CL_MLP_PAO/CL_MLP_PAO_IF_Ortho_Transversal/ImageServer/file?id=.%5CTransversal_Aereo%5C25_02_02%5CCL_MLP_PAO_IF_Ortho_25_02_01_Transversal_TR_107.tif</t>
  </si>
  <si>
    <t>CL_MLP_PAO_IF_Ortho_25_02_01_Transversal_TR_108</t>
  </si>
  <si>
    <t>D11C519854CBA883C5A7245BA05E2A84</t>
  </si>
  <si>
    <t>Sector 108</t>
  </si>
  <si>
    <t>https://sig.aminerals.cl/imgdyn/rest/services/CL_MLP_PAO/CL_MLP_PAO_IF_Ortho_Transversal/ImageServer/file?id=.%5CTransversal_Aereo%5C25_02_02%5CCL_MLP_PAO_IF_Ortho_25_02_01_Transversal_TR_108.tif</t>
  </si>
  <si>
    <t>CL_MLP_PAO_IF_Ortho_25_02_01_Transversal_TR_109</t>
  </si>
  <si>
    <t>5BA2E54C9B88F3C61ACC8232C8A904F9</t>
  </si>
  <si>
    <t>Sector 109</t>
  </si>
  <si>
    <t>https://sig.aminerals.cl/imgdyn/rest/services/CL_MLP_PAO/CL_MLP_PAO_IF_Ortho_Transversal/ImageServer/file?id=.%5CTransversal_Aereo%5C25_02_02%5CCL_MLP_PAO_IF_Ortho_25_02_01_Transversal_TR_109.tif</t>
  </si>
  <si>
    <t>CL_MLP_PAO_IF_Ortho_25_02_01_Transversal_TR_11</t>
  </si>
  <si>
    <t>E39775ED2598243D69B4C9A59E7672EB</t>
  </si>
  <si>
    <t>Sector 11</t>
  </si>
  <si>
    <t>https://sig.aminerals.cl/imgdyn/rest/services/CL_MLP_PAO/CL_MLP_PAO_IF_Ortho_Transversal/ImageServer/file?id=.%5CTransversal_Aereo%5C25_02_02%5CCL_MLP_PAO_IF_Ortho_25_02_01_Transversal_TR_11.tif</t>
  </si>
  <si>
    <t>CL_MLP_PAO_IF_Ortho_25_02_01_Transversal_TR_110</t>
  </si>
  <si>
    <t>62C43141D948D5774989512211AA040A</t>
  </si>
  <si>
    <t>Sector 110</t>
  </si>
  <si>
    <t>https://sig.aminerals.cl/imgdyn/rest/services/CL_MLP_PAO/CL_MLP_PAO_IF_Ortho_Transversal/ImageServer/file?id=.%5CTransversal_Aereo%5C25_02_02%5CCL_MLP_PAO_IF_Ortho_25_02_01_Transversal_TR_110.tif</t>
  </si>
  <si>
    <t>CL_MLP_PAO_IF_Ortho_25_02_01_Transversal_TR_111</t>
  </si>
  <si>
    <t>4E625C37EA5D970E830801B527A3A48F</t>
  </si>
  <si>
    <t>Sector 111</t>
  </si>
  <si>
    <t>https://sig.aminerals.cl/imgdyn/rest/services/CL_MLP_PAO/CL_MLP_PAO_IF_Ortho_Transversal/ImageServer/file?id=.%5CTransversal_Aereo%5C25_02_02%5CCL_MLP_PAO_IF_Ortho_25_02_01_Transversal_TR_111.tif</t>
  </si>
  <si>
    <t>CL_MLP_PAO_IF_Ortho_25_02_01_Transversal_TR_112</t>
  </si>
  <si>
    <t>7EA0F0D53D99EF5EC3B4C07F6B56BE01</t>
  </si>
  <si>
    <t>Sector 112</t>
  </si>
  <si>
    <t>https://sig.aminerals.cl/imgdyn/rest/services/CL_MLP_PAO/CL_MLP_PAO_IF_Ortho_Transversal/ImageServer/file?id=.%5CTransversal_Aereo%5C25_02_02%5CCL_MLP_PAO_IF_Ortho_25_02_01_Transversal_TR_112.tif</t>
  </si>
  <si>
    <t>CL_MLP_PAO_IF_Ortho_25_02_01_Transversal_TR_113</t>
  </si>
  <si>
    <t>C19534C7833B503D88DAF800956A9329</t>
  </si>
  <si>
    <t>Sector 113</t>
  </si>
  <si>
    <t>https://sig.aminerals.cl/imgdyn/rest/services/CL_MLP_PAO/CL_MLP_PAO_IF_Ortho_Transversal/ImageServer/file?id=.%5CTransversal_Aereo%5C25_02_02%5CCL_MLP_PAO_IF_Ortho_25_02_01_Transversal_TR_113.tif</t>
  </si>
  <si>
    <t>CL_MLP_PAO_IF_Ortho_25_02_01_Transversal_TR_114</t>
  </si>
  <si>
    <t>FB201B5960867B2A53C23F61238C91D7</t>
  </si>
  <si>
    <t>Sector 114</t>
  </si>
  <si>
    <t>https://sig.aminerals.cl/imgdyn/rest/services/CL_MLP_PAO/CL_MLP_PAO_IF_Ortho_Transversal/ImageServer/file?id=.%5CTransversal_Aereo%5C25_02_02%5CCL_MLP_PAO_IF_Ortho_25_02_01_Transversal_TR_114.tif</t>
  </si>
  <si>
    <t>CL_MLP_PAO_IF_Ortho_25_02_01_Transversal_TR_115</t>
  </si>
  <si>
    <t>747721773EF61D526911E87BF78A04C6</t>
  </si>
  <si>
    <t>Sector 115</t>
  </si>
  <si>
    <t>https://sig.aminerals.cl/imgdyn/rest/services/CL_MLP_PAO/CL_MLP_PAO_IF_Ortho_Transversal/ImageServer/file?id=.%5CTransversal_Aereo%5C25_02_02%5CCL_MLP_PAO_IF_Ortho_25_02_01_Transversal_TR_115.tif</t>
  </si>
  <si>
    <t>CL_MLP_PAO_IF_Ortho_25_02_01_Transversal_TR_116</t>
  </si>
  <si>
    <t>DBD093299421B18A92D5253402142BD2</t>
  </si>
  <si>
    <t>Sector 116</t>
  </si>
  <si>
    <t>https://sig.aminerals.cl/imgdyn/rest/services/CL_MLP_PAO/CL_MLP_PAO_IF_Ortho_Transversal/ImageServer/file?id=.%5CTransversal_Aereo%5C25_02_02%5CCL_MLP_PAO_IF_Ortho_25_02_01_Transversal_TR_116.tif</t>
  </si>
  <si>
    <t>CL_MLP_PAO_IF_Ortho_25_02_01_Transversal_TR_117</t>
  </si>
  <si>
    <t>3948BC1230F181809E7651487C441BF5</t>
  </si>
  <si>
    <t>Sector 117</t>
  </si>
  <si>
    <t>https://sig.aminerals.cl/imgdyn/rest/services/CL_MLP_PAO/CL_MLP_PAO_IF_Ortho_Transversal/ImageServer/file?id=.%5CTransversal_Aereo%5C25_02_02%5CCL_MLP_PAO_IF_Ortho_25_02_01_Transversal_TR_117.tif</t>
  </si>
  <si>
    <t>CL_MLP_PAO_IF_Ortho_25_02_01_Transversal_TR_118</t>
  </si>
  <si>
    <t>FFAFAB4FADD5F169091446EDA9F5B091</t>
  </si>
  <si>
    <t>Sector 118</t>
  </si>
  <si>
    <t>https://sig.aminerals.cl/imgdyn/rest/services/CL_MLP_PAO/CL_MLP_PAO_IF_Ortho_Transversal/ImageServer/file?id=.%5CTransversal_Aereo%5C25_02_02%5CCL_MLP_PAO_IF_Ortho_25_02_01_Transversal_TR_118.tif</t>
  </si>
  <si>
    <t>CL_MLP_PAO_IF_Ortho_25_02_01_Transversal_TR_119</t>
  </si>
  <si>
    <t>A450D64ACD483D4D8E4A954D18F61A31</t>
  </si>
  <si>
    <t>Sector 119</t>
  </si>
  <si>
    <t>https://sig.aminerals.cl/imgdyn/rest/services/CL_MLP_PAO/CL_MLP_PAO_IF_Ortho_Transversal/ImageServer/file?id=.%5CTransversal_Aereo%5C25_02_02%5CCL_MLP_PAO_IF_Ortho_25_02_01_Transversal_TR_119.tif</t>
  </si>
  <si>
    <t>CL_MLP_PAO_IF_Ortho_25_02_01_Transversal_TR_12</t>
  </si>
  <si>
    <t>B69FC384195E68B4615C12C19C80DCB5</t>
  </si>
  <si>
    <t>Sector 12</t>
  </si>
  <si>
    <t>https://sig.aminerals.cl/imgdyn/rest/services/CL_MLP_PAO/CL_MLP_PAO_IF_Ortho_Transversal/ImageServer/file?id=.%5CTransversal_Aereo%5C25_02_02%5CCL_MLP_PAO_IF_Ortho_25_02_01_Transversal_TR_12.tif</t>
  </si>
  <si>
    <t>CL_MLP_PAO_IF_Ortho_25_02_01_Transversal_TR_120</t>
  </si>
  <si>
    <t>5B9F8B6A91CCF7BBA113C904EEE89978</t>
  </si>
  <si>
    <t>Sector 120</t>
  </si>
  <si>
    <t>https://sig.aminerals.cl/imgdyn/rest/services/CL_MLP_PAO/CL_MLP_PAO_IF_Ortho_Transversal/ImageServer/file?id=.%5CTransversal_Aereo%5C25_02_02%5CCL_MLP_PAO_IF_Ortho_25_02_01_Transversal_TR_120.tif</t>
  </si>
  <si>
    <t>CL_MLP_PAO_IF_Ortho_25_02_01_Transversal_TR_13</t>
  </si>
  <si>
    <t>973A6DCE96A39B9EF28858EC20B5D238</t>
  </si>
  <si>
    <t>Sector 13</t>
  </si>
  <si>
    <t>https://sig.aminerals.cl/imgdyn/rest/services/CL_MLP_PAO/CL_MLP_PAO_IF_Ortho_Transversal/ImageServer/file?id=.%5CTransversal_Aereo%5C25_02_02%5CCL_MLP_PAO_IF_Ortho_25_02_01_Transversal_TR_13.tif</t>
  </si>
  <si>
    <t>CL_MLP_PAO_IF_Ortho_25_02_01_Transversal_TR_14</t>
  </si>
  <si>
    <t>9BD255A423A73B41616D7B996B8D9DBF</t>
  </si>
  <si>
    <t>Sector 14</t>
  </si>
  <si>
    <t>https://sig.aminerals.cl/imgdyn/rest/services/CL_MLP_PAO/CL_MLP_PAO_IF_Ortho_Transversal/ImageServer/file?id=.%5CTransversal_Aereo%5C25_02_02%5CCL_MLP_PAO_IF_Ortho_25_02_01_Transversal_TR_14.tif</t>
  </si>
  <si>
    <t>CL_MLP_PAO_IF_Ortho_25_02_01_Transversal_TR_15</t>
  </si>
  <si>
    <t>7DEBB70764F0EF883CED3C2B3C30367B</t>
  </si>
  <si>
    <t>Sector 15</t>
  </si>
  <si>
    <t>https://sig.aminerals.cl/imgdyn/rest/services/CL_MLP_PAO/CL_MLP_PAO_IF_Ortho_Transversal/ImageServer/file?id=.%5CTransversal_Aereo%5C25_02_02%5CCL_MLP_PAO_IF_Ortho_25_02_01_Transversal_TR_15.tif</t>
  </si>
  <si>
    <t>CL_MLP_PAO_IF_Ortho_25_02_01_Transversal_TR_16</t>
  </si>
  <si>
    <t>FE97100447A9F53C6C28A3D6EE568F42</t>
  </si>
  <si>
    <t>Sector 16</t>
  </si>
  <si>
    <t>https://sig.aminerals.cl/imgdyn/rest/services/CL_MLP_PAO/CL_MLP_PAO_IF_Ortho_Transversal/ImageServer/file?id=.%5CTransversal_Aereo%5C25_02_02%5CCL_MLP_PAO_IF_Ortho_25_02_01_Transversal_TR_16.tif</t>
  </si>
  <si>
    <t>CL_MLP_PAO_IF_Ortho_25_02_01_Transversal_TR_17</t>
  </si>
  <si>
    <t>37C57968BD524EB07E6A3BA8ABBA8686</t>
  </si>
  <si>
    <t>Sector 17</t>
  </si>
  <si>
    <t>https://sig.aminerals.cl/imgdyn/rest/services/CL_MLP_PAO/CL_MLP_PAO_IF_Ortho_Transversal/ImageServer/file?id=.%5CTransversal_Aereo%5C25_02_02%5CCL_MLP_PAO_IF_Ortho_25_02_01_Transversal_TR_17.tif</t>
  </si>
  <si>
    <t>CL_MLP_PAO_IF_Ortho_25_02_01_Transversal_TR_18</t>
  </si>
  <si>
    <t>3C86316C61ADFA133E63475925D44D61</t>
  </si>
  <si>
    <t>Sector 18</t>
  </si>
  <si>
    <t>https://sig.aminerals.cl/imgdyn/rest/services/CL_MLP_PAO/CL_MLP_PAO_IF_Ortho_Transversal/ImageServer/file?id=.%5CTransversal_Aereo%5C25_02_02%5CCL_MLP_PAO_IF_Ortho_25_02_01_Transversal_TR_18.tif</t>
  </si>
  <si>
    <t>CL_MLP_PAO_IF_Ortho_25_02_01_Transversal_TR_19</t>
  </si>
  <si>
    <t>F31A64B38C6AA1CE7109C7EC6224264F</t>
  </si>
  <si>
    <t>Sector 19</t>
  </si>
  <si>
    <t>https://sig.aminerals.cl/imgdyn/rest/services/CL_MLP_PAO/CL_MLP_PAO_IF_Ortho_Transversal/ImageServer/file?id=.%5CTransversal_Aereo%5C25_02_02%5CCL_MLP_PAO_IF_Ortho_25_02_01_Transversal_TR_19.tif</t>
  </si>
  <si>
    <t>CL_MLP_PAO_IF_Ortho_25_02_01_Transversal_TR_2</t>
  </si>
  <si>
    <t>7B34C7775F0849982C630850BEF146D9</t>
  </si>
  <si>
    <t>Sector 2</t>
  </si>
  <si>
    <t>https://sig.aminerals.cl/imgdyn/rest/services/CL_MLP_PAO/CL_MLP_PAO_IF_Ortho_Transversal/ImageServer/file?id=.%5CTransversal_Aereo%5C25_02_02%5CCL_MLP_PAO_IF_Ortho_25_02_01_Transversal_TR_2.tif</t>
  </si>
  <si>
    <t>CL_MLP_PAO_IF_Ortho_25_02_01_Transversal_TR_20</t>
  </si>
  <si>
    <t>6FCC840CD38294E9FBC202B1B20E1D9E</t>
  </si>
  <si>
    <t>Sector 20</t>
  </si>
  <si>
    <t>https://sig.aminerals.cl/imgdyn/rest/services/CL_MLP_PAO/CL_MLP_PAO_IF_Ortho_Transversal/ImageServer/file?id=.%5CTransversal_Aereo%5C25_02_02%5CCL_MLP_PAO_IF_Ortho_25_02_01_Transversal_TR_20.tif</t>
  </si>
  <si>
    <t>CL_MLP_PAO_IF_Ortho_25_02_01_Transversal_TR_21</t>
  </si>
  <si>
    <t>09210C96712D877EAD5F7AD2075D0D3B</t>
  </si>
  <si>
    <t>Sector 21</t>
  </si>
  <si>
    <t>https://sig.aminerals.cl/imgdyn/rest/services/CL_MLP_PAO/CL_MLP_PAO_IF_Ortho_Transversal/ImageServer/file?id=.%5CTransversal_Aereo%5C25_02_02%5CCL_MLP_PAO_IF_Ortho_25_02_01_Transversal_TR_21.tif</t>
  </si>
  <si>
    <t>CL_MLP_PAO_IF_Ortho_25_02_01_Transversal_TR_22</t>
  </si>
  <si>
    <t>7C89175DE77CA90B5B1E72DE7CD67236</t>
  </si>
  <si>
    <t>Sector 22</t>
  </si>
  <si>
    <t>https://sig.aminerals.cl/imgdyn/rest/services/CL_MLP_PAO/CL_MLP_PAO_IF_Ortho_Transversal/ImageServer/file?id=.%5CTransversal_Aereo%5C25_02_02%5CCL_MLP_PAO_IF_Ortho_25_02_01_Transversal_TR_22.tif</t>
  </si>
  <si>
    <t>CL_MLP_PAO_IF_Ortho_25_02_01_Transversal_TR_23</t>
  </si>
  <si>
    <t>936810BBD66FF8182771525F0411802F</t>
  </si>
  <si>
    <t>Sector 23</t>
  </si>
  <si>
    <t>https://sig.aminerals.cl/imgdyn/rest/services/CL_MLP_PAO/CL_MLP_PAO_IF_Ortho_Transversal/ImageServer/file?id=.%5CTransversal_Aereo%5C25_02_02%5CCL_MLP_PAO_IF_Ortho_25_02_01_Transversal_TR_23.tif</t>
  </si>
  <si>
    <t>CL_MLP_PAO_IF_Ortho_25_02_01_Transversal_TR_24</t>
  </si>
  <si>
    <t>3FC9EC6953336AF1D1D4D6C984552484</t>
  </si>
  <si>
    <t>Sector 24</t>
  </si>
  <si>
    <t>https://sig.aminerals.cl/imgdyn/rest/services/CL_MLP_PAO/CL_MLP_PAO_IF_Ortho_Transversal/ImageServer/file?id=.%5CTransversal_Aereo%5C25_02_02%5CCL_MLP_PAO_IF_Ortho_25_02_01_Transversal_TR_24.tif</t>
  </si>
  <si>
    <t>CL_MLP_PAO_IF_Ortho_25_02_01_Transversal_TR_25</t>
  </si>
  <si>
    <t>E1AB394B6266E7307C6DB4288A87BBE0</t>
  </si>
  <si>
    <t>Sector 25</t>
  </si>
  <si>
    <t>https://sig.aminerals.cl/imgdyn/rest/services/CL_MLP_PAO/CL_MLP_PAO_IF_Ortho_Transversal/ImageServer/file?id=.%5CTransversal_Aereo%5C25_02_02%5CCL_MLP_PAO_IF_Ortho_25_02_01_Transversal_TR_25.tif</t>
  </si>
  <si>
    <t>CL_MLP_PAO_IF_Ortho_25_02_01_Transversal_TR_26</t>
  </si>
  <si>
    <t>2A4D23E4EF6217B61615CA4B02CCBEBF</t>
  </si>
  <si>
    <t>Sector 26</t>
  </si>
  <si>
    <t>https://sig.aminerals.cl/imgdyn/rest/services/CL_MLP_PAO/CL_MLP_PAO_IF_Ortho_Transversal/ImageServer/file?id=.%5CTransversal_Aereo%5C25_02_02%5CCL_MLP_PAO_IF_Ortho_25_02_01_Transversal_TR_26.tif</t>
  </si>
  <si>
    <t>CL_MLP_PAO_IF_Ortho_25_02_01_Transversal_TR_27</t>
  </si>
  <si>
    <t>6044F7376E0E2AD4944F94B4922E7316</t>
  </si>
  <si>
    <t>Sector 27</t>
  </si>
  <si>
    <t>https://sig.aminerals.cl/imgdyn/rest/services/CL_MLP_PAO/CL_MLP_PAO_IF_Ortho_Transversal/ImageServer/file?id=.%5CTransversal_Aereo%5C25_02_02%5CCL_MLP_PAO_IF_Ortho_25_02_01_Transversal_TR_27.tif</t>
  </si>
  <si>
    <t>CL_MLP_PAO_IF_Ortho_25_02_01_Transversal_TR_28</t>
  </si>
  <si>
    <t>869240CC59848A7B58522DD1916EBE17</t>
  </si>
  <si>
    <t>Sector 28</t>
  </si>
  <si>
    <t>https://sig.aminerals.cl/imgdyn/rest/services/CL_MLP_PAO/CL_MLP_PAO_IF_Ortho_Transversal/ImageServer/file?id=.%5CTransversal_Aereo%5C25_02_02%5CCL_MLP_PAO_IF_Ortho_25_02_01_Transversal_TR_28.tif</t>
  </si>
  <si>
    <t>CL_MLP_PAO_IF_Ortho_25_02_01_Transversal_TR_29</t>
  </si>
  <si>
    <t>42F998B8C52A3B43100F15EF61ABEB8F</t>
  </si>
  <si>
    <t>Sector 29</t>
  </si>
  <si>
    <t>https://sig.aminerals.cl/imgdyn/rest/services/CL_MLP_PAO/CL_MLP_PAO_IF_Ortho_Transversal/ImageServer/file?id=.%5CTransversal_Aereo%5C25_02_02%5CCL_MLP_PAO_IF_Ortho_25_02_01_Transversal_TR_29.tif</t>
  </si>
  <si>
    <t>CL_MLP_PAO_IF_Ortho_25_02_01_Transversal_TR_3</t>
  </si>
  <si>
    <t>1B8012A4596112CFC2C6A19B1B584F1E</t>
  </si>
  <si>
    <t>Sector 3</t>
  </si>
  <si>
    <t>https://sig.aminerals.cl/imgdyn/rest/services/CL_MLP_PAO/CL_MLP_PAO_IF_Ortho_Transversal/ImageServer/file?id=.%5CTransversal_Aereo%5C25_02_02%5CCL_MLP_PAO_IF_Ortho_25_02_01_Transversal_TR_3.tif</t>
  </si>
  <si>
    <t>CL_MLP_PAO_IF_Ortho_25_02_01_Transversal_TR_30</t>
  </si>
  <si>
    <t>459F603339D8C1A2F6237639DEA61F23</t>
  </si>
  <si>
    <t>Sector 30</t>
  </si>
  <si>
    <t>https://sig.aminerals.cl/imgdyn/rest/services/CL_MLP_PAO/CL_MLP_PAO_IF_Ortho_Transversal/ImageServer/file?id=.%5CTransversal_Aereo%5C25_02_02%5CCL_MLP_PAO_IF_Ortho_25_02_01_Transversal_TR_30.tif</t>
  </si>
  <si>
    <t>CL_MLP_PAO_IF_Ortho_25_02_01_Transversal_TR_31</t>
  </si>
  <si>
    <t>B45351E8E82271E7BF36A4BFBC1B3E8E</t>
  </si>
  <si>
    <t>Sector 31</t>
  </si>
  <si>
    <t>https://sig.aminerals.cl/imgdyn/rest/services/CL_MLP_PAO/CL_MLP_PAO_IF_Ortho_Transversal/ImageServer/file?id=.%5CTransversal_Aereo%5C25_02_02%5CCL_MLP_PAO_IF_Ortho_25_02_01_Transversal_TR_31.tif</t>
  </si>
  <si>
    <t>CL_MLP_PAO_IF_Ortho_25_02_01_Transversal_TR_32</t>
  </si>
  <si>
    <t>68E699DAE075F2D2897FDDB9B93680C4</t>
  </si>
  <si>
    <t>Sector 32</t>
  </si>
  <si>
    <t>https://sig.aminerals.cl/imgdyn/rest/services/CL_MLP_PAO/CL_MLP_PAO_IF_Ortho_Transversal/ImageServer/file?id=.%5CTransversal_Aereo%5C25_02_02%5CCL_MLP_PAO_IF_Ortho_25_02_01_Transversal_TR_32.tif</t>
  </si>
  <si>
    <t>CL_MLP_PAO_IF_Ortho_25_02_01_Transversal_TR_33</t>
  </si>
  <si>
    <t>732C3FB88048CA1C1EE5AEA6E15E5F5D</t>
  </si>
  <si>
    <t>Sector 33</t>
  </si>
  <si>
    <t>https://sig.aminerals.cl/imgdyn/rest/services/CL_MLP_PAO/CL_MLP_PAO_IF_Ortho_Transversal/ImageServer/file?id=.%5CTransversal_Aereo%5C25_02_02%5CCL_MLP_PAO_IF_Ortho_25_02_01_Transversal_TR_33.tif</t>
  </si>
  <si>
    <t>CL_MLP_PAO_IF_Ortho_25_02_01_Transversal_TR_34</t>
  </si>
  <si>
    <t>4A5C6EFFE6C05AFEA9BE84C9D2217FBB</t>
  </si>
  <si>
    <t>Sector 34</t>
  </si>
  <si>
    <t>https://sig.aminerals.cl/imgdyn/rest/services/CL_MLP_PAO/CL_MLP_PAO_IF_Ortho_Transversal/ImageServer/file?id=.%5CTransversal_Aereo%5C25_02_02%5CCL_MLP_PAO_IF_Ortho_25_02_01_Transversal_TR_34.tif</t>
  </si>
  <si>
    <t>CL_MLP_PAO_IF_Ortho_25_02_01_Transversal_TR_35</t>
  </si>
  <si>
    <t>862AEA4D33109E373E82E3700C9A156C</t>
  </si>
  <si>
    <t>Sector 35</t>
  </si>
  <si>
    <t>https://sig.aminerals.cl/imgdyn/rest/services/CL_MLP_PAO/CL_MLP_PAO_IF_Ortho_Transversal/ImageServer/file?id=.%5CTransversal_Aereo%5C25_02_02%5CCL_MLP_PAO_IF_Ortho_25_02_01_Transversal_TR_35.tif</t>
  </si>
  <si>
    <t>CL_MLP_PAO_IF_Ortho_25_02_01_Transversal_TR_36</t>
  </si>
  <si>
    <t>2DBE9A3FD2621D0A6DFF48402F6ECDF4</t>
  </si>
  <si>
    <t>Sector 36</t>
  </si>
  <si>
    <t>https://sig.aminerals.cl/imgdyn/rest/services/CL_MLP_PAO/CL_MLP_PAO_IF_Ortho_Transversal/ImageServer/file?id=.%5CTransversal_Aereo%5C25_02_02%5CCL_MLP_PAO_IF_Ortho_25_02_01_Transversal_TR_36.tif</t>
  </si>
  <si>
    <t>CL_MLP_PAO_IF_Ortho_25_02_01_Transversal_TR_37</t>
  </si>
  <si>
    <t>9E8881FC87BB6E291A8895F642CDBEEC</t>
  </si>
  <si>
    <t>Sector 37</t>
  </si>
  <si>
    <t>https://sig.aminerals.cl/imgdyn/rest/services/CL_MLP_PAO/CL_MLP_PAO_IF_Ortho_Transversal/ImageServer/file?id=.%5CTransversal_Aereo%5C25_02_02%5CCL_MLP_PAO_IF_Ortho_25_02_01_Transversal_TR_37.tif</t>
  </si>
  <si>
    <t>CL_MLP_PAO_IF_Ortho_25_02_01_Transversal_TR_38</t>
  </si>
  <si>
    <t>DB18D07C7F62A9A11306D608339C0487</t>
  </si>
  <si>
    <t>Sector 38</t>
  </si>
  <si>
    <t>https://sig.aminerals.cl/imgdyn/rest/services/CL_MLP_PAO/CL_MLP_PAO_IF_Ortho_Transversal/ImageServer/file?id=.%5CTransversal_Aereo%5C25_02_02%5CCL_MLP_PAO_IF_Ortho_25_02_01_Transversal_TR_38.tif</t>
  </si>
  <si>
    <t>CL_MLP_PAO_IF_Ortho_25_02_01_Transversal_TR_39</t>
  </si>
  <si>
    <t>0891A0EA8092DEEA9B5905758567B694</t>
  </si>
  <si>
    <t>Sector 39</t>
  </si>
  <si>
    <t>https://sig.aminerals.cl/imgdyn/rest/services/CL_MLP_PAO/CL_MLP_PAO_IF_Ortho_Transversal/ImageServer/file?id=.%5CTransversal_Aereo%5C25_02_02%5CCL_MLP_PAO_IF_Ortho_25_02_01_Transversal_TR_39.tif</t>
  </si>
  <si>
    <t>CL_MLP_PAO_IF_Ortho_25_02_01_Transversal_TR_4</t>
  </si>
  <si>
    <t>11D560B3D21FE777C353D04A107E569A</t>
  </si>
  <si>
    <t>Sector 4</t>
  </si>
  <si>
    <t>https://sig.aminerals.cl/imgdyn/rest/services/CL_MLP_PAO/CL_MLP_PAO_IF_Ortho_Transversal/ImageServer/file?id=.%5CTransversal_Aereo%5C25_02_02%5CCL_MLP_PAO_IF_Ortho_25_02_01_Transversal_TR_4.tif</t>
  </si>
  <si>
    <t>CL_MLP_PAO_IF_Ortho_25_02_01_Transversal_TR_40</t>
  </si>
  <si>
    <t>29D0E7F1D136DEC5FBF68CB7B1798688</t>
  </si>
  <si>
    <t>Sector 40</t>
  </si>
  <si>
    <t>https://sig.aminerals.cl/imgdyn/rest/services/CL_MLP_PAO/CL_MLP_PAO_IF_Ortho_Transversal/ImageServer/file?id=.%5CTransversal_Aereo%5C25_02_02%5CCL_MLP_PAO_IF_Ortho_25_02_01_Transversal_TR_40.tif</t>
  </si>
  <si>
    <t>CL_MLP_PAO_IF_Ortho_25_02_01_Transversal_TR_41</t>
  </si>
  <si>
    <t>80A609261CEF28AF4A0B676D3C27BA90</t>
  </si>
  <si>
    <t>Sector 41</t>
  </si>
  <si>
    <t>https://sig.aminerals.cl/imgdyn/rest/services/CL_MLP_PAO/CL_MLP_PAO_IF_Ortho_Transversal/ImageServer/file?id=.%5CTransversal_Aereo%5C25_02_02%5CCL_MLP_PAO_IF_Ortho_25_02_01_Transversal_TR_41.tif</t>
  </si>
  <si>
    <t>CL_MLP_PAO_IF_Ortho_25_02_01_Transversal_TR_42</t>
  </si>
  <si>
    <t>EC6F13014B1FFCC02A4BE90185D05AEE</t>
  </si>
  <si>
    <t>Sector 42</t>
  </si>
  <si>
    <t>https://sig.aminerals.cl/imgdyn/rest/services/CL_MLP_PAO/CL_MLP_PAO_IF_Ortho_Transversal/ImageServer/file?id=.%5CTransversal_Aereo%5C25_02_02%5CCL_MLP_PAO_IF_Ortho_25_02_01_Transversal_TR_42.tif</t>
  </si>
  <si>
    <t>CL_MLP_PAO_IF_Ortho_25_02_01_Transversal_TR_43</t>
  </si>
  <si>
    <t>406C39F143CDFA3EB6E5C904DBA4378A</t>
  </si>
  <si>
    <t>Sector 43</t>
  </si>
  <si>
    <t>https://sig.aminerals.cl/imgdyn/rest/services/CL_MLP_PAO/CL_MLP_PAO_IF_Ortho_Transversal/ImageServer/file?id=.%5CTransversal_Aereo%5C25_02_02%5CCL_MLP_PAO_IF_Ortho_25_02_01_Transversal_TR_43.tif</t>
  </si>
  <si>
    <t>CL_MLP_PAO_IF_Ortho_25_02_01_Transversal_TR_44</t>
  </si>
  <si>
    <t>4B92A27684342DF4987A4F4471D723F6</t>
  </si>
  <si>
    <t>Sector 44</t>
  </si>
  <si>
    <t>https://sig.aminerals.cl/imgdyn/rest/services/CL_MLP_PAO/CL_MLP_PAO_IF_Ortho_Transversal/ImageServer/file?id=.%5CTransversal_Aereo%5C25_02_02%5CCL_MLP_PAO_IF_Ortho_25_02_01_Transversal_TR_44.tif</t>
  </si>
  <si>
    <t>CL_MLP_PAO_IF_Ortho_25_02_01_Transversal_TR_45</t>
  </si>
  <si>
    <t>8E83EA408FBA3311B39C42FDC82A7BEF</t>
  </si>
  <si>
    <t>Sector 45</t>
  </si>
  <si>
    <t>https://sig.aminerals.cl/imgdyn/rest/services/CL_MLP_PAO/CL_MLP_PAO_IF_Ortho_Transversal/ImageServer/file?id=.%5CTransversal_Aereo%5C25_02_02%5CCL_MLP_PAO_IF_Ortho_25_02_01_Transversal_TR_45.tif</t>
  </si>
  <si>
    <t>CL_MLP_PAO_IF_Ortho_25_02_01_Transversal_TR_46</t>
  </si>
  <si>
    <t>D4BEE11E867B0532465121DA0E27DD15</t>
  </si>
  <si>
    <t>Sector 46</t>
  </si>
  <si>
    <t>https://sig.aminerals.cl/imgdyn/rest/services/CL_MLP_PAO/CL_MLP_PAO_IF_Ortho_Transversal/ImageServer/file?id=.%5CTransversal_Aereo%5C25_02_02%5CCL_MLP_PAO_IF_Ortho_25_02_01_Transversal_TR_46.tif</t>
  </si>
  <si>
    <t>CL_MLP_PAO_IF_Ortho_25_02_01_Transversal_TR_47</t>
  </si>
  <si>
    <t>A86DB9010AEB688745539CF12CFD6874</t>
  </si>
  <si>
    <t>Sector 47</t>
  </si>
  <si>
    <t>https://sig.aminerals.cl/imgdyn/rest/services/CL_MLP_PAO/CL_MLP_PAO_IF_Ortho_Transversal/ImageServer/file?id=.%5CTransversal_Aereo%5C25_02_02%5CCL_MLP_PAO_IF_Ortho_25_02_01_Transversal_TR_47.tif</t>
  </si>
  <si>
    <t>CL_MLP_PAO_IF_Ortho_25_02_01_Transversal_TR_48</t>
  </si>
  <si>
    <t>08FE7919598CE624405123ABBC253B43</t>
  </si>
  <si>
    <t>Sector 48</t>
  </si>
  <si>
    <t>https://sig.aminerals.cl/imgdyn/rest/services/CL_MLP_PAO/CL_MLP_PAO_IF_Ortho_Transversal/ImageServer/file?id=.%5CTransversal_Aereo%5C25_02_02%5CCL_MLP_PAO_IF_Ortho_25_02_01_Transversal_TR_48.tif</t>
  </si>
  <si>
    <t>CL_MLP_PAO_IF_Ortho_25_02_01_Transversal_TR_49</t>
  </si>
  <si>
    <t>784A174B40A890FC159C574214ADA67B</t>
  </si>
  <si>
    <t>Sector 49</t>
  </si>
  <si>
    <t>https://sig.aminerals.cl/imgdyn/rest/services/CL_MLP_PAO/CL_MLP_PAO_IF_Ortho_Transversal/ImageServer/file?id=.%5CTransversal_Aereo%5C25_02_02%5CCL_MLP_PAO_IF_Ortho_25_02_01_Transversal_TR_49.tif</t>
  </si>
  <si>
    <t>CL_MLP_PAO_IF_Ortho_25_02_01_Transversal_TR_5</t>
  </si>
  <si>
    <t>0E92F5F7FD4F2E6686CCE971E4DBC48F</t>
  </si>
  <si>
    <t>Sector 5</t>
  </si>
  <si>
    <t>https://sig.aminerals.cl/imgdyn/rest/services/CL_MLP_PAO/CL_MLP_PAO_IF_Ortho_Transversal/ImageServer/file?id=.%5CTransversal_Aereo%5C25_02_02%5CCL_MLP_PAO_IF_Ortho_25_02_01_Transversal_TR_5.tif</t>
  </si>
  <si>
    <t>CL_MLP_PAO_IF_Ortho_25_02_01_Transversal_TR_50</t>
  </si>
  <si>
    <t>22EC098A9925E73B3835053A96D59B36</t>
  </si>
  <si>
    <t>Sector 50</t>
  </si>
  <si>
    <t>https://sig.aminerals.cl/imgdyn/rest/services/CL_MLP_PAO/CL_MLP_PAO_IF_Ortho_Transversal/ImageServer/file?id=.%5CTransversal_Aereo%5C25_02_02%5CCL_MLP_PAO_IF_Ortho_25_02_01_Transversal_TR_50.tif</t>
  </si>
  <si>
    <t>CL_MLP_PAO_IF_Ortho_25_02_01_Transversal_TR_51</t>
  </si>
  <si>
    <t>7EA3DD6952ED71A51BC39834A4740078</t>
  </si>
  <si>
    <t>Sector 51</t>
  </si>
  <si>
    <t>https://sig.aminerals.cl/imgdyn/rest/services/CL_MLP_PAO/CL_MLP_PAO_IF_Ortho_Transversal/ImageServer/file?id=.%5CTransversal_Aereo%5C25_02_02%5CCL_MLP_PAO_IF_Ortho_25_02_01_Transversal_TR_51.tif</t>
  </si>
  <si>
    <t>CL_MLP_PAO_IF_Ortho_25_02_01_Transversal_TR_52</t>
  </si>
  <si>
    <t>789DF593A5D89D1158D140D68C91CF27</t>
  </si>
  <si>
    <t>Sector 52</t>
  </si>
  <si>
    <t>https://sig.aminerals.cl/imgdyn/rest/services/CL_MLP_PAO/CL_MLP_PAO_IF_Ortho_Transversal/ImageServer/file?id=.%5CTransversal_Aereo%5C25_02_02%5CCL_MLP_PAO_IF_Ortho_25_02_01_Transversal_TR_52.tif</t>
  </si>
  <si>
    <t>CL_MLP_PAO_IF_Ortho_25_02_01_Transversal_TR_53</t>
  </si>
  <si>
    <t>509D7F04BADD032A8CC9C737D6CA50A5</t>
  </si>
  <si>
    <t>Sector 53</t>
  </si>
  <si>
    <t>https://sig.aminerals.cl/imgdyn/rest/services/CL_MLP_PAO/CL_MLP_PAO_IF_Ortho_Transversal/ImageServer/file?id=.%5CTransversal_Aereo%5C25_02_02%5CCL_MLP_PAO_IF_Ortho_25_02_01_Transversal_TR_53.tif</t>
  </si>
  <si>
    <t>CL_MLP_PAO_IF_Ortho_25_02_01_Transversal_TR_54</t>
  </si>
  <si>
    <t>C334C01A84FF151338CE918099654D05</t>
  </si>
  <si>
    <t>Sector 54</t>
  </si>
  <si>
    <t>https://sig.aminerals.cl/imgdyn/rest/services/CL_MLP_PAO/CL_MLP_PAO_IF_Ortho_Transversal/ImageServer/file?id=.%5CTransversal_Aereo%5C25_02_02%5CCL_MLP_PAO_IF_Ortho_25_02_01_Transversal_TR_54.tif</t>
  </si>
  <si>
    <t>CL_MLP_PAO_IF_Ortho_25_02_01_Transversal_TR_55</t>
  </si>
  <si>
    <t>2F638DA0F06F0CB52666455B6223E46C</t>
  </si>
  <si>
    <t>Sector 55</t>
  </si>
  <si>
    <t>https://sig.aminerals.cl/imgdyn/rest/services/CL_MLP_PAO/CL_MLP_PAO_IF_Ortho_Transversal/ImageServer/file?id=.%5CTransversal_Aereo%5C25_02_02%5CCL_MLP_PAO_IF_Ortho_25_02_01_Transversal_TR_55.tif</t>
  </si>
  <si>
    <t>CL_MLP_PAO_IF_Ortho_25_02_01_Transversal_TR_56</t>
  </si>
  <si>
    <t>5F46D36561C1238CE589DC2D9CA10A50</t>
  </si>
  <si>
    <t>Sector 56</t>
  </si>
  <si>
    <t>https://sig.aminerals.cl/imgdyn/rest/services/CL_MLP_PAO/CL_MLP_PAO_IF_Ortho_Transversal/ImageServer/file?id=.%5CTransversal_Aereo%5C25_02_02%5CCL_MLP_PAO_IF_Ortho_25_02_01_Transversal_TR_56.tif</t>
  </si>
  <si>
    <t>CL_MLP_PAO_IF_Ortho_25_02_01_Transversal_TR_57</t>
  </si>
  <si>
    <t>9A987BFC84EB574CB06A879C524722B9</t>
  </si>
  <si>
    <t>Sector 57</t>
  </si>
  <si>
    <t>https://sig.aminerals.cl/imgdyn/rest/services/CL_MLP_PAO/CL_MLP_PAO_IF_Ortho_Transversal/ImageServer/file?id=.%5CTransversal_Aereo%5C25_02_02%5CCL_MLP_PAO_IF_Ortho_25_02_01_Transversal_TR_57.tif</t>
  </si>
  <si>
    <t>CL_MLP_PAO_IF_Ortho_25_02_01_Transversal_TR_58</t>
  </si>
  <si>
    <t>381522E8910E70A13DB04DC343C50ECF</t>
  </si>
  <si>
    <t>Sector 58</t>
  </si>
  <si>
    <t>https://sig.aminerals.cl/imgdyn/rest/services/CL_MLP_PAO/CL_MLP_PAO_IF_Ortho_Transversal/ImageServer/file?id=.%5CTransversal_Aereo%5C25_02_02%5CCL_MLP_PAO_IF_Ortho_25_02_01_Transversal_TR_58.tif</t>
  </si>
  <si>
    <t>CL_MLP_PAO_IF_Ortho_25_02_01_Transversal_TR_59</t>
  </si>
  <si>
    <t>08F947441411327F789C75E59738070E</t>
  </si>
  <si>
    <t>Sector 59</t>
  </si>
  <si>
    <t>https://sig.aminerals.cl/imgdyn/rest/services/CL_MLP_PAO/CL_MLP_PAO_IF_Ortho_Transversal/ImageServer/file?id=.%5CTransversal_Aereo%5C25_02_02%5CCL_MLP_PAO_IF_Ortho_25_02_01_Transversal_TR_59.tif</t>
  </si>
  <si>
    <t>CL_MLP_PAO_IF_Ortho_25_02_01_Transversal_TR_6</t>
  </si>
  <si>
    <t>762B75ABE8BE27D9E2E0644F3D9F1500</t>
  </si>
  <si>
    <t>Sector 6</t>
  </si>
  <si>
    <t>https://sig.aminerals.cl/imgdyn/rest/services/CL_MLP_PAO/CL_MLP_PAO_IF_Ortho_Transversal/ImageServer/file?id=.%5CTransversal_Aereo%5C25_02_02%5CCL_MLP_PAO_IF_Ortho_25_02_01_Transversal_TR_6.tif</t>
  </si>
  <si>
    <t>CL_MLP_PAO_IF_Ortho_25_02_01_Transversal_TR_60</t>
  </si>
  <si>
    <t>ED93F201EB198DC2304274E1B0D9EB2D</t>
  </si>
  <si>
    <t>Sector 60</t>
  </si>
  <si>
    <t>https://sig.aminerals.cl/imgdyn/rest/services/CL_MLP_PAO/CL_MLP_PAO_IF_Ortho_Transversal/ImageServer/file?id=.%5CTransversal_Aereo%5C25_02_02%5CCL_MLP_PAO_IF_Ortho_25_02_01_Transversal_TR_60.tif</t>
  </si>
  <si>
    <t>CL_MLP_PAO_IF_Ortho_25_02_01_Transversal_TR_61</t>
  </si>
  <si>
    <t>939EB9D5C811FE7CB4FCE99EE06908AA</t>
  </si>
  <si>
    <t>Sector 61</t>
  </si>
  <si>
    <t>https://sig.aminerals.cl/imgdyn/rest/services/CL_MLP_PAO/CL_MLP_PAO_IF_Ortho_Transversal/ImageServer/file?id=.%5CTransversal_Aereo%5C25_02_02%5CCL_MLP_PAO_IF_Ortho_25_02_01_Transversal_TR_61.tif</t>
  </si>
  <si>
    <t>CL_MLP_PAO_IF_Ortho_25_02_01_Transversal_TR_62</t>
  </si>
  <si>
    <t>06CB5F88A2D03548482E316503D8EED6</t>
  </si>
  <si>
    <t>Sector 62</t>
  </si>
  <si>
    <t>https://sig.aminerals.cl/imgdyn/rest/services/CL_MLP_PAO/CL_MLP_PAO_IF_Ortho_Transversal/ImageServer/file?id=.%5CTransversal_Aereo%5C25_02_02%5CCL_MLP_PAO_IF_Ortho_25_02_01_Transversal_TR_62.tif</t>
  </si>
  <si>
    <t>CL_MLP_PAO_IF_Ortho_25_02_01_Transversal_TR_63</t>
  </si>
  <si>
    <t>3714E5D10297B342E447729CAF1241F4</t>
  </si>
  <si>
    <t>Sector 63</t>
  </si>
  <si>
    <t>https://sig.aminerals.cl/imgdyn/rest/services/CL_MLP_PAO/CL_MLP_PAO_IF_Ortho_Transversal/ImageServer/file?id=.%5CTransversal_Aereo%5C25_02_02%5CCL_MLP_PAO_IF_Ortho_25_02_01_Transversal_TR_63.tif</t>
  </si>
  <si>
    <t>CL_MLP_PAO_IF_Ortho_25_02_01_Transversal_TR_64</t>
  </si>
  <si>
    <t>1612C11AC80DA5BB74D7A9CCFBD57007</t>
  </si>
  <si>
    <t>Sector 64</t>
  </si>
  <si>
    <t>https://sig.aminerals.cl/imgdyn/rest/services/CL_MLP_PAO/CL_MLP_PAO_IF_Ortho_Transversal/ImageServer/file?id=.%5CTransversal_Aereo%5C25_02_02%5CCL_MLP_PAO_IF_Ortho_25_02_01_Transversal_TR_64.tif</t>
  </si>
  <si>
    <t>CL_MLP_PAO_IF_Ortho_25_02_01_Transversal_TR_65</t>
  </si>
  <si>
    <t>45E70C29F1D79E667432FDC84941FBEA</t>
  </si>
  <si>
    <t>Sector 65</t>
  </si>
  <si>
    <t>https://sig.aminerals.cl/imgdyn/rest/services/CL_MLP_PAO/CL_MLP_PAO_IF_Ortho_Transversal/ImageServer/file?id=.%5CTransversal_Aereo%5C25_02_02%5CCL_MLP_PAO_IF_Ortho_25_02_01_Transversal_TR_65.tif</t>
  </si>
  <si>
    <t>CL_MLP_PAO_IF_Ortho_25_02_01_Transversal_TR_66</t>
  </si>
  <si>
    <t>0B3A0136E3EBC8D720DC74766FFD981C</t>
  </si>
  <si>
    <t>Sector 66</t>
  </si>
  <si>
    <t>https://sig.aminerals.cl/imgdyn/rest/services/CL_MLP_PAO/CL_MLP_PAO_IF_Ortho_Transversal/ImageServer/file?id=.%5CTransversal_Aereo%5C25_02_02%5CCL_MLP_PAO_IF_Ortho_25_02_01_Transversal_TR_66.tif</t>
  </si>
  <si>
    <t>CL_MLP_PAO_IF_Ortho_25_02_01_Transversal_TR_67</t>
  </si>
  <si>
    <t>D6D7A492D31EDD3132B492EDFE582B2F</t>
  </si>
  <si>
    <t>Sector 67</t>
  </si>
  <si>
    <t>https://sig.aminerals.cl/imgdyn/rest/services/CL_MLP_PAO/CL_MLP_PAO_IF_Ortho_Transversal/ImageServer/file?id=.%5CTransversal_Aereo%5C25_02_02%5CCL_MLP_PAO_IF_Ortho_25_02_01_Transversal_TR_67.tif</t>
  </si>
  <si>
    <t>CL_MLP_PAO_IF_Ortho_25_02_01_Transversal_TR_68</t>
  </si>
  <si>
    <t>DFDE213798EA83B3C0EEB5659510B54A</t>
  </si>
  <si>
    <t>Sector 68</t>
  </si>
  <si>
    <t>https://sig.aminerals.cl/imgdyn/rest/services/CL_MLP_PAO/CL_MLP_PAO_IF_Ortho_Transversal/ImageServer/file?id=.%5CTransversal_Aereo%5C25_02_02%5CCL_MLP_PAO_IF_Ortho_25_02_01_Transversal_TR_68.tif</t>
  </si>
  <si>
    <t>CL_MLP_PAO_IF_Ortho_25_02_01_Transversal_TR_69</t>
  </si>
  <si>
    <t>66DE3776E532B99731C8A4E1475D32E4</t>
  </si>
  <si>
    <t>Sector 69</t>
  </si>
  <si>
    <t>https://sig.aminerals.cl/imgdyn/rest/services/CL_MLP_PAO/CL_MLP_PAO_IF_Ortho_Transversal/ImageServer/file?id=.%5CTransversal_Aereo%5C25_02_02%5CCL_MLP_PAO_IF_Ortho_25_02_01_Transversal_TR_69.tif</t>
  </si>
  <si>
    <t>CL_MLP_PAO_IF_Ortho_25_02_01_Transversal_TR_7</t>
  </si>
  <si>
    <t>F63E49B2078D2DEED3FA9EF7C726D8CF</t>
  </si>
  <si>
    <t>Sector 7</t>
  </si>
  <si>
    <t>https://sig.aminerals.cl/imgdyn/rest/services/CL_MLP_PAO/CL_MLP_PAO_IF_Ortho_Transversal/ImageServer/file?id=.%5CTransversal_Aereo%5C25_02_02%5CCL_MLP_PAO_IF_Ortho_25_02_01_Transversal_TR_7.tif</t>
  </si>
  <si>
    <t>CL_MLP_PAO_IF_Ortho_25_02_01_Transversal_TR_70</t>
  </si>
  <si>
    <t>E1B80C65B6AC5719536D559F771E5800</t>
  </si>
  <si>
    <t>Sector 70</t>
  </si>
  <si>
    <t>https://sig.aminerals.cl/imgdyn/rest/services/CL_MLP_PAO/CL_MLP_PAO_IF_Ortho_Transversal/ImageServer/file?id=.%5CTransversal_Aereo%5C25_02_02%5CCL_MLP_PAO_IF_Ortho_25_02_01_Transversal_TR_70.tif</t>
  </si>
  <si>
    <t>CL_MLP_PAO_IF_Ortho_25_02_01_Transversal_TR_71</t>
  </si>
  <si>
    <t>ACAF22C2C5986094C053B59556D29A70</t>
  </si>
  <si>
    <t>Sector 71</t>
  </si>
  <si>
    <t>https://sig.aminerals.cl/imgdyn/rest/services/CL_MLP_PAO/CL_MLP_PAO_IF_Ortho_Transversal/ImageServer/file?id=.%5CTransversal_Aereo%5C25_02_02%5CCL_MLP_PAO_IF_Ortho_25_02_01_Transversal_TR_71.tif</t>
  </si>
  <si>
    <t>CL_MLP_PAO_IF_Ortho_25_02_01_Transversal_TR_72</t>
  </si>
  <si>
    <t>E3827AF2592D63141E4C443CF9D81886</t>
  </si>
  <si>
    <t>Sector 72</t>
  </si>
  <si>
    <t>https://sig.aminerals.cl/imgdyn/rest/services/CL_MLP_PAO/CL_MLP_PAO_IF_Ortho_Transversal/ImageServer/file?id=.%5CTransversal_Aereo%5C25_02_02%5CCL_MLP_PAO_IF_Ortho_25_02_01_Transversal_TR_72.tif</t>
  </si>
  <si>
    <t>CL_MLP_PAO_IF_Ortho_25_02_01_Transversal_TR_73</t>
  </si>
  <si>
    <t>A1799FF517F11FD60C0FC41A9EE20303</t>
  </si>
  <si>
    <t>Sector 73</t>
  </si>
  <si>
    <t>https://sig.aminerals.cl/imgdyn/rest/services/CL_MLP_PAO/CL_MLP_PAO_IF_Ortho_Transversal/ImageServer/file?id=.%5CTransversal_Aereo%5C25_02_02%5CCL_MLP_PAO_IF_Ortho_25_02_01_Transversal_TR_73.tif</t>
  </si>
  <si>
    <t>CL_MLP_PAO_IF_Ortho_25_02_01_Transversal_TR_74</t>
  </si>
  <si>
    <t>BBEBEAD2EA3F2AADC3EEAFFE85A9BCAB</t>
  </si>
  <si>
    <t>Sector 74</t>
  </si>
  <si>
    <t>https://sig.aminerals.cl/imgdyn/rest/services/CL_MLP_PAO/CL_MLP_PAO_IF_Ortho_Transversal/ImageServer/file?id=.%5CTransversal_Aereo%5C25_02_02%5CCL_MLP_PAO_IF_Ortho_25_02_01_Transversal_TR_74.tif</t>
  </si>
  <si>
    <t>CL_MLP_PAO_IF_Ortho_25_02_01_Transversal_TR_75</t>
  </si>
  <si>
    <t>BE7CEFB54D420A82A810621E576B6769</t>
  </si>
  <si>
    <t>Sector 75</t>
  </si>
  <si>
    <t>https://sig.aminerals.cl/imgdyn/rest/services/CL_MLP_PAO/CL_MLP_PAO_IF_Ortho_Transversal/ImageServer/file?id=.%5CTransversal_Aereo%5C25_02_02%5CCL_MLP_PAO_IF_Ortho_25_02_01_Transversal_TR_75.tif</t>
  </si>
  <si>
    <t>CL_MLP_PAO_IF_Ortho_25_02_01_Transversal_TR_76</t>
  </si>
  <si>
    <t>43D45277BD2A34E46B1C73B167857039</t>
  </si>
  <si>
    <t>Sector 76</t>
  </si>
  <si>
    <t>https://sig.aminerals.cl/imgdyn/rest/services/CL_MLP_PAO/CL_MLP_PAO_IF_Ortho_Transversal/ImageServer/file?id=.%5CTransversal_Aereo%5C25_02_02%5CCL_MLP_PAO_IF_Ortho_25_02_01_Transversal_TR_76.tif</t>
  </si>
  <si>
    <t>CL_MLP_PAO_IF_Ortho_25_02_01_Transversal_TR_77</t>
  </si>
  <si>
    <t>5808DD6D41E31290605B28970C9D3A07</t>
  </si>
  <si>
    <t>Sector 77</t>
  </si>
  <si>
    <t>https://sig.aminerals.cl/imgdyn/rest/services/CL_MLP_PAO/CL_MLP_PAO_IF_Ortho_Transversal/ImageServer/file?id=.%5CTransversal_Aereo%5C25_02_02%5CCL_MLP_PAO_IF_Ortho_25_02_01_Transversal_TR_77.tif</t>
  </si>
  <si>
    <t>CL_MLP_PAO_IF_Ortho_25_02_01_Transversal_TR_78</t>
  </si>
  <si>
    <t>8BF48C594CF9FC117419099EC0DDA64C</t>
  </si>
  <si>
    <t>Sector 78</t>
  </si>
  <si>
    <t>https://sig.aminerals.cl/imgdyn/rest/services/CL_MLP_PAO/CL_MLP_PAO_IF_Ortho_Transversal/ImageServer/file?id=.%5CTransversal_Aereo%5C25_02_02%5CCL_MLP_PAO_IF_Ortho_25_02_01_Transversal_TR_78.tif</t>
  </si>
  <si>
    <t>CL_MLP_PAO_IF_Ortho_25_02_01_Transversal_TR_79</t>
  </si>
  <si>
    <t>3C62E016C03C884A8A21EC92680073FF</t>
  </si>
  <si>
    <t>Sector 79</t>
  </si>
  <si>
    <t>https://sig.aminerals.cl/imgdyn/rest/services/CL_MLP_PAO/CL_MLP_PAO_IF_Ortho_Transversal/ImageServer/file?id=.%5CTransversal_Aereo%5C25_02_02%5CCL_MLP_PAO_IF_Ortho_25_02_01_Transversal_TR_79.tif</t>
  </si>
  <si>
    <t>CL_MLP_PAO_IF_Ortho_25_02_01_Transversal_TR_8</t>
  </si>
  <si>
    <t>0FE6BA27B0892C130BE76227ED58B871</t>
  </si>
  <si>
    <t>Sector 8</t>
  </si>
  <si>
    <t>https://sig.aminerals.cl/imgdyn/rest/services/CL_MLP_PAO/CL_MLP_PAO_IF_Ortho_Transversal/ImageServer/file?id=.%5CTransversal_Aereo%5C25_02_02%5CCL_MLP_PAO_IF_Ortho_25_02_01_Transversal_TR_8.tif</t>
  </si>
  <si>
    <t>CL_MLP_PAO_IF_Ortho_25_02_01_Transversal_TR_80</t>
  </si>
  <si>
    <t>0D908D94C00136CB51E4E1B1C5A6E608</t>
  </si>
  <si>
    <t>Sector 80</t>
  </si>
  <si>
    <t>https://sig.aminerals.cl/imgdyn/rest/services/CL_MLP_PAO/CL_MLP_PAO_IF_Ortho_Transversal/ImageServer/file?id=.%5CTransversal_Aereo%5C25_02_02%5CCL_MLP_PAO_IF_Ortho_25_02_01_Transversal_TR_80.tif</t>
  </si>
  <si>
    <t>CL_MLP_PAO_IF_Ortho_25_02_01_Transversal_TR_81</t>
  </si>
  <si>
    <t>05B6BFE81E5C15FAE0F5992EE0B8EFBB</t>
  </si>
  <si>
    <t>Sector 81</t>
  </si>
  <si>
    <t>https://sig.aminerals.cl/imgdyn/rest/services/CL_MLP_PAO/CL_MLP_PAO_IF_Ortho_Transversal/ImageServer/file?id=.%5CTransversal_Aereo%5C25_02_02%5CCL_MLP_PAO_IF_Ortho_25_02_01_Transversal_TR_81.tif</t>
  </si>
  <si>
    <t>CL_MLP_PAO_IF_Ortho_25_02_01_Transversal_TR_82</t>
  </si>
  <si>
    <t>E5941E705D11B5094953D2DCF5471E44</t>
  </si>
  <si>
    <t>Sector 82</t>
  </si>
  <si>
    <t>https://sig.aminerals.cl/imgdyn/rest/services/CL_MLP_PAO/CL_MLP_PAO_IF_Ortho_Transversal/ImageServer/file?id=.%5CTransversal_Aereo%5C25_02_02%5CCL_MLP_PAO_IF_Ortho_25_02_01_Transversal_TR_82.tif</t>
  </si>
  <si>
    <t>CL_MLP_PAO_IF_Ortho_25_02_01_Transversal_TR_83</t>
  </si>
  <si>
    <t>4762F285C45C63D18824C766F9BE658E</t>
  </si>
  <si>
    <t>Sector 83</t>
  </si>
  <si>
    <t>https://sig.aminerals.cl/imgdyn/rest/services/CL_MLP_PAO/CL_MLP_PAO_IF_Ortho_Transversal/ImageServer/file?id=.%5CTransversal_Aereo%5C25_02_02%5CCL_MLP_PAO_IF_Ortho_25_02_01_Transversal_TR_83.tif</t>
  </si>
  <si>
    <t>CL_MLP_PAO_IF_Ortho_25_02_01_Transversal_TR_84</t>
  </si>
  <si>
    <t>625F829C7AAF3833430EDB50766D842A</t>
  </si>
  <si>
    <t>Sector 84</t>
  </si>
  <si>
    <t>https://sig.aminerals.cl/imgdyn/rest/services/CL_MLP_PAO/CL_MLP_PAO_IF_Ortho_Transversal/ImageServer/file?id=.%5CTransversal_Aereo%5C25_02_02%5CCL_MLP_PAO_IF_Ortho_25_02_01_Transversal_TR_84.tif</t>
  </si>
  <si>
    <t>CL_MLP_PAO_IF_Ortho_25_02_01_Transversal_TR_85</t>
  </si>
  <si>
    <t>E273281CC88A7385224E57E95F309AC9</t>
  </si>
  <si>
    <t>Sector 85</t>
  </si>
  <si>
    <t>https://sig.aminerals.cl/imgdyn/rest/services/CL_MLP_PAO/CL_MLP_PAO_IF_Ortho_Transversal/ImageServer/file?id=.%5CTransversal_Aereo%5C25_02_02%5CCL_MLP_PAO_IF_Ortho_25_02_01_Transversal_TR_85.tif</t>
  </si>
  <si>
    <t>CL_MLP_PAO_IF_Ortho_25_02_01_Transversal_TR_86</t>
  </si>
  <si>
    <t>CE1995B933F9EF09247CC0C08BD36401</t>
  </si>
  <si>
    <t>Sector 86</t>
  </si>
  <si>
    <t>https://sig.aminerals.cl/imgdyn/rest/services/CL_MLP_PAO/CL_MLP_PAO_IF_Ortho_Transversal/ImageServer/file?id=.%5CTransversal_Aereo%5C25_02_02%5CCL_MLP_PAO_IF_Ortho_25_02_01_Transversal_TR_86.tif</t>
  </si>
  <si>
    <t>CL_MLP_PAO_IF_Ortho_25_02_01_Transversal_TR_87</t>
  </si>
  <si>
    <t>7EDB832C6E0F6995E725550107E1B1F2</t>
  </si>
  <si>
    <t>Sector 87</t>
  </si>
  <si>
    <t>https://sig.aminerals.cl/imgdyn/rest/services/CL_MLP_PAO/CL_MLP_PAO_IF_Ortho_Transversal/ImageServer/file?id=.%5CTransversal_Aereo%5C25_02_02%5CCL_MLP_PAO_IF_Ortho_25_02_01_Transversal_TR_87.tif</t>
  </si>
  <si>
    <t>CL_MLP_PAO_IF_Ortho_25_02_01_Transversal_TR_88</t>
  </si>
  <si>
    <t>1F6EF7996FAF6F14E3C95F15DCF82950</t>
  </si>
  <si>
    <t>Sector 88</t>
  </si>
  <si>
    <t>https://sig.aminerals.cl/imgdyn/rest/services/CL_MLP_PAO/CL_MLP_PAO_IF_Ortho_Transversal/ImageServer/file?id=.%5CTransversal_Aereo%5C25_02_02%5CCL_MLP_PAO_IF_Ortho_25_02_01_Transversal_TR_88.tif</t>
  </si>
  <si>
    <t>CL_MLP_PAO_IF_Ortho_25_02_01_Transversal_TR_89</t>
  </si>
  <si>
    <t>EBE2C2EE64F1BC1BFB0DC4C36604223B</t>
  </si>
  <si>
    <t>Sector 89</t>
  </si>
  <si>
    <t>https://sig.aminerals.cl/imgdyn/rest/services/CL_MLP_PAO/CL_MLP_PAO_IF_Ortho_Transversal/ImageServer/file?id=.%5CTransversal_Aereo%5C25_02_02%5CCL_MLP_PAO_IF_Ortho_25_02_01_Transversal_TR_89.tif</t>
  </si>
  <si>
    <t>CL_MLP_PAO_IF_Ortho_25_02_01_Transversal_TR_9</t>
  </si>
  <si>
    <t>0A99C35D124853018AAAE7AFE8A83D66</t>
  </si>
  <si>
    <t>Sector 9</t>
  </si>
  <si>
    <t>https://sig.aminerals.cl/imgdyn/rest/services/CL_MLP_PAO/CL_MLP_PAO_IF_Ortho_Transversal/ImageServer/file?id=.%5CTransversal_Aereo%5C25_02_02%5CCL_MLP_PAO_IF_Ortho_25_02_01_Transversal_TR_9.tif</t>
  </si>
  <si>
    <t>CL_MLP_PAO_IF_Ortho_25_02_01_Transversal_TR_90</t>
  </si>
  <si>
    <t>4EFD5A5ABFA387AB329B0E1F883E81D2</t>
  </si>
  <si>
    <t>Sector 90</t>
  </si>
  <si>
    <t>https://sig.aminerals.cl/imgdyn/rest/services/CL_MLP_PAO/CL_MLP_PAO_IF_Ortho_Transversal/ImageServer/file?id=.%5CTransversal_Aereo%5C25_02_02%5CCL_MLP_PAO_IF_Ortho_25_02_01_Transversal_TR_90.tif</t>
  </si>
  <si>
    <t>CL_MLP_PAO_IF_Ortho_25_02_01_Transversal_TR_91</t>
  </si>
  <si>
    <t>4C0EF92CED5973959E8EF2A5851BE4B8</t>
  </si>
  <si>
    <t>Sector 91</t>
  </si>
  <si>
    <t>https://sig.aminerals.cl/imgdyn/rest/services/CL_MLP_PAO/CL_MLP_PAO_IF_Ortho_Transversal/ImageServer/file?id=.%5CTransversal_Aereo%5C25_02_02%5CCL_MLP_PAO_IF_Ortho_25_02_01_Transversal_TR_91.tif</t>
  </si>
  <si>
    <t>CL_MLP_PAO_IF_Ortho_25_02_01_Transversal_TR_92</t>
  </si>
  <si>
    <t>36C5B14AFE0360ABBFF82912262538B6</t>
  </si>
  <si>
    <t>Sector 92</t>
  </si>
  <si>
    <t>https://sig.aminerals.cl/imgdyn/rest/services/CL_MLP_PAO/CL_MLP_PAO_IF_Ortho_Transversal/ImageServer/file?id=.%5CTransversal_Aereo%5C25_02_02%5CCL_MLP_PAO_IF_Ortho_25_02_01_Transversal_TR_92.tif</t>
  </si>
  <si>
    <t>CL_MLP_PAO_IF_Ortho_25_02_01_Transversal_TR_93</t>
  </si>
  <si>
    <t>EC29E267DD7FEA6DEEE3D35E7FE3BAF6</t>
  </si>
  <si>
    <t>Sector 93</t>
  </si>
  <si>
    <t>https://sig.aminerals.cl/imgdyn/rest/services/CL_MLP_PAO/CL_MLP_PAO_IF_Ortho_Transversal/ImageServer/file?id=.%5CTransversal_Aereo%5C25_02_02%5CCL_MLP_PAO_IF_Ortho_25_02_01_Transversal_TR_93.tif</t>
  </si>
  <si>
    <t>CL_MLP_PAO_IF_Ortho_25_02_01_Transversal_TR_94</t>
  </si>
  <si>
    <t>ABE6E12B6A059F066C22198EFDD1D6FA</t>
  </si>
  <si>
    <t>Sector 94</t>
  </si>
  <si>
    <t>https://sig.aminerals.cl/imgdyn/rest/services/CL_MLP_PAO/CL_MLP_PAO_IF_Ortho_Transversal/ImageServer/file?id=.%5CTransversal_Aereo%5C25_02_02%5CCL_MLP_PAO_IF_Ortho_25_02_01_Transversal_TR_94.tif</t>
  </si>
  <si>
    <t>CL_MLP_PAO_IF_Ortho_25_02_01_Transversal_TR_95</t>
  </si>
  <si>
    <t>BC7C92861DAC120E4DD0722DE705E61B</t>
  </si>
  <si>
    <t>Sector 95</t>
  </si>
  <si>
    <t>https://sig.aminerals.cl/imgdyn/rest/services/CL_MLP_PAO/CL_MLP_PAO_IF_Ortho_Transversal/ImageServer/file?id=.%5CTransversal_Aereo%5C25_02_02%5CCL_MLP_PAO_IF_Ortho_25_02_01_Transversal_TR_95.tif</t>
  </si>
  <si>
    <t>CL_MLP_PAO_IF_Ortho_25_02_01_Transversal_TR_96</t>
  </si>
  <si>
    <t>3D7E6C305FCCA87F6C637DB06A79572E</t>
  </si>
  <si>
    <t>Sector 96</t>
  </si>
  <si>
    <t>https://sig.aminerals.cl/imgdyn/rest/services/CL_MLP_PAO/CL_MLP_PAO_IF_Ortho_Transversal/ImageServer/file?id=.%5CTransversal_Aereo%5C25_02_02%5CCL_MLP_PAO_IF_Ortho_25_02_01_Transversal_TR_96.tif</t>
  </si>
  <si>
    <t>CL_MLP_PAO_IF_Ortho_25_02_01_Transversal_TR_97</t>
  </si>
  <si>
    <t>2A9827A2DC89543F068F484EEB864871</t>
  </si>
  <si>
    <t>Sector 97</t>
  </si>
  <si>
    <t>https://sig.aminerals.cl/imgdyn/rest/services/CL_MLP_PAO/CL_MLP_PAO_IF_Ortho_Transversal/ImageServer/file?id=.%5CTransversal_Aereo%5C25_02_02%5CCL_MLP_PAO_IF_Ortho_25_02_01_Transversal_TR_97.tif</t>
  </si>
  <si>
    <t>CL_MLP_PAO_IF_Ortho_25_02_01_Transversal_TR_98</t>
  </si>
  <si>
    <t>F31F63FAB994A04D36F3525F87324F8B</t>
  </si>
  <si>
    <t>Sector 98</t>
  </si>
  <si>
    <t>https://sig.aminerals.cl/imgdyn/rest/services/CL_MLP_PAO/CL_MLP_PAO_IF_Ortho_Transversal/ImageServer/file?id=.%5CTransversal_Aereo%5C25_02_02%5CCL_MLP_PAO_IF_Ortho_25_02_01_Transversal_TR_98.tif</t>
  </si>
  <si>
    <t>CL_MLP_PAO_IF_Ortho_25_02_01_Transversal_TR_99</t>
  </si>
  <si>
    <t>D9E7CEEB93F7B00E3746B0BC36351A5D</t>
  </si>
  <si>
    <t>Sector 99</t>
  </si>
  <si>
    <t>https://sig.aminerals.cl/imgdyn/rest/services/CL_MLP_PAO/CL_MLP_PAO_IF_Ortho_Transversal/ImageServer/file?id=.%5CTransversal_Aereo%5C25_02_02%5CCL_MLP_PAO_IF_Ortho_25_02_01_Transversal_TR_99.tif</t>
  </si>
  <si>
    <t>D5B205D75C7510AE8788D6F4571296BF</t>
  </si>
  <si>
    <t>https://sig.aminerals.cl/imgdyn/rest/services/CL_MLP_PAO/CL_MLP_PAO_IF_Ortho_ALL/ImageServer/file?id=.%5CChacay_Drone%5C25_03_12%5CCL_MLP_PAO_IF_Ortho_25_03_12_SRA2.tif</t>
  </si>
  <si>
    <t>CL_MLP_PAO_IF_Ortho_25_02_26_Area1_Cuncumen-D835</t>
  </si>
  <si>
    <t>EE3343F589027D3E6E50BAB71E1BBC65</t>
  </si>
  <si>
    <t>https://sig.aminerals.cl/imgdyn/rest/services/CL_MLP_PAO/CL_MLP_PAO_IF_Ortho_ALL/ImageServer/file?id=.%5CChacay_El_Mauro_Drone%5C25_02_26%5CCL_MLP_PAO_IF_Ortho_25_02_26_Area1_Cuncumen-D835.tiff</t>
  </si>
  <si>
    <t>CL_MLP_PAO_IF_Ortho_25_02_26_Area2_Cuncumen-D835</t>
  </si>
  <si>
    <t>62ED76A7E30F46EAEDC4EF4DB5C82BAA</t>
  </si>
  <si>
    <t>https://sig.aminerals.cl/imgdyn/rest/services/CL_MLP_PAO/CL_MLP_PAO_IF_Ortho_ALL/ImageServer/file?id=.%5CChacay_El_Mauro_Drone%5C25_02_26%5CCL_MLP_PAO_IF_Ortho_25_02_26_Area2_Cuncumen-D835.tiff</t>
  </si>
  <si>
    <t>B5E8C368F8D4906D1F2D8B14D2A02BDC</t>
  </si>
  <si>
    <t>https://sig.aminerals.cl/imgdyn/rest/services/CL_MLP_PAO/CL_MLP_PAO_IF_Ortho_ALL/ImageServer/file?id=.%5CChacay_El_Mauro_Drone%5C25_02_26%5CCL_MLP_PAO_IF_Ortho_25_02_26_RutaD835.tiff</t>
  </si>
  <si>
    <t>9929C9115FC049EC3D68DFF8BA8C2155</t>
  </si>
  <si>
    <t>https://sig.aminerals.cl/imgdyn/rest/services/CL_MLP_PAO/CL_MLP_PAO_IF_Ortho_ALL/ImageServer/file?id=.%5CChacay_El_Mauro_Drone%5C25_04_02%5CCL_MLP_PAO_IF_Ortho_25_04_02_DME-13.tiff</t>
  </si>
  <si>
    <t>784FCDE1E6936F56924A415455E55DEB</t>
  </si>
  <si>
    <t>https://sig.aminerals.cl/imgdyn/rest/services/CL_MLP_PAO/CL_MLP_PAO_IF_Ortho_ALL/ImageServer/file?id=.%5CChacay_El_Mauro_Drone%5C25_04_02%5CCL_MLP_PAO_IF_Ortho_25_04_02_Patio-Acopio-17.tiff</t>
  </si>
  <si>
    <t>1C0F0333EF5C6374A8CD942A35A9E466</t>
  </si>
  <si>
    <t>https://sig.aminerals.cl/imgdyn/rest/services/CL_MLP_PAO/CL_MLP_PAO_IF_Ortho_ALL/ImageServer/file?id=.%5CChacay_El_Mauro_Drone%5C25_04_02%5CCL_MLP_PAO_IF_Ortho_25_04_02_Ruta-SE-a-DME-13.tiff</t>
  </si>
  <si>
    <t>CL_MLP_PAO_IF_Ortho_25_04_09_Ruta-D-847_01</t>
  </si>
  <si>
    <t>B1D3F11EA4B8A83E53922D7049A33F88</t>
  </si>
  <si>
    <t>https://sig.aminerals.cl/imgdyn/rest/services/CL_MLP_PAO/CL_MLP_PAO_IF_Ortho_ALL/ImageServer/file?id=.%5CChacay_El_Mauro_Drone%5C25_04_09%5CCL_MLP_PAO_IF_Ortho_25_04_09_Ruta-D-847_01.tiff</t>
  </si>
  <si>
    <t>CL_MLP_PAO_IF_Ortho_25_04_09_Ruta-D-847_02</t>
  </si>
  <si>
    <t>D600F5FE4E3983FF60E8BB1665F7C45E</t>
  </si>
  <si>
    <t>https://sig.aminerals.cl/imgdyn/rest/services/CL_MLP_PAO/CL_MLP_PAO_IF_Ortho_ALL/ImageServer/file?id=.%5CChacay_El_Mauro_Drone%5C25_04_09%5CCL_MLP_PAO_IF_Ortho_25_04_09_Ruta-D-847_02.tiff</t>
  </si>
  <si>
    <t>CL_MLP_PAO_IF_Ortho_25_04_09_Ruta-D-847_03</t>
  </si>
  <si>
    <t>CA2ECD0D6196954C4003DDFFFFF71AFA</t>
  </si>
  <si>
    <t>https://sig.aminerals.cl/imgdyn/rest/services/CL_MLP_PAO/CL_MLP_PAO_IF_Ortho_ALL/ImageServer/file?id=.%5CChacay_El_Mauro_Drone%5C25_04_09%5CCL_MLP_PAO_IF_Ortho_25_04_09_Ruta-D-847_03.tiff</t>
  </si>
  <si>
    <t>214F881E3C6091C2A97285C684A12137</t>
  </si>
  <si>
    <t>https://sig.aminerals.cl/imgdyn/rest/services/CL_MLP_PAO/CL_MLP_PAO_IF_Ortho_ALL/ImageServer/file?id=.%5CChacay_El_Mauro_Drone%5C25_05_15%5CCL_MLP_PAO_IF_Ortho_25_05_15_DME9_PA12_IIFF8.tiff</t>
  </si>
  <si>
    <t>5B143228E16F0BDEA4A07C3C5F8EE9F4</t>
  </si>
  <si>
    <t>https://sig.aminerals.cl/imgdyn/rest/services/CL_MLP_PAO/CL_MLP_PAO_IF_Ortho_ALL/ImageServer/file?id=.%5CChacay_El_Mauro_Drone%5C25_05_15%5CCL_MLP_PAO_IF_Ortho_25_05_15_ED1_IIFF7_DME8.tiff</t>
  </si>
  <si>
    <t>F92E19E84A8289C2BFBE2C7745B18A17</t>
  </si>
  <si>
    <t>https://sig.aminerals.cl/imgdyn/rest/services/CL_MLP_PAO/CL_MLP_PAO_IF_Ortho_ALL/ImageServer/file?id=.%5CChacay_El_Mauro_Drone%5C25_05_15%5CCL_MLP_PAO_IF_Ortho_25_05_15_EM2_PA11_01.tiff</t>
  </si>
  <si>
    <t>5DBA4DF4A4D882DC0E691C66703CE540</t>
  </si>
  <si>
    <t>https://sig.aminerals.cl/imgdyn/rest/services/CL_MLP_PAO/CL_MLP_PAO_IF_Ortho_ALL/ImageServer/file?id=.%5CChacay_El_Mauro_Drone%5C25_06_04%5CCL_MLP_PAO_IF_Ortho_25_06_04_CaminoAcceso03_LasAnimas.tiff</t>
  </si>
  <si>
    <t>FF3ECA7F3D946D108D69ABD827C7B3D6</t>
  </si>
  <si>
    <t>https://sig.aminerals.cl/imgdyn/rest/services/CL_MLP_PAO/CL_MLP_PAO_IF_Ortho_ALL/ImageServer/file?id=.%5CChacay_El_Mauro_Drone%5C25_06_04%5CCL_MLP_PAO_IF_Ortho_25_06_04_EM3.tiff</t>
  </si>
  <si>
    <t>EFCBDC163539149EC043A6A5BF838477</t>
  </si>
  <si>
    <t>https://sig.aminerals.cl/imgdyn/rest/services/CL_MLP_PAO/CL_MLP_PAO_IF_Ortho_ALL/ImageServer/file?id=.%5CChacay_El_Mauro_Drone%5C25_06_11%5CCL_MLP_PAO_IF_Ortho_25_06_11_Subestacion_El_Mauro.tiff</t>
  </si>
  <si>
    <t>7C2605C0E8C5DCB54BAFEBEF9E3B955D</t>
  </si>
  <si>
    <t>https://sig.aminerals.cl/imgdyn/rest/services/CL_MLP_PAO/CL_MLP_PAO_IF_Ortho_ALL/ImageServer/file?id=.%5CChacay_El_Mauro_Drone%5C25_06_18%5CCL_MLP_PAO_IF_Ortho_25_06_18_NSTC-Km_39_a_40p4f.tiff</t>
  </si>
  <si>
    <t>007B11E58F2253AB92883CA78BE6B436</t>
  </si>
  <si>
    <t>https://sig.aminerals.cl/imgdyn/rest/services/CL_MLP_PAO/CL_MLP_PAO_IF_Ortho_ALL/ImageServer/file?id=.%5CChacay_El_Mauro_Drone%5C25_06_18%5CCL_MLP_PAO_IF_Ortho_25_06_18_NSTC_Km_36p5_a_37p7.tiff</t>
  </si>
  <si>
    <t>3B65494F40B224C9BFE0E547BF55CADE</t>
  </si>
  <si>
    <t>https://sig.aminerals.cl/imgdyn/rest/services/CL_MLP_PAO/CL_MLP_PAO_IF_Ortho_ALL/ImageServer/file?id=.%5CChacay_El_Mauro_Drone%5C25_06_18%5CCL_MLP_PAO_IF_Ortho_25_06_18_NSTC_Km_37p7_a_39.tiff</t>
  </si>
  <si>
    <t>62F091AFD5A628475F750F4CF4E60948</t>
  </si>
  <si>
    <t>https://sig.aminerals.cl/imgdyn/rest/services/CL_MLP_PAO/CL_MLP_PAO_IF_Ortho_ALL/ImageServer/file?id=.%5CChacay_El_Mauro_Drone%5C25_06_18%5CCL_MLP_PAO_IF_Ortho_25_06_18_NSTC_Km_40p4_a_PA10.tiff</t>
  </si>
  <si>
    <t>9BD031CEBA8FF09DBFE6DF9CD69525E6</t>
  </si>
  <si>
    <t>https://sig.aminerals.cl/imgdyn/rest/services/CL_MLP_PAO/CL_MLP_PAO_IF_Ortho_ALL/ImageServer/file?id=.%5CChacay_El_Mauro_Drone%5C25_07_02%5CCL_MLP_PAO_IF_Ortho_25_07_02_DME9_PA12_IIFF8_2.tiff</t>
  </si>
  <si>
    <t>AF79E418657D2F8F66349D536C141353</t>
  </si>
  <si>
    <t>https://sig.aminerals.cl/imgdyn/rest/services/CL_MLP_PAO/CL_MLP_PAO_IF_Ortho_ALL/ImageServer/file?id=.%5CChacay_El_Mauro_Drone%5C25_07_02%5CCL_MLP_PAO_IF_Ortho_25_07_02_EM2_PA10_PA11_2.tiff</t>
  </si>
  <si>
    <t>5DD9490071474B7252877038108C90AB</t>
  </si>
  <si>
    <t>https://sig.aminerals.cl/imgdyn/rest/services/CL_MLP_PAO/CL_MLP_PAO_IF_Ortho_ALL/ImageServer/file?id=.%5CChacay_El_Mauro_Drone%5C25_07_03%5CCL_MLP_PAO_IF_Ortho_25_07_03_EV1.tiff</t>
  </si>
  <si>
    <t>B2645A45B11B77B7E2101C2F5BC1584B</t>
  </si>
  <si>
    <t>https://sig.aminerals.cl/imgdyn/rest/services/CL_MLP_PAO/CL_MLP_PAO_IF_Ortho_ALL/ImageServer/file?id=.%5CChacay_El_Mauro_Drone%5C25_07_03%5CCL_MLP_PAO_IF_Ortho_25_07_03_IIFF4_PA4.tiff</t>
  </si>
  <si>
    <t>FF12D66D145E20960AB9423E71D37537</t>
  </si>
  <si>
    <t>https://sig.aminerals.cl/imgdyn/rest/services/CL_MLP_PAO/CL_MLP_PAO_IF_Ortho_ALL/ImageServer/file?id=.%5CChacay_El_Mauro_Drone%5C25_07_03%5CCL_MLP_PAO_IF_Ortho_25_07_03_NSTC_Km_16p1_a_DME4.tiff</t>
  </si>
  <si>
    <t>D2753AC5ECE09854005621C915ABA558</t>
  </si>
  <si>
    <t>https://sig.aminerals.cl/imgdyn/rest/services/CL_MLP_PAO/CL_MLP_PAO_IF_Ortho_ALL/ImageServer/file?id=.%5CEl_Mauro_Drone%5C25_04_03%5CCL_MLP_PAO_IF_Ortho_25_04_03_Area-patio-19b-y-armado.tiff</t>
  </si>
  <si>
    <t>53D014AB3ACC58825F9255DE28005151</t>
  </si>
  <si>
    <t>https://sig.aminerals.cl/imgdyn/rest/services/CL_MLP_PAO/CL_MLP_PAO_IF_Ortho_ALL/ImageServer/file?id=.%5CEl_Mauro_Drone%5C25_04_03%5CCL_MLP_PAO_IF_Ortho_25_04_03_Subestacion-El-Mauro.tiff</t>
  </si>
  <si>
    <t>D7150F83ACC03B008D613922CAE1CC97</t>
  </si>
  <si>
    <t>https://sig.aminerals.cl/imgdyn/rest/services/CL_MLP_PAO/CL_MLP_PAO_IF_Ortho_ALL/ImageServer/file?id=.%5CEl_Mauro_Drone%5C25_06_02%5CCL_MLP_PAO_IF_Ortho_25_06_02_ByPassDrenes_Estacion_Drenes_El_Mauro.tiff</t>
  </si>
  <si>
    <t>49ACA44B1B03FF7F24EFBC07EEA02C91</t>
  </si>
  <si>
    <t>https://sig.aminerals.cl/imgdyn/rest/services/CL_MLP_PAO/CL_MLP_PAO_IF_Ortho_ALL/ImageServer/file?id=.%5CEl_Mauro_Drone%5C25_06_02%5CCL_MLP_PAO_IF_Ortho_25_06_02_Estacion_Drenes_El_Mauro.tiff</t>
  </si>
  <si>
    <t>B61E191BD2B5E7B5F936AA740F64D1A7</t>
  </si>
  <si>
    <t>https://sig.aminerals.cl/imgdyn/rest/services/CL_MLP_PAO/CL_MLP_PAO_IF_Ortho_ALL/ImageServer/file?id=.%5CEl_Mauro_Drone%5C25_06_05%5CCL_MLP_PAO_IF_Ortho_25_06_05_33-kv-74p7-a-75p5.tiff</t>
  </si>
  <si>
    <t>D271E755F12E3322641AE48BE888CED1</t>
  </si>
  <si>
    <t>https://sig.aminerals.cl/imgdyn/rest/services/CL_MLP_PAO/CL_MLP_PAO_IF_Ortho_ALL/ImageServer/file?id=.%5CEl_Mauro_Drone%5C25_08_12%5CCL_MLP_PAO_IF_Ortho_25_08_12_Linea_33_kV_NorteElMauro_Area11_11.tiff</t>
  </si>
  <si>
    <t>72964AF356F2EB288036734D946A2157</t>
  </si>
  <si>
    <t>https://sig.aminerals.cl/imgdyn/rest/services/CL_MLP_PAO/CL_MLP_PAO_IF_Ortho_ALL/ImageServer/file?id=.%5CEl_Mauro_Drone%5C25_08_12%5CCL_MLP_PAO_IF_Ortho_25_08_12_Linea_33_kV_NorteElMauro_Area12_12.tiff</t>
  </si>
  <si>
    <t>D838F949717BE86CC24ED5AA6CBF6131</t>
  </si>
  <si>
    <t>https://sig.aminerals.cl/imgdyn/rest/services/CL_MLP_PAO/CL_MLP_PAO_IF_Ortho_ALL/ImageServer/file?id=.%5CEl_Mauro_Drone%5C25_08_13%5CCL_MLP_PAO_IF_Ortho_25_08_13_Linea_33_kV_NorteElMauro_Area10_10.tiff</t>
  </si>
  <si>
    <t>1761685704C671539E8E77EE731D4EED</t>
  </si>
  <si>
    <t>https://sig.aminerals.cl/imgdyn/rest/services/CL_MLP_PAO/CL_MLP_PAO_IF_Ortho_ALL/ImageServer/file?id=.%5CEl_Mauro_Drone%5C25_08_13%5CCL_MLP_PAO_IF_Ortho_25_08_13_Linea_33_kV_NorteElMauro_Area9_9.tiff</t>
  </si>
  <si>
    <t>FE3CA52EFBCCA4192C5671B747CB3015</t>
  </si>
  <si>
    <t>https://sig.aminerals.cl/imgdyn/rest/services/CL_MLP_PAO/CL_MLP_PAO_IF_Ortho_ALL/ImageServer/file?id=.%5CEl_Mauro_Drone%5C25_08_20%5CCL_MLP_PAO_IF_Ortho_25_08_20_Linea_33_kV_NorteElMauro_Area7_7.tiff</t>
  </si>
  <si>
    <t>E75E9A8731F84C765CC3AC9A852C7415</t>
  </si>
  <si>
    <t>https://sig.aminerals.cl/imgdyn/rest/services/CL_MLP_PAO/CL_MLP_PAO_IF_Ortho_ALL/ImageServer/file?id=.%5CEl_Mauro_Drone%5C25_08_20%5CCL_MLP_PAO_IF_Ortho_25_08_20_Linea_33_kV_NorteElMauro_Area8_8.tiff</t>
  </si>
  <si>
    <t>D8A9CE79559AB5C8C93B183DCC5F48A9</t>
  </si>
  <si>
    <t>https://sig.aminerals.cl/imgdyn/rest/services/CL_MLP_PAO/CL_MLP_PAO_IF_Ortho_ALL/ImageServer/file?id=.%5CEl_Mauro_Puerto_Punta_Chungo_Drone%5C25_03_10%5CCL_MLP_PAO_IF_Ortho_25_03_10_NSTC_116a118.tiff</t>
  </si>
  <si>
    <t>2282715E6D3735053E8DF8E684F87290</t>
  </si>
  <si>
    <t>https://sig.aminerals.cl/imgdyn/rest/services/CL_MLP_PAO/CL_MLP_PAO_IF_Ortho_ALL/ImageServer/file?id=.%5CEl_Mauro_Puerto_Punta_Chungo_Drone%5C25_03_10%5CCL_MLP_PAO_IF_Ortho_25_03_10_NSTC_118a120.tiff</t>
  </si>
  <si>
    <t>76057B833BFE9675994B9B0128A05311</t>
  </si>
  <si>
    <t>https://sig.aminerals.cl/imgdyn/rest/services/CL_MLP_PAO/CL_MLP_PAO_IF_Ortho_ALL/ImageServer/file?id=.%5CEl_Mauro_Puerto_Punta_Chungo_Drone%5C25_03_17%5CCL_MLP_PAO_IF_Ortho_25_03_17_NSTC_Km_120_a_121.tif</t>
  </si>
  <si>
    <t>5400232BE5BBD96EC0672E9B713C053B</t>
  </si>
  <si>
    <t>https://sig.aminerals.cl/imgdyn/rest/services/CL_MLP_PAO/CL_MLP_PAO_IF_Ortho_ALL/ImageServer/file?id=.%5CEl_Mauro_Puerto_Punta_Chungo_Drone%5C25_03_19%5CCL_MLP_PAO_IF_Ortho_25_03_19_Orejas16_Ruta-D-865.tiff</t>
  </si>
  <si>
    <t>7AF5C9F960ACD01A73C54CCC5698ABA8</t>
  </si>
  <si>
    <t>https://sig.aminerals.cl/imgdyn/rest/services/CL_MLP_PAO/CL_MLP_PAO_IF_Ortho_ALL/ImageServer/file?id=.%5CEl_Mauro_Puerto_Punta_Chungo_Drone%5C25_03_19%5CCL_MLP_PAO_IF_Ortho_25_03_19_Orejas17_Ruta-D-865.tiff</t>
  </si>
  <si>
    <t>E7DBBE832568E31A4ECB25569755D286</t>
  </si>
  <si>
    <t>https://sig.aminerals.cl/imgdyn/rest/services/CL_MLP_PAO/CL_MLP_PAO_IF_Ortho_ALL/ImageServer/file?id=.%5CEl_Mauro_Puerto_Punta_Chungo_Drone%5C25_03_19%5CCL_MLP_PAO_IF_Ortho_25_03_19_Orejas18.tiff</t>
  </si>
  <si>
    <t>6C7F243BA2DD590A7EBD309F93F78C51</t>
  </si>
  <si>
    <t>https://sig.aminerals.cl/imgdyn/rest/services/CL_MLP_PAO/CL_MLP_PAO_IF_Ortho_ALL/ImageServer/file?id=.%5CEl_Mauro_Puerto_Punta_Chungo_Drone%5C25_03_31%5CCL_MLP_PAO_IF_Ortho_25_03_31_EB2.tiff</t>
  </si>
  <si>
    <t>01B18A911D7D0B2A588F2D6109CE91C9</t>
  </si>
  <si>
    <t>https://sig.aminerals.cl/imgdyn/rest/services/CL_MLP_PAO/CL_MLP_PAO_IF_Ortho_ALL/ImageServer/file?id=.%5CEl_Mauro_Puerto_Punta_Chungo_Drone%5C25_03_31%5CCL_MLP_PAO_IF_Ortho_25_03_31_EV2.tiff</t>
  </si>
  <si>
    <t>CL_MLP_PAO_IF_Ortho_25_04_10_Ruta-D-865_01</t>
  </si>
  <si>
    <t>0B21CF49587770AD27C33CEDC0A83BDB</t>
  </si>
  <si>
    <t>https://sig.aminerals.cl/imgdyn/rest/services/CL_MLP_PAO/CL_MLP_PAO_IF_Ortho_ALL/ImageServer/file?id=.%5CEl_Mauro_Puerto_Punta_Chungo_Drone%5C25_04_10%5CCL_MLP_PAO_IF_Ortho_25_04_10_Ruta-D-865_01.tiff</t>
  </si>
  <si>
    <t>CL_MLP_PAO_IF_Ortho_25_04_10_Ruta-D-865_02</t>
  </si>
  <si>
    <t>18979B999291552C7038C3F14866D204</t>
  </si>
  <si>
    <t>https://sig.aminerals.cl/imgdyn/rest/services/CL_MLP_PAO/CL_MLP_PAO_IF_Ortho_ALL/ImageServer/file?id=.%5CEl_Mauro_Puerto_Punta_Chungo_Drone%5C25_04_10%5CCL_MLP_PAO_IF_Ortho_25_04_10_Ruta-D-865_02.tiff</t>
  </si>
  <si>
    <t>CL_MLP_PAO_IF_Ortho_25_04_10_Ruta-D-865_03</t>
  </si>
  <si>
    <t>52B2CB7F321BDED27C4DF4242F0C4016</t>
  </si>
  <si>
    <t>https://sig.aminerals.cl/imgdyn/rest/services/CL_MLP_PAO/CL_MLP_PAO_IF_Ortho_ALL/ImageServer/file?id=.%5CEl_Mauro_Puerto_Punta_Chungo_Drone%5C25_04_10%5CCL_MLP_PAO_IF_Ortho_25_04_10_Ruta-D-865_03.tiff</t>
  </si>
  <si>
    <t>CL_MLP_PAO_IF_Ortho_25_04_10_Ruta-D-865_04</t>
  </si>
  <si>
    <t>D95F94D4D32C90EA210CF2A1DD606AE6</t>
  </si>
  <si>
    <t>https://sig.aminerals.cl/imgdyn/rest/services/CL_MLP_PAO/CL_MLP_PAO_IF_Ortho_ALL/ImageServer/file?id=.%5CEl_Mauro_Puerto_Punta_Chungo_Drone%5C25_04_10%5CCL_MLP_PAO_IF_Ortho_25_04_10_Ruta-D-865_04.tiff</t>
  </si>
  <si>
    <t>CL_MLP_PAO_IF_Ortho_25_04_10_Ruta-D-865_05</t>
  </si>
  <si>
    <t>16A7701AF6393750DDBDDB5FDEE6562D</t>
  </si>
  <si>
    <t>https://sig.aminerals.cl/imgdyn/rest/services/CL_MLP_PAO/CL_MLP_PAO_IF_Ortho_ALL/ImageServer/file?id=.%5CEl_Mauro_Puerto_Punta_Chungo_Drone%5C25_04_10%5CCL_MLP_PAO_IF_Ortho_25_04_10_Ruta-D-865_05.tiff</t>
  </si>
  <si>
    <t>CL_MLP_PAO_IF_Ortho_25_05_07_Monte-Aranda-84p2-a-82p3-01</t>
  </si>
  <si>
    <t>86DF068D23C7FD5F61151D15057A9883</t>
  </si>
  <si>
    <t>https://sig.aminerals.cl/imgdyn/rest/services/CL_MLP_PAO/CL_MLP_PAO_IF_Ortho_ALL/ImageServer/file?id=.%5CEl_Mauro_Puerto_Punta_Chungo_Drone%5C25_05_07%5CCL_MLP_PAO_IF_Ortho_25_05_07_Monte-Aranda-84p2-a-82p3-01.tiff</t>
  </si>
  <si>
    <t>CL_MLP_PAO_IF_Ortho_25_05_07_Monte-Aranda-84p2-a-82p3-02</t>
  </si>
  <si>
    <t>8EDED0CF2266E9AC2453D50D385DA927</t>
  </si>
  <si>
    <t>https://sig.aminerals.cl/imgdyn/rest/services/CL_MLP_PAO/CL_MLP_PAO_IF_Ortho_ALL/ImageServer/file?id=.%5CEl_Mauro_Puerto_Punta_Chungo_Drone%5C25_05_07%5CCL_MLP_PAO_IF_Ortho_25_05_07_Monte-Aranda-84p2-a-82p3-02.tiff</t>
  </si>
  <si>
    <t>CL_MLP_PAO_IF_Ortho_25_05_07_Monte-Aranda-84p2-a-82p3-03</t>
  </si>
  <si>
    <t>B924FB5689C3E958F597A27F7B9D4D61</t>
  </si>
  <si>
    <t>https://sig.aminerals.cl/imgdyn/rest/services/CL_MLP_PAO/CL_MLP_PAO_IF_Ortho_ALL/ImageServer/file?id=.%5CEl_Mauro_Puerto_Punta_Chungo_Drone%5C25_05_07%5CCL_MLP_PAO_IF_Ortho_25_05_07_Monte-Aranda-84p2-a-82p3-03.tiff</t>
  </si>
  <si>
    <t>CL_MLP_PAO_IF_Ortho_25_05_07_Monte-Aranda-84p2-a-82p3-04</t>
  </si>
  <si>
    <t>8B8DDB548608F8817267E6530843613D</t>
  </si>
  <si>
    <t>https://sig.aminerals.cl/imgdyn/rest/services/CL_MLP_PAO/CL_MLP_PAO_IF_Ortho_ALL/ImageServer/file?id=.%5CEl_Mauro_Puerto_Punta_Chungo_Drone%5C25_05_07%5CCL_MLP_PAO_IF_Ortho_25_05_07_Monte-Aranda-84p2-a-82p3-04.tiff</t>
  </si>
  <si>
    <t>CL_MLP_PAO_IF_Ortho_25_05_07_Ruta-D-377-E01</t>
  </si>
  <si>
    <t>229DC1F9B7760D08C434D3FD7C4224CF</t>
  </si>
  <si>
    <t>https://sig.aminerals.cl/imgdyn/rest/services/CL_MLP_PAO/CL_MLP_PAO_IF_Ortho_ALL/ImageServer/file?id=.%5CEl_Mauro_Puerto_Punta_Chungo_Drone%5C25_05_07%5CCL_MLP_PAO_IF_Ortho_25_05_07_Ruta-D-377-E01.tiff</t>
  </si>
  <si>
    <t>CL_MLP_PAO_IF_Ortho_25_05_07_Ruta-D-377-E02</t>
  </si>
  <si>
    <t>AD5C91931F0BD60E3F426C6CE403282E</t>
  </si>
  <si>
    <t>https://sig.aminerals.cl/imgdyn/rest/services/CL_MLP_PAO/CL_MLP_PAO_IF_Ortho_ALL/ImageServer/file?id=.%5CEl_Mauro_Puerto_Punta_Chungo_Drone%5C25_05_07%5CCL_MLP_PAO_IF_Ortho_25_05_07_Ruta-D-377-E02.tiff</t>
  </si>
  <si>
    <t>CL_MLP_PAO_IF_Ortho_25_05_07_Ruta-D-377-E03</t>
  </si>
  <si>
    <t>E9DF395B3EB9C3060108BF9AF1A2679F</t>
  </si>
  <si>
    <t>https://sig.aminerals.cl/imgdyn/rest/services/CL_MLP_PAO/CL_MLP_PAO_IF_Ortho_ALL/ImageServer/file?id=.%5CEl_Mauro_Puerto_Punta_Chungo_Drone%5C25_05_07%5CCL_MLP_PAO_IF_Ortho_25_05_07_Ruta-D-377-E03.tiff</t>
  </si>
  <si>
    <t>CL_MLP_PAO_IF_Ortho_25_05_12_IIFF15-Campamento-Tipay-01</t>
  </si>
  <si>
    <t>02D9A470DD95F23FE26FD4048C2CFD04</t>
  </si>
  <si>
    <t>https://sig.aminerals.cl/imgdyn/rest/services/CL_MLP_PAO/CL_MLP_PAO_IF_Ortho_ALL/ImageServer/file?id=.%5CEl_Mauro_Puerto_Punta_Chungo_Drone%5C25_05_12%5CCL_MLP_PAO_IF_Ortho_25_05_12_IIFF15-Campamento-Tipay-01.tiff</t>
  </si>
  <si>
    <t>CL_MLP_PAO_IF_Ortho_25_05_12_IIFF15-Campamento-Tipay-02</t>
  </si>
  <si>
    <t>93CA63C7FEEDA57F3A2ACCA48632FCD8</t>
  </si>
  <si>
    <t>https://sig.aminerals.cl/imgdyn/rest/services/CL_MLP_PAO/CL_MLP_PAO_IF_Ortho_ALL/ImageServer/file?id=.%5CEl_Mauro_Puerto_Punta_Chungo_Drone%5C25_05_12%5CCL_MLP_PAO_IF_Ortho_25_05_12_IIFF15-Campamento-Tipay-02.tiff</t>
  </si>
  <si>
    <t>CL_MLP_PAO_IF_Ortho_25_05_12_IIFF15-Campamento-Tipay-03</t>
  </si>
  <si>
    <t>96BD5B0D2A0277C3D8FB5A68D1731F76</t>
  </si>
  <si>
    <t>https://sig.aminerals.cl/imgdyn/rest/services/CL_MLP_PAO/CL_MLP_PAO_IF_Ortho_ALL/ImageServer/file?id=.%5CEl_Mauro_Puerto_Punta_Chungo_Drone%5C25_05_12%5CCL_MLP_PAO_IF_Ortho_25_05_12_IIFF15-Campamento-Tipay-03.tiff</t>
  </si>
  <si>
    <t>CL_MLP_PAO_IF_Ortho_25_05_12_IIFF15-Campamento-Tipay-04</t>
  </si>
  <si>
    <t>5389157C637C9CD3C097083308876E6B</t>
  </si>
  <si>
    <t>https://sig.aminerals.cl/imgdyn/rest/services/CL_MLP_PAO/CL_MLP_PAO_IF_Ortho_ALL/ImageServer/file?id=.%5CEl_Mauro_Puerto_Punta_Chungo_Drone%5C25_05_12%5CCL_MLP_PAO_IF_Ortho_25_05_12_IIFF15-Campamento-Tipay-04.tiff</t>
  </si>
  <si>
    <t>CL_MLP_PAO_IF_Ortho_25_05_12_IIFF15-Campamento-Tipay-05</t>
  </si>
  <si>
    <t>49613F792A228FBC19531CB0E053AC0D</t>
  </si>
  <si>
    <t>https://sig.aminerals.cl/imgdyn/rest/services/CL_MLP_PAO/CL_MLP_PAO_IF_Ortho_ALL/ImageServer/file?id=.%5CEl_Mauro_Puerto_Punta_Chungo_Drone%5C25_05_12%5CCL_MLP_PAO_IF_Ortho_25_05_12_IIFF15-Campamento-Tipay-05.tiff</t>
  </si>
  <si>
    <t>CL_MLP_PAO_IF_Ortho_25_05_12_IIFF15-Campamento-Tipay-06</t>
  </si>
  <si>
    <t>832A1A0979F707D677745B45EB2A8F5A</t>
  </si>
  <si>
    <t>https://sig.aminerals.cl/imgdyn/rest/services/CL_MLP_PAO/CL_MLP_PAO_IF_Ortho_ALL/ImageServer/file?id=.%5CEl_Mauro_Puerto_Punta_Chungo_Drone%5C25_05_12%5CCL_MLP_PAO_IF_Ortho_25_05_12_IIFF15-Campamento-Tipay-06.tiff</t>
  </si>
  <si>
    <t>30D7231D867E38232DA20DD95C7E7690</t>
  </si>
  <si>
    <t>https://sig.aminerals.cl/imgdyn/rest/services/CL_MLP_PAO/CL_MLP_PAO_IF_Ortho_ALL/ImageServer/file?id=.%5CEl_Mauro_Puerto_Punta_Chungo_Drone%5C25_05_29%5CCL_MLP_PAO_IF_Ortho_25_05_29_DME5A_DME17_a_NSTC_78p9.tiff</t>
  </si>
  <si>
    <t>0D4493C51AC239DF2608710C7A085B6F</t>
  </si>
  <si>
    <t>https://sig.aminerals.cl/imgdyn/rest/services/CL_MLP_PAO/CL_MLP_PAO_IF_Ortho_ALL/ImageServer/file?id=.%5CEl_Mauro_Puerto_Punta_Chungo_Drone%5C25_06_05%5CCL_MLP_PAO_IF_Ortho_25_06_05_33-kV-NSTC-km-75p5-a-76p4.tiff</t>
  </si>
  <si>
    <t>8BBD524FF320D20AA8CD68FB48DEEDDC</t>
  </si>
  <si>
    <t>https://sig.aminerals.cl/imgdyn/rest/services/CL_MLP_PAO/CL_MLP_PAO_IF_Ortho_ALL/ImageServer/file?id=.%5CEl_Mauro_Puerto_Punta_Chungo_Drone%5C25_06_09%5CCL_MLP_PAO_IF_Ortho_25_06_09_EB2.tiff</t>
  </si>
  <si>
    <t>9797D1299042279E18A89A1B26880892</t>
  </si>
  <si>
    <t>https://sig.aminerals.cl/imgdyn/rest/services/CL_MLP_PAO/CL_MLP_PAO_IF_Ortho_ALL/ImageServer/file?id=.%5CEl_Mauro_Puerto_Punta_Chungo_Drone%5C25_06_09%5CCL_MLP_PAO_IF_Ortho_25_06_09_EV2.tiff</t>
  </si>
  <si>
    <t>60BD4DAE3CF004AE1B177DFD81D1C1D0</t>
  </si>
  <si>
    <t>https://sig.aminerals.cl/imgdyn/rest/services/CL_MLP_PAO/CL_MLP_PAO_IF_Ortho_ALL/ImageServer/file?id=.%5CEl_Mauro_Puerto_Punta_Chungo_Drone%5C25_06_09%5CCL_MLP_PAO_IF_Ortho_25_06_09_EV2_a_NSTC_Km_87p1.tiff</t>
  </si>
  <si>
    <t>260C84684816A782CE5FB23A3BABF5ED</t>
  </si>
  <si>
    <t>https://sig.aminerals.cl/imgdyn/rest/services/CL_MLP_PAO/CL_MLP_PAO_IF_Ortho_ALL/ImageServer/file?id=.%5CEl_Mauro_Puerto_Punta_Chungo_Drone%5C25_06_09%5CCL_MLP_PAO_IF_Ortho_25_06_09_Tramo_EV2_a_EB2.tiff</t>
  </si>
  <si>
    <t>498C0C345E0C39E2F68DA4B74BC2E24E</t>
  </si>
  <si>
    <t>https://sig.aminerals.cl/imgdyn/rest/services/CL_MLP_PAO/CL_MLP_PAO_IF_Ortho_ALL/ImageServer/file?id=.%5CEl_Mauro_Puerto_Punta_Chungo_Drone%5C25_06_23%5CCL_MLP_PAO_IF_Ortho_25_06_23_NSTC_Km_121p5_a_123p5f.tiff</t>
  </si>
  <si>
    <t>89321439D4E43E0136FC7A5E98995595</t>
  </si>
  <si>
    <t>https://sig.aminerals.cl/imgdyn/rest/services/CL_MLP_PAO/CL_MLP_PAO_IF_Ortho_ALL/ImageServer/file?id=.%5CEl_Mauro_Puerto_Punta_Chungo_Drone%5C25_06_23%5CCL_MLP_PAO_IF_Ortho_25_06_23_NSTC_Km_123p5_a_124p7f.tiff</t>
  </si>
  <si>
    <t>C1909A1E71CEDD359275D8C55D9D1DBC</t>
  </si>
  <si>
    <t>https://sig.aminerals.cl/imgdyn/rest/services/CL_MLP_PAO/CL_MLP_PAO_IF_Ortho_ALL/ImageServer/file?id=.%5CEl_Mauro_Puerto_Punta_Chungo_Drone%5C25_06_26%5CCL_MLP_PAO_IF_Ortho_25_06_26_EV2.tiff</t>
  </si>
  <si>
    <t>E64739B6A658F2A1C98CC34DA8DA972A</t>
  </si>
  <si>
    <t>https://sig.aminerals.cl/imgdyn/rest/services/CL_MLP_PAO/CL_MLP_PAO_IF_Ortho_ALL/ImageServer/file?id=.%5CEl_Mauro_Puerto_Punta_Chungo_Drone%5C25_06_26%5CCL_MLP_PAO_IF_Ortho_25_06_26_Monte_Aranda_82p3_a_80p7.tiff</t>
  </si>
  <si>
    <t>FA77E4A266C7C1F881E199124ABB6DD8</t>
  </si>
  <si>
    <t>https://sig.aminerals.cl/imgdyn/rest/services/CL_MLP_PAO/CL_MLP_PAO_IF_Ortho_ALL/ImageServer/file?id=.%5CEl_Mauro_Puerto_Punta_Chungo_Drone%5C25_06_26%5CCL_MLP_PAO_IF_Ortho_25_06_26_Monte_Aranda_84p2_a_82p3.tiff</t>
  </si>
  <si>
    <t>061DF62584303EE6D6B8502F5C76A059</t>
  </si>
  <si>
    <t>https://sig.aminerals.cl/imgdyn/rest/services/CL_MLP_PAO/CL_MLP_PAO_IF_Ortho_ALL/ImageServer/file?id=.%5CEl_Mauro_Puerto_Punta_Chungo_Drone%5C25_06_26%5CCL_MLP_PAO_IF_Ortho_25_06_26_Tramo_EV2_a_EB2.tiff</t>
  </si>
  <si>
    <t>08600D45546CE9B8C7C17244BDBC39D7</t>
  </si>
  <si>
    <t>https://sig.aminerals.cl/imgdyn/rest/services/CL_MLP_PAO/CL_MLP_PAO_IF_Ortho_ALL/ImageServer/file?id=.%5CEl_Mauro_Puerto_Punta_Chungo_Drone%5C25_07_09%5CCL_MLP_PAO_IF_Ortho_25_07_09_NSTC_Km_100_a_101.tiff</t>
  </si>
  <si>
    <t>53C3AD70C87670D4D3F11648EB54DA67</t>
  </si>
  <si>
    <t>https://sig.aminerals.cl/imgdyn/rest/services/CL_MLP_PAO/CL_MLP_PAO_IF_Ortho_ALL/ImageServer/file?id=.%5CEl_Mauro_Puerto_Punta_Chungo_Drone%5C25_07_15%5CCL_MLP_PAO_IF_Ortho_25_07_15_NSTC_Km_101_a_102f.tiff</t>
  </si>
  <si>
    <t>0D2845F6F771206D2EC703EA689EE96C</t>
  </si>
  <si>
    <t>https://sig.aminerals.cl/imgdyn/rest/services/CL_MLP_PAO/CL_MLP_PAO_IF_Ortho_ALL/ImageServer/file?id=.%5CEl_Mauro_Puerto_Punta_Chungo_Drone%5C25_07_15%5CCL_MLP_PAO_IF_Ortho_25_07_15_NSTC_Km_102_a_103p2f.tiff</t>
  </si>
  <si>
    <t>6C6D694AC59D6A695ED978B20383B390</t>
  </si>
  <si>
    <t>https://sig.aminerals.cl/imgdyn/rest/services/CL_MLP_PAO/CL_MLP_PAO_IF_Ortho_ALL/ImageServer/file?id=.%5CEl_Mauro_Puerto_Punta_Chungo_Drone%5C25_07_15%5CCL_MLP_PAO_IF_Ortho_25_07_15_Oreja_16_NSTC_103p3_a_103p8_2f.tiff</t>
  </si>
  <si>
    <t>84AE199F2C69D9233440D788A831528E</t>
  </si>
  <si>
    <t>https://sig.aminerals.cl/imgdyn/rest/services/CL_MLP_PAO/CL_MLP_PAO_IF_Ortho_ALL/ImageServer/file?id=.%5CEl_Mauro_Puerto_Punta_Chungo_Drone%5C25_07_15%5CCL_MLP_PAO_IF_Ortho_25_07_15_Oreja_17_NSTC_103p7_a_104p9_2f.tiff</t>
  </si>
  <si>
    <t>8118748C7268B5E1FD7F2801C4C630EC</t>
  </si>
  <si>
    <t>https://sig.aminerals.cl/imgdyn/rest/services/CL_MLP_PAO/CL_MLP_PAO_IF_Ortho_ALL/ImageServer/file?id=.%5CEl_Mauro_Puerto_Punta_Chungo_Drone%5C25_07_16%5CCL_MLP_PAO_IF_Ortho_25_07_16_NSTC_Km_105p6_a_107f.tiff</t>
  </si>
  <si>
    <t>F5BDFE01F46B34130461DFB7AA620AEB</t>
  </si>
  <si>
    <t>https://sig.aminerals.cl/imgdyn/rest/services/CL_MLP_PAO/CL_MLP_PAO_IF_Ortho_ALL/ImageServer/file?id=.%5CEl_Mauro_Puerto_Punta_Chungo_Drone%5C25_07_16%5CCL_MLP_PAO_IF_Ortho_25_07_16_NSTC_Km_99_a_100f.tiff</t>
  </si>
  <si>
    <t>A81DD20992FE9D3B8043813B9B8DF0D0</t>
  </si>
  <si>
    <t>https://sig.aminerals.cl/imgdyn/rest/services/CL_MLP_PAO/CL_MLP_PAO_IF_Ortho_ALL/ImageServer/file?id=.%5CEl_Mauro_Puerto_Punta_Chungo_Drone%5C25_07_16%5CCL_MLP_PAO_IF_Ortho_25_07_16_Oreja_18_NSTC_104p9_a_105p6_2f.tiff</t>
  </si>
  <si>
    <t>FACC058A2D11F6C893247F57D9D0A014</t>
  </si>
  <si>
    <t>https://sig.aminerals.cl/imgdyn/rest/services/CL_MLP_PAO/CL_MLP_PAO_IF_Ortho_ALL/ImageServer/file?id=.%5CEl_Mauro_Puerto_Punta_Chungo_Drone%5C25_07_22%5CCL_MLP_PAO_IF_Ortho_25_07_22_NSTC_Km_107_a_108.tiff</t>
  </si>
  <si>
    <t>751BC1B1163F5C273F7CCB02A675CCF6</t>
  </si>
  <si>
    <t>https://sig.aminerals.cl/imgdyn/rest/services/CL_MLP_PAO/CL_MLP_PAO_IF_Ortho_ALL/ImageServer/file?id=.%5CEl_Mauro_Puerto_Punta_Chungo_Drone%5C25_07_22%5CCL_MLP_PAO_IF_Ortho_25_07_22_NSTC_Km_108_a_109p1.tiff</t>
  </si>
  <si>
    <t>6ED4A5F2590782921BB0454F666BEE3C</t>
  </si>
  <si>
    <t>https://sig.aminerals.cl/imgdyn/rest/services/CL_MLP_PAO/CL_MLP_PAO_IF_Ortho_ALL/ImageServer/file?id=.%5CEl_Mauro_Puerto_Punta_Chungo_Drone%5C25_07_22%5CCL_MLP_PAO_IF_Ortho_25_07_22_NSTC_Km_109p1_a_110.tiff</t>
  </si>
  <si>
    <t>CBBFCA0AB1103E2D3A0B05BA3E6E2226</t>
  </si>
  <si>
    <t>https://sig.aminerals.cl/imgdyn/rest/services/CL_MLP_PAO/CL_MLP_PAO_IF_Ortho_ALL/ImageServer/file?id=.%5CEl_Mauro_Puerto_Punta_Chungo_Drone%5C25_07_22%5CCL_MLP_PAO_IF_Ortho_25_07_22_NSTC_Km_110_a_111.tiff</t>
  </si>
  <si>
    <t>E533969E033C584A1B11AC66B5D726B2</t>
  </si>
  <si>
    <t>https://sig.aminerals.cl/imgdyn/rest/services/CL_MLP_PAO/CL_MLP_PAO_IF_Ortho_ALL/ImageServer/file?id=.%5CEl_Mauro_Puerto_Punta_Chungo_Drone%5C25_07_22%5CCL_MLP_PAO_IF_Ortho_25_07_22_NSTC_Km_111_a_112.tiff</t>
  </si>
  <si>
    <t>0C075F66D8302F7491F15941E056C304</t>
  </si>
  <si>
    <t>https://sig.aminerals.cl/imgdyn/rest/services/CL_MLP_PAO/CL_MLP_PAO_IF_Ortho_ALL/ImageServer/file?id=.%5CPuerto_Punta_Chungo_Drone%5C25_01_08%5CCL_MLP_PAO_IF_Ortho_25_01_08_EB1.tif</t>
  </si>
  <si>
    <t>CL_MLP_PAO_IF_Ortho_25_05_12_EDT-Completa-01</t>
  </si>
  <si>
    <t>409D1730AC1C2DA0033DE23719E63E0E</t>
  </si>
  <si>
    <t>https://sig.aminerals.cl/imgdyn/rest/services/CL_MLP_PAO/CL_MLP_PAO_IF_Ortho_ALL/ImageServer/file?id=.%5CPuerto_Punta_Chungo_Drone%5C25_05_12%5CCL_MLP_PAO_IF_Ortho_25_05_12_EDT-Completa-01.tif</t>
  </si>
  <si>
    <t>CL_MLP_PAO_IF_Ortho_25_05_12_EDT-Completa-02</t>
  </si>
  <si>
    <t>FF7B9D7261F2D05ED465A85CE2451EA9</t>
  </si>
  <si>
    <t>https://sig.aminerals.cl/imgdyn/rest/services/CL_MLP_PAO/CL_MLP_PAO_IF_Ortho_ALL/ImageServer/file?id=.%5CPuerto_Punta_Chungo_Drone%5C25_05_12%5CCL_MLP_PAO_IF_Ortho_25_05_12_EDT-Completa-02.tif</t>
  </si>
  <si>
    <t>CL_MLP_PAO_IF_Ortho_25_05_12_EDT-Completa-03</t>
  </si>
  <si>
    <t>C2CA137354DE70CAA4888E021F61F5EB</t>
  </si>
  <si>
    <t>https://sig.aminerals.cl/imgdyn/rest/services/CL_MLP_PAO/CL_MLP_PAO_IF_Ortho_ALL/ImageServer/file?id=.%5CPuerto_Punta_Chungo_Drone%5C25_05_12%5CCL_MLP_PAO_IF_Ortho_25_05_12_EDT-Completa-03.tif</t>
  </si>
  <si>
    <t>CL_MLP_PAO_IF_Ortho_25_05_12_EDT-Completa-04</t>
  </si>
  <si>
    <t>7FF66CAFE00393621691308F9A5A571A</t>
  </si>
  <si>
    <t>https://sig.aminerals.cl/imgdyn/rest/services/CL_MLP_PAO/CL_MLP_PAO_IF_Ortho_ALL/ImageServer/file?id=.%5CPuerto_Punta_Chungo_Drone%5C25_05_12%5CCL_MLP_PAO_IF_Ortho_25_05_12_EDT-Completa-04.tif</t>
  </si>
  <si>
    <t>CL_MLP_PAO_IF_Ortho_25_05_12_EDT-Completa-05</t>
  </si>
  <si>
    <t>3A45BEE352B3EE2C50F5279CEB1D60E2</t>
  </si>
  <si>
    <t>https://sig.aminerals.cl/imgdyn/rest/services/CL_MLP_PAO/CL_MLP_PAO_IF_Ortho_ALL/ImageServer/file?id=.%5CPuerto_Punta_Chungo_Drone%5C25_05_12%5CCL_MLP_PAO_IF_Ortho_25_05_12_EDT-Completa-05.tif</t>
  </si>
  <si>
    <t>CL_MLP_PAO_IF_Ortho_25_05_12_EDT-Completa-06</t>
  </si>
  <si>
    <t>8A11DC395A8EA0CAAF71416465DE6D34</t>
  </si>
  <si>
    <t>https://sig.aminerals.cl/imgdyn/rest/services/CL_MLP_PAO/CL_MLP_PAO_IF_Ortho_ALL/ImageServer/file?id=.%5CPuerto_Punta_Chungo_Drone%5C25_05_12%5CCL_MLP_PAO_IF_Ortho_25_05_12_EDT-Completa-06.tif</t>
  </si>
  <si>
    <t>19887A62A8DF1EB1C51E2AEEF5D6006C</t>
  </si>
  <si>
    <t>https://sig.aminerals.cl/imgdyn/rest/services/CL_MLP_PAO/CL_MLP_PAO_IF_Ortho_ALL/ImageServer/file?id=.%5CEl_Mauro_Drone%5C25_08_26%5CCL_MLP_PAO_IF_Ortho_25_08_26_Linea_33_kV_NorteElMauro_Area5_5.tiff</t>
  </si>
  <si>
    <t>6D46E0507B58023D29CE3EE7308AACDC</t>
  </si>
  <si>
    <t>https://sig.aminerals.cl/imgdyn/rest/services/CL_MLP_PAO/CL_MLP_PAO_IF_Ortho_ALL/ImageServer/file?id=.%5CEl_Mauro_Drone%5C25_08_26%5CCL_MLP_PAO_IF_Ortho_25_08_26_Linea_33_kV_NorteElMauro_Area6_6.tiff</t>
  </si>
  <si>
    <t>EC93DC9F76C84C680541D1DC2DE72938</t>
  </si>
  <si>
    <t>https://sig.aminerals.cl/imgdyn/rest/services/CL_MLP_PAO/CL_MLP_PAO_IF_Ortho_ALL/ImageServer/file?id=.%5CEl_Mauro_Drone%5C25_08_28%5CCL_MLP_PAO_IF_Ortho_25_08_28_Linea_33_kV_NorteElMauro_Area3_3.tiff</t>
  </si>
  <si>
    <t>5E1A5D0DEFB3F244FD9DE57FA3E6E692</t>
  </si>
  <si>
    <t>https://sig.aminerals.cl/imgdyn/rest/services/CL_MLP_PAO/CL_MLP_PAO_IF_Ortho_ALL/ImageServer/file?id=.%5CEl_Mauro_Drone%5C25_08_28%5CCL_MLP_PAO_IF_Ortho_25_08_28_Linea_33_kV_NorteElMauro_Area4_4.tiff</t>
  </si>
  <si>
    <t>CL_MLP_PAO_IF_Ortho_25_08_28_DME5C_DME_16_a_NSTC_79p4</t>
  </si>
  <si>
    <t>0A03DC632DD3B69693310A7904BE7C94</t>
  </si>
  <si>
    <t>https://sig.aminerals.cl/imgdyn/rest/services/CL_MLP_PAO/CL_MLP_PAO_IF_Ortho_ALL/ImageServer/file?id=.%5CEl_Mauro_Puerto_Punta_Chungo_Drone%5C25_08_28%5CCL_MLP_PAO_IF_Ortho_25_08_28_DME5C_DME_16_a_NSTC_79p4.tiff</t>
  </si>
  <si>
    <t>CL_MLP_PAO_IF_Ortho_25_08_28_Instalacion_FaenaN15_Alrededores_Tipay_2</t>
  </si>
  <si>
    <t>B285A5A3513F423D650CC78E4A5A1976</t>
  </si>
  <si>
    <t>https://sig.aminerals.cl/imgdyn/rest/services/CL_MLP_PAO/CL_MLP_PAO_IF_Ortho_ALL/ImageServer/file?id=.%5CEl_Mauro_Puerto_Punta_Chungo_Drone%5C25_08_28%5CCL_MLP_PAO_IF_Ortho_25_08_28_Instalacion_FaenaN15_Alrededores_Tipay_2.tiff</t>
  </si>
  <si>
    <t>ALL</t>
  </si>
  <si>
    <t>Ov_i16_L01_R00005430_C0000471B</t>
  </si>
  <si>
    <t>Ov_i16_L01_R00005430_C0000471C</t>
  </si>
  <si>
    <t>Ov_i16_L01_R00005431_C0000471B</t>
  </si>
  <si>
    <t>Ov_i16_L01_R00005431_C0000471C</t>
  </si>
  <si>
    <t>Ov_i16_L01_R00005432_C0000471C</t>
  </si>
  <si>
    <t>Ov_i16_L01_R00005432_C0000471D</t>
  </si>
  <si>
    <t>Ov_i16_L01_R00005433_C0000471C</t>
  </si>
  <si>
    <t>Ov_i16_L01_R00005433_C0000471D</t>
  </si>
  <si>
    <t>Ov_i16_L02_R00001C10_C000017B3</t>
  </si>
  <si>
    <t>Ov_i16_L02_R00001C10_C000017B4</t>
  </si>
  <si>
    <t>Ov_i16_L02_R00001C11_C000017B4</t>
  </si>
  <si>
    <t>Ov_i16_L02_R00001C0B_C00001768</t>
  </si>
  <si>
    <t>Ov_i16_L02_R00001C0B_C00001769</t>
  </si>
  <si>
    <t>Ov_i16_L02_R00001C0B_C0000176A</t>
  </si>
  <si>
    <t>Ov_i16_L02_R00001C0C_C00001769</t>
  </si>
  <si>
    <t>Ov_i16_L02_R00001C0C_C0000176A</t>
  </si>
  <si>
    <t>Ov_i16_L02_R00001C09_C00001757</t>
  </si>
  <si>
    <t>Ov_i16_L02_R00001C09_C00001756</t>
  </si>
  <si>
    <t>Ov_i16_L03_R00000955_C000007D7</t>
  </si>
  <si>
    <t>Ov_i16_L03_R00000955_C000007D8</t>
  </si>
  <si>
    <t>Ov_i16_L03_R00000955_C000007D9</t>
  </si>
  <si>
    <t>Ov_i16_L03_R00000956_C000007D7</t>
  </si>
  <si>
    <t>Ov_i16_L03_R00000956_C000007D8</t>
  </si>
  <si>
    <t>Ov_i16_L03_R00000956_C000007D9</t>
  </si>
  <si>
    <t>Ov_i16_L03_R0000095A_C000007E6</t>
  </si>
  <si>
    <t>Ov_i16_L03_R0000095B_C000007E6</t>
  </si>
  <si>
    <t>Ov_i16_L03_R00000959_C000007CD</t>
  </si>
  <si>
    <t>Ov_i16_L03_R00000958_C000007CE</t>
  </si>
  <si>
    <t>Ov_i16_L03_R00000958_C000007CF</t>
  </si>
  <si>
    <t>Ov_i16_L03_R00000959_C000007CE</t>
  </si>
  <si>
    <t>Ov_i16_L03_R00000959_C000007CC</t>
  </si>
  <si>
    <t>Ov_i16_L03_R00000958_C000007C9</t>
  </si>
  <si>
    <t>Ov_i16_L03_R00000959_C000007C8</t>
  </si>
  <si>
    <t>Ov_i16_L03_R00000959_C000007C9</t>
  </si>
  <si>
    <t>Ov_i16_L03_R00000959_C000007CA</t>
  </si>
  <si>
    <t>Ov_i16_L03_R00000958_C000007E5</t>
  </si>
  <si>
    <t>Ov_i16_L03_R00000958_C000007E6</t>
  </si>
  <si>
    <t>Ov_i16_L03_R00000959_C000007E5</t>
  </si>
  <si>
    <t>Ov_i16_L03_R00000959_C000007E6</t>
  </si>
  <si>
    <t>Ov_i16_L03_R00000958_C000007DD</t>
  </si>
  <si>
    <t>Ov_i16_L03_R00000958_C000007E4</t>
  </si>
  <si>
    <t>Ov_i16_L03_R00000958_C000007C7</t>
  </si>
  <si>
    <t>Ov_i16_L03_R00000957_C000007DF</t>
  </si>
  <si>
    <t>Ov_i16_L03_R00000958_C000007DF</t>
  </si>
  <si>
    <t>Ov_i16_L03_R00000958_C000007DB</t>
  </si>
  <si>
    <t>Ov_i16_L03_R00000957_C000007DE</t>
  </si>
  <si>
    <t>Ov_i16_L03_R00000958_C000007DE</t>
  </si>
  <si>
    <t>Ov_i16_L03_R00000956_C000007D2</t>
  </si>
  <si>
    <t>Ov_i16_L03_R00000957_C000007D2</t>
  </si>
  <si>
    <t>Ov_i16_L03_R00000956_C000007DA</t>
  </si>
  <si>
    <t>Ov_i16_L03_R00000957_C000007DA</t>
  </si>
  <si>
    <t>Ov_i16_L03_R00000955_C000007D3</t>
  </si>
  <si>
    <t>Ov_i16_L03_R00000955_C000007D4</t>
  </si>
  <si>
    <t>Ov_i16_L03_R00000956_C000007D3</t>
  </si>
  <si>
    <t>Ov_i16_L03_R00000955_C000007D6</t>
  </si>
  <si>
    <t>Ov_i16_L03_R00000956_C000007D6</t>
  </si>
  <si>
    <t>Ov_i16_L03_R00000955_C000007D5</t>
  </si>
  <si>
    <t>Ov_i16_L03_R00000954_C000007D8</t>
  </si>
  <si>
    <t>Ov_i16_L04_R0000031C_C0000029D</t>
  </si>
  <si>
    <t>Ov_i16_L04_R0000031C_C0000029C</t>
  </si>
  <si>
    <t>Ov_i16_L04_R0000031C_C0000029B</t>
  </si>
  <si>
    <t>Ov_i16_L04_R0000031C_C0000029E</t>
  </si>
  <si>
    <t>Ov_i16_L04_R0000031D_C0000029E</t>
  </si>
  <si>
    <t>Ov_i16_L04_R0000031D_C0000029B</t>
  </si>
  <si>
    <t>Ov_i16_L04_R0000031D_C0000029F</t>
  </si>
  <si>
    <t>Ov_i16_L04_R0000031D_C000002A1</t>
  </si>
  <si>
    <t>Ov_i16_L04_R0000031D_C000002A2</t>
  </si>
  <si>
    <t>Ov_i16_L04_R0000031D_C00000297</t>
  </si>
  <si>
    <t>Ov_i16_L04_R0000031D_C00000298</t>
  </si>
  <si>
    <t>Ov_i16_L04_R0000031D_C00000299</t>
  </si>
  <si>
    <t>Ov_i16_L04_R0000031D_C0000029A</t>
  </si>
  <si>
    <t>Ov_i16_L04_R0000031E_C000002A2</t>
  </si>
  <si>
    <t>Ov_i16_L05_R00000109_C000000DF</t>
  </si>
  <si>
    <t>Ov_i16_L05_R00000109_C000000DE</t>
  </si>
  <si>
    <t>Ov_i16_L05_R00000109_C000000E0</t>
  </si>
  <si>
    <t>Ov_i16_L05_R00000109_C000000DD</t>
  </si>
  <si>
    <t>Ov_i16_L05_R0000010A_C000000E0</t>
  </si>
  <si>
    <t>Ov_i16_L06_R00000058_C0000004A</t>
  </si>
  <si>
    <t>Ov_i16_L06_R00000058_C00000049</t>
  </si>
  <si>
    <t>Ov_i16_L07_R0000001D_C00000018</t>
  </si>
  <si>
    <t>Ov_i16_L08_R00000009_C00000008</t>
  </si>
  <si>
    <t>Ov_i16_L01_R00005430_C0000471D</t>
  </si>
  <si>
    <t>Ov_i16_L01_R00005431_C0000471D</t>
  </si>
  <si>
    <t>Ov_i16_L01_R00005432_C0000471B</t>
  </si>
  <si>
    <t>Ov_i16_L01_R00005433_C0000471B</t>
  </si>
  <si>
    <t>Ov_i16_L02_R00001C11_C000017B3</t>
  </si>
  <si>
    <t>Ov_i16_L02_R00001C0C_C00001768</t>
  </si>
  <si>
    <t>Ov_i16_L03_R00000959_C000007CF</t>
  </si>
  <si>
    <t>Ov_i16_L03_R00000958_C000007C8</t>
  </si>
  <si>
    <t>TRANSVERSAL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</si>
</sst>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/d/yyyy"/>
    <numFmt numFmtId="165" formatCode="dd"/>
    <numFmt numFmtId="166" formatCode="m/d/yyyy\ h:mm"/>
    <numFmt numFmtId="167" formatCode="[$-340A]d&quot; de &quot;mmmm&quot; de &quot;yyyy;@"/>
  </numFmts>
  <fonts count="3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0000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2" borderId="0" xfId="0" applyFont="1" applyFill="1"/>
    <xf numFmtId="0" fontId="0" fillId="0" borderId="0" xfId="0" applyFont="1"/>
    <xf numFmtId="49" fontId="0" fillId="0" borderId="0" xfId="0" applyNumberFormat="1"/>
    <xf numFmtId="49" fontId="0" fillId="2" borderId="0" xfId="0" applyNumberFormat="1" applyFill="1"/>
    <xf numFmtId="164" fontId="0" fillId="0" borderId="0" xfId="0" applyNumberFormat="1"/>
    <xf numFmtId="11" fontId="0" fillId="0" borderId="0" xfId="0" applyNumberFormat="1" applyFont="1"/>
    <xf numFmtId="166" fontId="0" fillId="0" borderId="0" xfId="0" applyNumberFormat="1"/>
    <xf numFmtId="0" fontId="1" fillId="0" borderId="0" xfId="0" applyFont="1" applyFill="1"/>
    <xf numFmtId="167" fontId="1" fillId="0" borderId="0" xfId="0" applyNumberFormat="1" applyFont="1"/>
    <xf numFmtId="167" fontId="1" fillId="0" borderId="0" xfId="0" applyNumberFormat="1" applyFont="1" applyFill="1"/>
    <xf numFmtId="14" fontId="1" fillId="0" borderId="0" xfId="0" applyNumberFormat="1" applyFont="1"/>
  </cellXfs>
  <cellStyles count="1">
    <cellStyle name="Normal" xfId="0" builtinId="0"/>
  </cellStyles>
  <dxfs count="50">
    <dxf>
      <fill>
        <patternFill>
          <bgColor rgb="FFFFC000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theme="4" tint="0.39988402966399123"/>
        </patternFill>
      </fill>
    </dxf>
    <dxf>
      <fill>
        <patternFill>
          <bgColor rgb="FF7030A0"/>
        </patternFill>
      </fill>
    </dxf>
    <dxf>
      <fill>
        <patternFill>
          <bgColor theme="4" tint="0.39988402966399123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C:/Users/esrogarcia_adm/AppData/Roaming/Microsoft/Excel/Chacay_Dro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91"/>
  <sheetViews>
    <sheetView tabSelected="1" zoomScale="85" zoomScaleNormal="85" workbookViewId="0">
      <pane ySplit="1" topLeftCell="A472" activePane="bottomLeft" state="frozen"/>
      <selection pane="bottomLeft" activeCell="C490" sqref="C490"/>
    </sheetView>
  </sheetViews>
  <sheetFormatPr baseColWidth="10" defaultColWidth="11.42578125" defaultRowHeight="15" x14ac:dyDescent="0.25"/>
  <cols>
    <col min="1" max="1" width="11.42578125" style="1"/>
    <col min="2" max="2" width="85.140625" style="1" customWidth="1"/>
    <col min="3" max="3" width="75.28515625" style="1" customWidth="1"/>
    <col min="4" max="4" width="73.42578125" style="1" customWidth="1"/>
    <col min="5" max="5" width="39" style="1" customWidth="1"/>
    <col min="6" max="6" width="19.140625" style="1" customWidth="1"/>
    <col min="7" max="7" width="11.42578125" style="1"/>
    <col min="8" max="8" width="17.85546875" style="1" customWidth="1"/>
    <col min="9" max="9" width="24.140625" style="1" bestFit="1" customWidth="1"/>
    <col min="10" max="10" width="11.42578125" style="1"/>
    <col min="11" max="11" width="242.85546875" style="1" customWidth="1"/>
    <col min="12" max="18" width="11.42578125" style="1"/>
    <col min="19" max="19" width="37.28515625" style="1" customWidth="1"/>
    <col min="20" max="20" width="11.42578125" style="1"/>
    <col min="21" max="21" width="33.28515625" style="1" customWidth="1"/>
    <col min="22" max="22" width="39.28515625" style="1" customWidth="1"/>
    <col min="23" max="23" width="37.7109375" style="1" customWidth="1"/>
    <col min="24" max="24" width="14" style="1" customWidth="1"/>
    <col min="25" max="25" width="16.7109375" style="1" customWidth="1"/>
    <col min="26" max="26" width="47.42578125" style="1" customWidth="1"/>
    <col min="27" max="16384" width="11.42578125" style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" customHeight="1" x14ac:dyDescent="0.25">
      <c r="A2" s="1">
        <v>1</v>
      </c>
      <c r="B2" s="1" t="s">
        <v>26</v>
      </c>
      <c r="C2" s="1" t="str">
        <f>CONCATENATE(L2,"_",M2,"_",G2,"_",N2,"_",O2,"_",R2,"_",Q2,"_",P2,"_",E2,".tiff")</f>
        <v>CL_MLP_PAO_IF_Ortho_25_01_08_EB1.tiff</v>
      </c>
      <c r="D2" s="1" t="str">
        <f t="shared" ref="D2:D33" si="0">CONCATENATE(L2,"_",M2,"_",G2,"_",N2,"_",O2,"_",R2,"_",Q2,"_",P2,"_",E2)</f>
        <v>CL_MLP_PAO_IF_Ortho_25_01_08_EB1</v>
      </c>
      <c r="E2" s="1" t="s">
        <v>27</v>
      </c>
      <c r="F2" s="1" t="s">
        <v>28</v>
      </c>
      <c r="G2" s="1" t="s">
        <v>29</v>
      </c>
      <c r="H2" s="16">
        <v>45665.166666666701</v>
      </c>
      <c r="I2" s="16">
        <v>45868</v>
      </c>
      <c r="J2" s="1" t="s">
        <v>30</v>
      </c>
      <c r="K2" s="2" t="str">
        <f t="shared" ref="K2:K65" si="1">CONCATENATE("https://sig.aminerals.cl/imgdyn/rest/services/CL_MLP_PAO/",U2,"/","ImageServer/file?id=.\",S2,"\",R2,"_",Q2,"_",P2,"\",C2,"&amp;rasterId=")</f>
        <v>https://sig.aminerals.cl/imgdyn/rest/services/CL_MLP_PAO/CL_MLP_PAO_IF_Ortho_ALL/ImageServer/file?id=.\Puerto_Punta_Chungo_Drone\25_01_08\CL_MLP_PAO_IF_Ortho_25_01_08_EB1.tiff&amp;rasterId=</v>
      </c>
      <c r="L2" s="1" t="s">
        <v>31</v>
      </c>
      <c r="M2" s="1" t="s">
        <v>32</v>
      </c>
      <c r="N2" s="1" t="s">
        <v>33</v>
      </c>
      <c r="O2" s="1" t="s">
        <v>34</v>
      </c>
      <c r="P2" s="3" t="str">
        <f t="shared" ref="P2:P65" si="2">TEXT(H2,"dd")</f>
        <v>08</v>
      </c>
      <c r="Q2" s="3" t="str">
        <f t="shared" ref="Q2:Q65" si="3">TEXT(H2,"MM")</f>
        <v>01</v>
      </c>
      <c r="R2" s="3" t="str">
        <f t="shared" ref="R2:R65" si="4">TEXT(H2,"YY")</f>
        <v>25</v>
      </c>
      <c r="S2" s="1" t="s">
        <v>35</v>
      </c>
      <c r="T2" s="1">
        <v>1</v>
      </c>
      <c r="U2" s="1" t="s">
        <v>36</v>
      </c>
      <c r="V2" s="1" t="str">
        <f t="shared" ref="V2:V65" si="5">RIGHT(D2,LEN(D2)-29)</f>
        <v>EB1</v>
      </c>
      <c r="W2" s="1" t="str">
        <f>E2</f>
        <v>EB1</v>
      </c>
      <c r="X2" s="4" t="b">
        <f t="shared" ref="X2:X65" si="6">V2=W2</f>
        <v>1</v>
      </c>
      <c r="Y2" s="1" t="str">
        <f>VLOOKUP(D2,'Orden de Imagen'!$A$1:D142,4,FALSE())</f>
        <v>001</v>
      </c>
      <c r="Z2" s="1" t="str">
        <f t="shared" ref="Z2:Z65" si="7">CONCATENATE(Y2,"_",R2,"_",Q2,"_",P2,"_",E2)</f>
        <v>001_25_01_08_EB1</v>
      </c>
    </row>
    <row r="3" spans="1:26" ht="15" customHeight="1" x14ac:dyDescent="0.25">
      <c r="A3" s="1">
        <v>2</v>
      </c>
      <c r="B3" s="1" t="s">
        <v>37</v>
      </c>
      <c r="C3" s="1" t="s">
        <v>38</v>
      </c>
      <c r="D3" s="1" t="str">
        <f t="shared" si="0"/>
        <v>CL_MLP_PAO_IF_Ortho_25_02_26_Area1_Cuncumen-D835</v>
      </c>
      <c r="E3" s="1" t="s">
        <v>39</v>
      </c>
      <c r="F3" s="1" t="s">
        <v>28</v>
      </c>
      <c r="G3" s="1" t="s">
        <v>29</v>
      </c>
      <c r="H3" s="16">
        <v>45714.166666666701</v>
      </c>
      <c r="I3" s="16">
        <v>45868</v>
      </c>
      <c r="J3" s="1" t="s">
        <v>30</v>
      </c>
      <c r="K3" s="2" t="str">
        <f t="shared" si="1"/>
        <v>https://sig.aminerals.cl/imgdyn/rest/services/CL_MLP_PAO/CL_MLP_PAO_IF_Ortho_ALL/ImageServer/file?id=.\Chacay_El_Mauro_Drone\25_02_26\CL_MLP_PAO_IF_Ortho_25_02_26_Area1_Cuncumen-D835.tiff&amp;rasterId=</v>
      </c>
      <c r="L3" s="1" t="s">
        <v>31</v>
      </c>
      <c r="M3" s="1" t="s">
        <v>32</v>
      </c>
      <c r="N3" s="1" t="s">
        <v>33</v>
      </c>
      <c r="O3" s="1" t="s">
        <v>34</v>
      </c>
      <c r="P3" s="3" t="str">
        <f t="shared" si="2"/>
        <v>26</v>
      </c>
      <c r="Q3" s="3" t="str">
        <f t="shared" si="3"/>
        <v>02</v>
      </c>
      <c r="R3" s="3" t="str">
        <f t="shared" si="4"/>
        <v>25</v>
      </c>
      <c r="S3" s="1" t="s">
        <v>40</v>
      </c>
      <c r="T3" s="1">
        <v>1</v>
      </c>
      <c r="U3" s="1" t="s">
        <v>36</v>
      </c>
      <c r="V3" s="1" t="str">
        <f t="shared" si="5"/>
        <v>Area1_Cuncumen-D835</v>
      </c>
      <c r="W3" s="1" t="s">
        <v>39</v>
      </c>
      <c r="X3" s="4" t="b">
        <f t="shared" si="6"/>
        <v>1</v>
      </c>
      <c r="Y3" s="1" t="e">
        <f>VLOOKUP(D3,'Orden de Imagen'!$A$1:D143,4,FALSE())</f>
        <v>#N/A</v>
      </c>
      <c r="Z3" s="1" t="e">
        <f t="shared" si="7"/>
        <v>#N/A</v>
      </c>
    </row>
    <row r="4" spans="1:26" ht="15" customHeight="1" x14ac:dyDescent="0.25">
      <c r="A4" s="1">
        <v>3</v>
      </c>
      <c r="B4" s="1" t="s">
        <v>41</v>
      </c>
      <c r="C4" s="1" t="s">
        <v>42</v>
      </c>
      <c r="D4" s="1" t="str">
        <f t="shared" si="0"/>
        <v>CL_MLP_PAO_IF_Ortho_25_02_26_Area2_Cuncumen-D835</v>
      </c>
      <c r="E4" s="1" t="s">
        <v>43</v>
      </c>
      <c r="F4" s="1" t="s">
        <v>28</v>
      </c>
      <c r="G4" s="1" t="s">
        <v>29</v>
      </c>
      <c r="H4" s="16">
        <v>45714.166666666701</v>
      </c>
      <c r="I4" s="16">
        <v>45869</v>
      </c>
      <c r="J4" s="1" t="s">
        <v>30</v>
      </c>
      <c r="K4" s="2" t="str">
        <f t="shared" si="1"/>
        <v>https://sig.aminerals.cl/imgdyn/rest/services/CL_MLP_PAO/CL_MLP_PAO_IF_Ortho_ALL/ImageServer/file?id=.\Chacay_El_Mauro_Drone\25_02_26\CL_MLP_PAO_IF_Ortho_25_02_26_Area2_Cuncumen-D835.tiff&amp;rasterId=</v>
      </c>
      <c r="L4" s="1" t="s">
        <v>31</v>
      </c>
      <c r="M4" s="1" t="s">
        <v>32</v>
      </c>
      <c r="N4" s="1" t="s">
        <v>33</v>
      </c>
      <c r="O4" s="1" t="s">
        <v>34</v>
      </c>
      <c r="P4" s="3" t="str">
        <f t="shared" si="2"/>
        <v>26</v>
      </c>
      <c r="Q4" s="3" t="str">
        <f t="shared" si="3"/>
        <v>02</v>
      </c>
      <c r="R4" s="3" t="str">
        <f t="shared" si="4"/>
        <v>25</v>
      </c>
      <c r="S4" s="1" t="s">
        <v>40</v>
      </c>
      <c r="T4" s="1">
        <v>1</v>
      </c>
      <c r="U4" s="1" t="s">
        <v>36</v>
      </c>
      <c r="V4" s="1" t="str">
        <f t="shared" si="5"/>
        <v>Area2_Cuncumen-D835</v>
      </c>
      <c r="W4" s="1" t="str">
        <f t="shared" ref="W4:W29" si="8">E4</f>
        <v>Area2_Cuncumen-D835</v>
      </c>
      <c r="X4" s="4" t="b">
        <f t="shared" si="6"/>
        <v>1</v>
      </c>
      <c r="Y4" s="1" t="e">
        <f>VLOOKUP(D4,'Orden de Imagen'!$A$1:D144,4,FALSE())</f>
        <v>#N/A</v>
      </c>
      <c r="Z4" s="1" t="e">
        <f t="shared" si="7"/>
        <v>#N/A</v>
      </c>
    </row>
    <row r="5" spans="1:26" ht="15" customHeight="1" x14ac:dyDescent="0.25">
      <c r="A5" s="1">
        <v>4</v>
      </c>
      <c r="B5" s="1" t="s">
        <v>44</v>
      </c>
      <c r="C5" s="1" t="s">
        <v>45</v>
      </c>
      <c r="D5" s="1" t="str">
        <f t="shared" si="0"/>
        <v>CL_MLP_PAO_IF_Ortho_25_02_26_RutaD835</v>
      </c>
      <c r="E5" s="1" t="s">
        <v>46</v>
      </c>
      <c r="F5" s="1" t="s">
        <v>28</v>
      </c>
      <c r="G5" s="1" t="s">
        <v>29</v>
      </c>
      <c r="H5" s="16">
        <v>45714.166666666701</v>
      </c>
      <c r="I5" s="16">
        <v>45870</v>
      </c>
      <c r="J5" s="1" t="s">
        <v>30</v>
      </c>
      <c r="K5" s="2" t="str">
        <f t="shared" si="1"/>
        <v>https://sig.aminerals.cl/imgdyn/rest/services/CL_MLP_PAO/CL_MLP_PAO_IF_Ortho_ALL/ImageServer/file?id=.\Chacay_El_Mauro_Drone\25_02_26\CL_MLP_PAO_IF_Ortho_25_02_26_RutaD835.tiff&amp;rasterId=</v>
      </c>
      <c r="L5" s="1" t="s">
        <v>31</v>
      </c>
      <c r="M5" s="1" t="s">
        <v>32</v>
      </c>
      <c r="N5" s="1" t="s">
        <v>33</v>
      </c>
      <c r="O5" s="1" t="s">
        <v>34</v>
      </c>
      <c r="P5" s="3" t="str">
        <f t="shared" si="2"/>
        <v>26</v>
      </c>
      <c r="Q5" s="3" t="str">
        <f t="shared" si="3"/>
        <v>02</v>
      </c>
      <c r="R5" s="3" t="str">
        <f t="shared" si="4"/>
        <v>25</v>
      </c>
      <c r="S5" s="1" t="s">
        <v>40</v>
      </c>
      <c r="T5" s="1">
        <v>1</v>
      </c>
      <c r="U5" s="1" t="s">
        <v>36</v>
      </c>
      <c r="V5" s="1" t="str">
        <f t="shared" si="5"/>
        <v>RutaD835</v>
      </c>
      <c r="W5" s="1" t="str">
        <f t="shared" si="8"/>
        <v>RutaD835</v>
      </c>
      <c r="X5" s="4" t="b">
        <f t="shared" si="6"/>
        <v>1</v>
      </c>
      <c r="Y5" s="1" t="str">
        <f>VLOOKUP(D5,'Orden de Imagen'!$A$1:D145,4,FALSE())</f>
        <v>002</v>
      </c>
      <c r="Z5" s="1" t="str">
        <f t="shared" si="7"/>
        <v>002_25_02_26_RutaD835</v>
      </c>
    </row>
    <row r="6" spans="1:26" ht="15" customHeight="1" x14ac:dyDescent="0.25">
      <c r="A6" s="1">
        <v>5</v>
      </c>
      <c r="B6" s="1" t="s">
        <v>47</v>
      </c>
      <c r="C6" s="1" t="s">
        <v>48</v>
      </c>
      <c r="D6" s="1" t="str">
        <f t="shared" si="0"/>
        <v>CL_MLP_PAO_IF_Ortho_25_03_10_NSTC_116a118</v>
      </c>
      <c r="E6" s="1" t="s">
        <v>49</v>
      </c>
      <c r="F6" s="1" t="s">
        <v>28</v>
      </c>
      <c r="G6" s="1" t="s">
        <v>29</v>
      </c>
      <c r="H6" s="16">
        <v>45726.166666666701</v>
      </c>
      <c r="I6" s="16">
        <v>45870</v>
      </c>
      <c r="J6" s="1" t="s">
        <v>30</v>
      </c>
      <c r="K6" s="2" t="str">
        <f t="shared" si="1"/>
        <v>https://sig.aminerals.cl/imgdyn/rest/services/CL_MLP_PAO/CL_MLP_PAO_IF_Ortho_ALL/ImageServer/file?id=.\El_Mauro_Puerto_Punta_Chungo_Drone\25_03_10\CL_MLP_PAO_IF_Ortho_25_03_10_NSTC_116a118.tiff&amp;rasterId=</v>
      </c>
      <c r="L6" s="1" t="s">
        <v>31</v>
      </c>
      <c r="M6" s="1" t="s">
        <v>32</v>
      </c>
      <c r="N6" s="1" t="s">
        <v>33</v>
      </c>
      <c r="O6" s="1" t="s">
        <v>34</v>
      </c>
      <c r="P6" s="3" t="str">
        <f t="shared" si="2"/>
        <v>10</v>
      </c>
      <c r="Q6" s="3" t="str">
        <f t="shared" si="3"/>
        <v>03</v>
      </c>
      <c r="R6" s="3" t="str">
        <f t="shared" si="4"/>
        <v>25</v>
      </c>
      <c r="S6" s="1" t="s">
        <v>50</v>
      </c>
      <c r="T6" s="1">
        <v>1</v>
      </c>
      <c r="U6" s="1" t="s">
        <v>36</v>
      </c>
      <c r="V6" s="1" t="str">
        <f t="shared" si="5"/>
        <v>NSTC_116a118</v>
      </c>
      <c r="W6" s="1" t="str">
        <f t="shared" si="8"/>
        <v>NSTC_116a118</v>
      </c>
      <c r="X6" s="4" t="b">
        <f t="shared" si="6"/>
        <v>1</v>
      </c>
      <c r="Y6" s="1" t="str">
        <f>VLOOKUP(D6,'Orden de Imagen'!$A$1:D146,4,FALSE())</f>
        <v>003</v>
      </c>
      <c r="Z6" s="1" t="str">
        <f t="shared" si="7"/>
        <v>003_25_03_10_NSTC_116a118</v>
      </c>
    </row>
    <row r="7" spans="1:26" ht="15" customHeight="1" x14ac:dyDescent="0.25">
      <c r="A7" s="1">
        <v>6</v>
      </c>
      <c r="B7" s="1" t="s">
        <v>51</v>
      </c>
      <c r="C7" s="1" t="s">
        <v>52</v>
      </c>
      <c r="D7" s="1" t="str">
        <f t="shared" si="0"/>
        <v>CL_MLP_PAO_IF_Ortho_25_03_10_NSTC_118a120</v>
      </c>
      <c r="E7" s="1" t="s">
        <v>53</v>
      </c>
      <c r="F7" s="1" t="s">
        <v>28</v>
      </c>
      <c r="G7" s="1" t="s">
        <v>29</v>
      </c>
      <c r="H7" s="16">
        <v>45726.166666666701</v>
      </c>
      <c r="I7" s="16">
        <v>45870</v>
      </c>
      <c r="J7" s="1" t="s">
        <v>30</v>
      </c>
      <c r="K7" s="2" t="str">
        <f t="shared" si="1"/>
        <v>https://sig.aminerals.cl/imgdyn/rest/services/CL_MLP_PAO/CL_MLP_PAO_IF_Ortho_ALL/ImageServer/file?id=.\El_Mauro_Puerto_Punta_Chungo_Drone\25_03_10\CL_MLP_PAO_IF_Ortho_25_03_10_NSTC_118a120.tiff&amp;rasterId=</v>
      </c>
      <c r="L7" s="1" t="s">
        <v>31</v>
      </c>
      <c r="M7" s="1" t="s">
        <v>32</v>
      </c>
      <c r="N7" s="1" t="s">
        <v>33</v>
      </c>
      <c r="O7" s="1" t="s">
        <v>34</v>
      </c>
      <c r="P7" s="3" t="str">
        <f t="shared" si="2"/>
        <v>10</v>
      </c>
      <c r="Q7" s="3" t="str">
        <f t="shared" si="3"/>
        <v>03</v>
      </c>
      <c r="R7" s="3" t="str">
        <f t="shared" si="4"/>
        <v>25</v>
      </c>
      <c r="S7" s="1" t="s">
        <v>50</v>
      </c>
      <c r="T7" s="1">
        <v>1</v>
      </c>
      <c r="U7" s="1" t="s">
        <v>36</v>
      </c>
      <c r="V7" s="1" t="str">
        <f t="shared" si="5"/>
        <v>NSTC_118a120</v>
      </c>
      <c r="W7" s="1" t="str">
        <f t="shared" si="8"/>
        <v>NSTC_118a120</v>
      </c>
      <c r="X7" s="4" t="b">
        <f t="shared" si="6"/>
        <v>1</v>
      </c>
      <c r="Y7" s="1" t="str">
        <f>VLOOKUP(D7,'Orden de Imagen'!$A$1:D147,4,FALSE())</f>
        <v>004</v>
      </c>
      <c r="Z7" s="1" t="str">
        <f t="shared" si="7"/>
        <v>004_25_03_10_NSTC_118a120</v>
      </c>
    </row>
    <row r="8" spans="1:26" ht="15" customHeight="1" x14ac:dyDescent="0.25">
      <c r="A8" s="1">
        <v>7</v>
      </c>
      <c r="B8" s="1" t="s">
        <v>54</v>
      </c>
      <c r="C8" s="1" t="str">
        <f>CONCATENATE(L8,"_",M8,"_",G8,"_",N8,"_",O8,"_",R8,"_",Q8,"_",P8,"_",E8,".tif")</f>
        <v>CL_MLP_PAO_IF_Ortho_25_03_12_SRA2.tif</v>
      </c>
      <c r="D8" s="1" t="str">
        <f t="shared" si="0"/>
        <v>CL_MLP_PAO_IF_Ortho_25_03_12_SRA2</v>
      </c>
      <c r="E8" s="1" t="s">
        <v>55</v>
      </c>
      <c r="F8" s="1" t="s">
        <v>28</v>
      </c>
      <c r="G8" s="1" t="s">
        <v>29</v>
      </c>
      <c r="H8" s="16">
        <v>45728.166666666701</v>
      </c>
      <c r="I8" s="16">
        <v>45797</v>
      </c>
      <c r="J8" s="1" t="s">
        <v>30</v>
      </c>
      <c r="K8" s="2" t="str">
        <f t="shared" si="1"/>
        <v>https://sig.aminerals.cl/imgdyn/rest/services/CL_MLP_PAO/CL_MLP_PAO_IF_Ortho_ALL/ImageServer/file?id=.\Chacay_Drone\25_03_12\CL_MLP_PAO_IF_Ortho_25_03_12_SRA2.tif&amp;rasterId=</v>
      </c>
      <c r="L8" s="1" t="s">
        <v>31</v>
      </c>
      <c r="M8" s="1" t="s">
        <v>32</v>
      </c>
      <c r="N8" s="1" t="s">
        <v>33</v>
      </c>
      <c r="O8" s="1" t="s">
        <v>34</v>
      </c>
      <c r="P8" s="3" t="str">
        <f t="shared" si="2"/>
        <v>12</v>
      </c>
      <c r="Q8" s="3" t="str">
        <f t="shared" si="3"/>
        <v>03</v>
      </c>
      <c r="R8" s="3" t="str">
        <f t="shared" si="4"/>
        <v>25</v>
      </c>
      <c r="S8" s="5" t="s">
        <v>56</v>
      </c>
      <c r="T8" s="1">
        <v>1</v>
      </c>
      <c r="U8" s="1" t="s">
        <v>36</v>
      </c>
      <c r="V8" s="1" t="str">
        <f t="shared" si="5"/>
        <v>SRA2</v>
      </c>
      <c r="W8" s="1" t="str">
        <f t="shared" si="8"/>
        <v>SRA2</v>
      </c>
      <c r="X8" s="4" t="b">
        <f t="shared" si="6"/>
        <v>1</v>
      </c>
      <c r="Y8" s="1" t="str">
        <f>VLOOKUP(D8,'Orden de Imagen'!$A$1:D148,4,FALSE())</f>
        <v>005</v>
      </c>
      <c r="Z8" s="1" t="str">
        <f t="shared" si="7"/>
        <v>005_25_03_12_SRA2</v>
      </c>
    </row>
    <row r="9" spans="1:26" ht="15" customHeight="1" x14ac:dyDescent="0.25">
      <c r="A9" s="1">
        <v>8</v>
      </c>
      <c r="B9" s="1" t="s">
        <v>57</v>
      </c>
      <c r="C9" s="1" t="s">
        <v>58</v>
      </c>
      <c r="D9" s="1" t="str">
        <f t="shared" si="0"/>
        <v>CL_MLP_PAO_IF_Ortho_25_03_17_NSTC_Km_120_a_121</v>
      </c>
      <c r="E9" s="1" t="s">
        <v>59</v>
      </c>
      <c r="F9" s="1" t="s">
        <v>28</v>
      </c>
      <c r="G9" s="1" t="s">
        <v>29</v>
      </c>
      <c r="H9" s="16">
        <v>45733.166666666701</v>
      </c>
      <c r="I9" s="16">
        <v>45870</v>
      </c>
      <c r="J9" s="1" t="s">
        <v>30</v>
      </c>
      <c r="K9" s="2" t="str">
        <f t="shared" si="1"/>
        <v>https://sig.aminerals.cl/imgdyn/rest/services/CL_MLP_PAO/CL_MLP_PAO_IF_Ortho_ALL/ImageServer/file?id=.\El_Mauro_Puerto_Punta_Chungo_Drone\25_03_17\CL_MLP_PAO_IF_Ortho_25_03_17_NSTC_Km_120_a_121.tif&amp;rasterId=</v>
      </c>
      <c r="L9" s="1" t="s">
        <v>31</v>
      </c>
      <c r="M9" s="1" t="s">
        <v>32</v>
      </c>
      <c r="N9" s="1" t="s">
        <v>33</v>
      </c>
      <c r="O9" s="1" t="s">
        <v>34</v>
      </c>
      <c r="P9" s="3" t="str">
        <f t="shared" si="2"/>
        <v>17</v>
      </c>
      <c r="Q9" s="3" t="str">
        <f t="shared" si="3"/>
        <v>03</v>
      </c>
      <c r="R9" s="3" t="str">
        <f t="shared" si="4"/>
        <v>25</v>
      </c>
      <c r="S9" s="1" t="s">
        <v>50</v>
      </c>
      <c r="T9" s="1">
        <v>1</v>
      </c>
      <c r="U9" s="1" t="s">
        <v>36</v>
      </c>
      <c r="V9" s="1" t="str">
        <f t="shared" si="5"/>
        <v>NSTC_Km_120_a_121</v>
      </c>
      <c r="W9" s="1" t="str">
        <f t="shared" si="8"/>
        <v>NSTC_Km_120_a_121</v>
      </c>
      <c r="X9" s="4" t="b">
        <f t="shared" si="6"/>
        <v>1</v>
      </c>
      <c r="Y9" s="1" t="str">
        <f>VLOOKUP(D9,'Orden de Imagen'!$A$1:D149,4,FALSE())</f>
        <v>006</v>
      </c>
      <c r="Z9" s="1" t="str">
        <f t="shared" si="7"/>
        <v>006_25_03_17_NSTC_Km_120_a_121</v>
      </c>
    </row>
    <row r="10" spans="1:26" ht="15" customHeight="1" x14ac:dyDescent="0.25">
      <c r="A10" s="1">
        <v>9</v>
      </c>
      <c r="B10" s="1" t="s">
        <v>60</v>
      </c>
      <c r="C10" s="1" t="s">
        <v>61</v>
      </c>
      <c r="D10" s="1" t="str">
        <f t="shared" si="0"/>
        <v>CL_MLP_PAO_IF_Ortho_25_03_19_Orejas16_Ruta-D-865</v>
      </c>
      <c r="E10" s="1" t="s">
        <v>62</v>
      </c>
      <c r="F10" s="1" t="s">
        <v>28</v>
      </c>
      <c r="G10" s="1" t="s">
        <v>29</v>
      </c>
      <c r="H10" s="16">
        <v>45735.166666666701</v>
      </c>
      <c r="I10" s="16">
        <v>45888</v>
      </c>
      <c r="J10" s="1" t="s">
        <v>30</v>
      </c>
      <c r="K10" s="2" t="str">
        <f t="shared" si="1"/>
        <v>https://sig.aminerals.cl/imgdyn/rest/services/CL_MLP_PAO/CL_MLP_PAO_IF_Ortho_ALL/ImageServer/file?id=.\El_Mauro_Puerto_Punta_Chungo_Drone\25_03_19\CL_MLP_PAO_IF_Ortho_25_03_19_Orejas16_Ruta-D-865.tiff&amp;rasterId=</v>
      </c>
      <c r="L10" s="1" t="s">
        <v>31</v>
      </c>
      <c r="M10" s="1" t="s">
        <v>32</v>
      </c>
      <c r="N10" s="1" t="s">
        <v>33</v>
      </c>
      <c r="O10" s="1" t="s">
        <v>34</v>
      </c>
      <c r="P10" s="3" t="str">
        <f t="shared" si="2"/>
        <v>19</v>
      </c>
      <c r="Q10" s="3" t="str">
        <f t="shared" si="3"/>
        <v>03</v>
      </c>
      <c r="R10" s="3" t="str">
        <f t="shared" si="4"/>
        <v>25</v>
      </c>
      <c r="S10" s="1" t="s">
        <v>50</v>
      </c>
      <c r="T10" s="1">
        <v>1</v>
      </c>
      <c r="U10" s="1" t="s">
        <v>36</v>
      </c>
      <c r="V10" s="1" t="str">
        <f t="shared" si="5"/>
        <v>Orejas16_Ruta-D-865</v>
      </c>
      <c r="W10" s="1" t="str">
        <f t="shared" si="8"/>
        <v>Orejas16_Ruta-D-865</v>
      </c>
      <c r="X10" s="4" t="b">
        <f t="shared" si="6"/>
        <v>1</v>
      </c>
      <c r="Y10" s="1" t="str">
        <f>VLOOKUP(D10,'Orden de Imagen'!$A$1:D150,4,FALSE())</f>
        <v>007</v>
      </c>
      <c r="Z10" s="1" t="str">
        <f t="shared" si="7"/>
        <v>007_25_03_19_Orejas16_Ruta-D-865</v>
      </c>
    </row>
    <row r="11" spans="1:26" ht="15" customHeight="1" x14ac:dyDescent="0.25">
      <c r="A11" s="1">
        <v>10</v>
      </c>
      <c r="B11" s="1" t="s">
        <v>63</v>
      </c>
      <c r="C11" s="1" t="s">
        <v>64</v>
      </c>
      <c r="D11" s="1" t="str">
        <f t="shared" si="0"/>
        <v>CL_MLP_PAO_IF_Ortho_25_03_19_Orejas17_Ruta-D-865</v>
      </c>
      <c r="E11" s="1" t="s">
        <v>65</v>
      </c>
      <c r="F11" s="1" t="s">
        <v>28</v>
      </c>
      <c r="G11" s="1" t="s">
        <v>29</v>
      </c>
      <c r="H11" s="16">
        <v>45735.166666666701</v>
      </c>
      <c r="I11" s="16">
        <v>45888</v>
      </c>
      <c r="J11" s="1" t="s">
        <v>30</v>
      </c>
      <c r="K11" s="2" t="str">
        <f t="shared" si="1"/>
        <v>https://sig.aminerals.cl/imgdyn/rest/services/CL_MLP_PAO/CL_MLP_PAO_IF_Ortho_ALL/ImageServer/file?id=.\El_Mauro_Puerto_Punta_Chungo_Drone\25_03_19\CL_MLP_PAO_IF_Ortho_25_03_19_Orejas17_Ruta-D-865.tiff&amp;rasterId=</v>
      </c>
      <c r="L11" s="1" t="s">
        <v>31</v>
      </c>
      <c r="M11" s="1" t="s">
        <v>32</v>
      </c>
      <c r="N11" s="1" t="s">
        <v>33</v>
      </c>
      <c r="O11" s="1" t="s">
        <v>34</v>
      </c>
      <c r="P11" s="3" t="str">
        <f t="shared" si="2"/>
        <v>19</v>
      </c>
      <c r="Q11" s="3" t="str">
        <f t="shared" si="3"/>
        <v>03</v>
      </c>
      <c r="R11" s="3" t="str">
        <f t="shared" si="4"/>
        <v>25</v>
      </c>
      <c r="S11" s="1" t="s">
        <v>50</v>
      </c>
      <c r="T11" s="1">
        <v>1</v>
      </c>
      <c r="U11" s="1" t="s">
        <v>36</v>
      </c>
      <c r="V11" s="1" t="str">
        <f t="shared" si="5"/>
        <v>Orejas17_Ruta-D-865</v>
      </c>
      <c r="W11" s="1" t="str">
        <f t="shared" si="8"/>
        <v>Orejas17_Ruta-D-865</v>
      </c>
      <c r="X11" s="4" t="b">
        <f t="shared" si="6"/>
        <v>1</v>
      </c>
      <c r="Y11" s="1" t="str">
        <f>VLOOKUP(D11,'Orden de Imagen'!$A$1:D151,4,FALSE())</f>
        <v>008</v>
      </c>
      <c r="Z11" s="1" t="str">
        <f t="shared" si="7"/>
        <v>008_25_03_19_Orejas17_Ruta-D-865</v>
      </c>
    </row>
    <row r="12" spans="1:26" ht="15" customHeight="1" x14ac:dyDescent="0.25">
      <c r="A12" s="1">
        <v>11</v>
      </c>
      <c r="B12" s="1" t="s">
        <v>66</v>
      </c>
      <c r="C12" s="1" t="s">
        <v>67</v>
      </c>
      <c r="D12" s="1" t="str">
        <f t="shared" si="0"/>
        <v>CL_MLP_PAO_IF_Ortho_25_03_19_Orejas18</v>
      </c>
      <c r="E12" s="1" t="s">
        <v>68</v>
      </c>
      <c r="F12" s="1" t="s">
        <v>28</v>
      </c>
      <c r="G12" s="1" t="s">
        <v>29</v>
      </c>
      <c r="H12" s="16">
        <v>45735.166666666701</v>
      </c>
      <c r="I12" s="16">
        <v>45870</v>
      </c>
      <c r="J12" s="1" t="s">
        <v>30</v>
      </c>
      <c r="K12" s="2" t="str">
        <f t="shared" si="1"/>
        <v>https://sig.aminerals.cl/imgdyn/rest/services/CL_MLP_PAO/CL_MLP_PAO_IF_Ortho_ALL/ImageServer/file?id=.\El_Mauro_Puerto_Punta_Chungo_Drone\25_03_19\CL_MLP_PAO_IF_Ortho_25_03_19_Orejas18.tiff&amp;rasterId=</v>
      </c>
      <c r="L12" s="1" t="s">
        <v>31</v>
      </c>
      <c r="M12" s="1" t="s">
        <v>32</v>
      </c>
      <c r="N12" s="1" t="s">
        <v>33</v>
      </c>
      <c r="O12" s="1" t="s">
        <v>34</v>
      </c>
      <c r="P12" s="3" t="str">
        <f t="shared" si="2"/>
        <v>19</v>
      </c>
      <c r="Q12" s="3" t="str">
        <f t="shared" si="3"/>
        <v>03</v>
      </c>
      <c r="R12" s="3" t="str">
        <f t="shared" si="4"/>
        <v>25</v>
      </c>
      <c r="S12" s="1" t="s">
        <v>50</v>
      </c>
      <c r="T12" s="1">
        <v>1</v>
      </c>
      <c r="U12" s="1" t="s">
        <v>36</v>
      </c>
      <c r="V12" s="1" t="str">
        <f t="shared" si="5"/>
        <v>Orejas18</v>
      </c>
      <c r="W12" s="1" t="str">
        <f t="shared" si="8"/>
        <v>Orejas18</v>
      </c>
      <c r="X12" s="4" t="b">
        <f t="shared" si="6"/>
        <v>1</v>
      </c>
      <c r="Y12" s="1" t="str">
        <f>VLOOKUP(D12,'Orden de Imagen'!$A$1:D152,4,FALSE())</f>
        <v>009</v>
      </c>
      <c r="Z12" s="1" t="str">
        <f t="shared" si="7"/>
        <v>009_25_03_19_Orejas18</v>
      </c>
    </row>
    <row r="13" spans="1:26" ht="15" customHeight="1" x14ac:dyDescent="0.25">
      <c r="A13" s="1">
        <v>12</v>
      </c>
      <c r="B13" s="1" t="s">
        <v>69</v>
      </c>
      <c r="C13" s="1" t="s">
        <v>70</v>
      </c>
      <c r="D13" s="1" t="str">
        <f t="shared" si="0"/>
        <v>CL_MLP_PAO_IF_Ortho_25_03_31_EB2</v>
      </c>
      <c r="E13" s="1" t="s">
        <v>71</v>
      </c>
      <c r="F13" s="1" t="s">
        <v>28</v>
      </c>
      <c r="G13" s="1" t="s">
        <v>29</v>
      </c>
      <c r="H13" s="16">
        <v>45747.166666666701</v>
      </c>
      <c r="I13" s="16">
        <v>45870</v>
      </c>
      <c r="J13" s="1" t="s">
        <v>30</v>
      </c>
      <c r="K13" s="2" t="str">
        <f t="shared" si="1"/>
        <v>https://sig.aminerals.cl/imgdyn/rest/services/CL_MLP_PAO/CL_MLP_PAO_IF_Ortho_ALL/ImageServer/file?id=.\El_Mauro_Puerto_Punta_Chungo_Drone\25_03_31\CL_MLP_PAO_IF_Ortho_25_03_31_EB2.tiff&amp;rasterId=</v>
      </c>
      <c r="L13" s="1" t="s">
        <v>31</v>
      </c>
      <c r="M13" s="1" t="s">
        <v>32</v>
      </c>
      <c r="N13" s="1" t="s">
        <v>33</v>
      </c>
      <c r="O13" s="1" t="s">
        <v>34</v>
      </c>
      <c r="P13" s="3" t="str">
        <f t="shared" si="2"/>
        <v>31</v>
      </c>
      <c r="Q13" s="3" t="str">
        <f t="shared" si="3"/>
        <v>03</v>
      </c>
      <c r="R13" s="3" t="str">
        <f t="shared" si="4"/>
        <v>25</v>
      </c>
      <c r="S13" s="1" t="s">
        <v>50</v>
      </c>
      <c r="T13" s="1">
        <v>1</v>
      </c>
      <c r="U13" s="1" t="s">
        <v>36</v>
      </c>
      <c r="V13" s="1" t="str">
        <f t="shared" si="5"/>
        <v>EB2</v>
      </c>
      <c r="W13" s="1" t="str">
        <f t="shared" si="8"/>
        <v>EB2</v>
      </c>
      <c r="X13" s="4" t="b">
        <f t="shared" si="6"/>
        <v>1</v>
      </c>
      <c r="Y13" s="1" t="str">
        <f>VLOOKUP(D13,'Orden de Imagen'!$A$1:D153,4,FALSE())</f>
        <v>010</v>
      </c>
      <c r="Z13" s="1" t="str">
        <f t="shared" si="7"/>
        <v>010_25_03_31_EB2</v>
      </c>
    </row>
    <row r="14" spans="1:26" ht="15" customHeight="1" x14ac:dyDescent="0.25">
      <c r="A14" s="1">
        <v>13</v>
      </c>
      <c r="B14" s="1" t="s">
        <v>72</v>
      </c>
      <c r="C14" s="1" t="s">
        <v>73</v>
      </c>
      <c r="D14" s="1" t="str">
        <f t="shared" si="0"/>
        <v>CL_MLP_PAO_IF_Ortho_25_03_31_EV2</v>
      </c>
      <c r="E14" s="1" t="s">
        <v>74</v>
      </c>
      <c r="F14" s="1" t="s">
        <v>28</v>
      </c>
      <c r="G14" s="1" t="s">
        <v>29</v>
      </c>
      <c r="H14" s="16">
        <v>45747.166666666701</v>
      </c>
      <c r="I14" s="16">
        <v>45870</v>
      </c>
      <c r="J14" s="1" t="s">
        <v>30</v>
      </c>
      <c r="K14" s="2" t="str">
        <f t="shared" si="1"/>
        <v>https://sig.aminerals.cl/imgdyn/rest/services/CL_MLP_PAO/CL_MLP_PAO_IF_Ortho_ALL/ImageServer/file?id=.\El_Mauro_Puerto_Punta_Chungo_Drone\25_03_31\CL_MLP_PAO_IF_Ortho_25_03_31_EV2.tiff&amp;rasterId=</v>
      </c>
      <c r="L14" s="1" t="s">
        <v>31</v>
      </c>
      <c r="M14" s="1" t="s">
        <v>32</v>
      </c>
      <c r="N14" s="1" t="s">
        <v>33</v>
      </c>
      <c r="O14" s="1" t="s">
        <v>34</v>
      </c>
      <c r="P14" s="3" t="str">
        <f t="shared" si="2"/>
        <v>31</v>
      </c>
      <c r="Q14" s="3" t="str">
        <f t="shared" si="3"/>
        <v>03</v>
      </c>
      <c r="R14" s="3" t="str">
        <f t="shared" si="4"/>
        <v>25</v>
      </c>
      <c r="S14" s="1" t="s">
        <v>50</v>
      </c>
      <c r="T14" s="1">
        <v>1</v>
      </c>
      <c r="U14" s="1" t="s">
        <v>36</v>
      </c>
      <c r="V14" s="1" t="str">
        <f t="shared" si="5"/>
        <v>EV2</v>
      </c>
      <c r="W14" s="1" t="str">
        <f t="shared" si="8"/>
        <v>EV2</v>
      </c>
      <c r="X14" s="4" t="b">
        <f t="shared" si="6"/>
        <v>1</v>
      </c>
      <c r="Y14" s="1" t="str">
        <f>VLOOKUP(D14,'Orden de Imagen'!$A$1:D154,4,FALSE())</f>
        <v>011</v>
      </c>
      <c r="Z14" s="1" t="str">
        <f t="shared" si="7"/>
        <v>011_25_03_31_EV2</v>
      </c>
    </row>
    <row r="15" spans="1:26" ht="15" customHeight="1" x14ac:dyDescent="0.25">
      <c r="A15" s="1">
        <v>14</v>
      </c>
      <c r="B15" s="1" t="s">
        <v>75</v>
      </c>
      <c r="C15" s="1" t="s">
        <v>76</v>
      </c>
      <c r="D15" s="1" t="str">
        <f t="shared" si="0"/>
        <v>CL_MLP_PAO_IF_Ortho_25_04_02_DME-13</v>
      </c>
      <c r="E15" s="1" t="s">
        <v>77</v>
      </c>
      <c r="F15" s="1" t="s">
        <v>28</v>
      </c>
      <c r="G15" s="1" t="s">
        <v>29</v>
      </c>
      <c r="H15" s="16">
        <v>45749.166666666701</v>
      </c>
      <c r="I15" s="16">
        <v>45870</v>
      </c>
      <c r="J15" s="1" t="s">
        <v>30</v>
      </c>
      <c r="K15" s="2" t="str">
        <f t="shared" si="1"/>
        <v>https://sig.aminerals.cl/imgdyn/rest/services/CL_MLP_PAO/CL_MLP_PAO_IF_Ortho_ALL/ImageServer/file?id=.\Chacay_El_Mauro_Drone\25_04_02\CL_MLP_PAO_IF_Ortho_25_04_02_DME-13.tiff&amp;rasterId=</v>
      </c>
      <c r="L15" s="1" t="s">
        <v>31</v>
      </c>
      <c r="M15" s="1" t="s">
        <v>32</v>
      </c>
      <c r="N15" s="1" t="s">
        <v>33</v>
      </c>
      <c r="O15" s="1" t="s">
        <v>34</v>
      </c>
      <c r="P15" s="3" t="str">
        <f t="shared" si="2"/>
        <v>02</v>
      </c>
      <c r="Q15" s="3" t="str">
        <f t="shared" si="3"/>
        <v>04</v>
      </c>
      <c r="R15" s="3" t="str">
        <f t="shared" si="4"/>
        <v>25</v>
      </c>
      <c r="S15" s="1" t="s">
        <v>40</v>
      </c>
      <c r="T15" s="1">
        <v>1</v>
      </c>
      <c r="U15" s="1" t="s">
        <v>36</v>
      </c>
      <c r="V15" s="1" t="str">
        <f t="shared" si="5"/>
        <v>DME-13</v>
      </c>
      <c r="W15" s="1" t="str">
        <f t="shared" si="8"/>
        <v>DME-13</v>
      </c>
      <c r="X15" s="4" t="b">
        <f t="shared" si="6"/>
        <v>1</v>
      </c>
      <c r="Y15" s="1" t="str">
        <f>VLOOKUP(D15,'Orden de Imagen'!$A$1:D155,4,FALSE())</f>
        <v>012</v>
      </c>
      <c r="Z15" s="1" t="str">
        <f t="shared" si="7"/>
        <v>012_25_04_02_DME-13</v>
      </c>
    </row>
    <row r="16" spans="1:26" ht="15" customHeight="1" x14ac:dyDescent="0.25">
      <c r="A16" s="1">
        <v>15</v>
      </c>
      <c r="B16" s="1" t="s">
        <v>78</v>
      </c>
      <c r="C16" s="1" t="s">
        <v>79</v>
      </c>
      <c r="D16" s="1" t="str">
        <f t="shared" si="0"/>
        <v>CL_MLP_PAO_IF_Ortho_25_04_02_Patio-Acopio-17</v>
      </c>
      <c r="E16" s="1" t="s">
        <v>80</v>
      </c>
      <c r="F16" s="1" t="s">
        <v>28</v>
      </c>
      <c r="G16" s="1" t="s">
        <v>29</v>
      </c>
      <c r="H16" s="16">
        <v>45749.166666666701</v>
      </c>
      <c r="I16" s="16">
        <v>45872</v>
      </c>
      <c r="J16" s="1" t="s">
        <v>30</v>
      </c>
      <c r="K16" s="2" t="str">
        <f t="shared" si="1"/>
        <v>https://sig.aminerals.cl/imgdyn/rest/services/CL_MLP_PAO/CL_MLP_PAO_IF_Ortho_ALL/ImageServer/file?id=.\Chacay_El_Mauro_Drone\25_04_02\CL_MLP_PAO_IF_Ortho_25_04_02_Patio-Acopio-17.tiff&amp;rasterId=</v>
      </c>
      <c r="L16" s="1" t="s">
        <v>31</v>
      </c>
      <c r="M16" s="1" t="s">
        <v>32</v>
      </c>
      <c r="N16" s="1" t="s">
        <v>33</v>
      </c>
      <c r="O16" s="1" t="s">
        <v>34</v>
      </c>
      <c r="P16" s="3" t="str">
        <f t="shared" si="2"/>
        <v>02</v>
      </c>
      <c r="Q16" s="3" t="str">
        <f t="shared" si="3"/>
        <v>04</v>
      </c>
      <c r="R16" s="3" t="str">
        <f t="shared" si="4"/>
        <v>25</v>
      </c>
      <c r="S16" s="1" t="s">
        <v>40</v>
      </c>
      <c r="T16" s="1">
        <v>1</v>
      </c>
      <c r="U16" s="1" t="s">
        <v>36</v>
      </c>
      <c r="V16" s="1" t="str">
        <f t="shared" si="5"/>
        <v>Patio-Acopio-17</v>
      </c>
      <c r="W16" s="1" t="str">
        <f t="shared" si="8"/>
        <v>Patio-Acopio-17</v>
      </c>
      <c r="X16" s="4" t="b">
        <f t="shared" si="6"/>
        <v>1</v>
      </c>
      <c r="Y16" s="1" t="str">
        <f>VLOOKUP(D16,'Orden de Imagen'!$A$1:D156,4,FALSE())</f>
        <v>013</v>
      </c>
      <c r="Z16" s="1" t="str">
        <f t="shared" si="7"/>
        <v>013_25_04_02_Patio-Acopio-17</v>
      </c>
    </row>
    <row r="17" spans="1:26" ht="15" customHeight="1" x14ac:dyDescent="0.25">
      <c r="A17" s="1">
        <v>16</v>
      </c>
      <c r="B17" s="1" t="s">
        <v>81</v>
      </c>
      <c r="C17" s="1" t="s">
        <v>82</v>
      </c>
      <c r="D17" s="1" t="str">
        <f t="shared" si="0"/>
        <v>CL_MLP_PAO_IF_Ortho_25_04_02_Ruta-SE-a-DME-13</v>
      </c>
      <c r="E17" s="1" t="s">
        <v>83</v>
      </c>
      <c r="F17" s="1" t="s">
        <v>28</v>
      </c>
      <c r="G17" s="1" t="s">
        <v>29</v>
      </c>
      <c r="H17" s="16">
        <v>45749.166666666701</v>
      </c>
      <c r="I17" s="16">
        <v>45873</v>
      </c>
      <c r="J17" s="1" t="s">
        <v>30</v>
      </c>
      <c r="K17" s="2" t="str">
        <f t="shared" si="1"/>
        <v>https://sig.aminerals.cl/imgdyn/rest/services/CL_MLP_PAO/CL_MLP_PAO_IF_Ortho_ALL/ImageServer/file?id=.\Chacay_El_Mauro_Drone\25_04_02\CL_MLP_PAO_IF_Ortho_25_04_02_Ruta-SE-a-DME-13.tiff&amp;rasterId=</v>
      </c>
      <c r="L17" s="1" t="s">
        <v>31</v>
      </c>
      <c r="M17" s="1" t="s">
        <v>32</v>
      </c>
      <c r="N17" s="1" t="s">
        <v>33</v>
      </c>
      <c r="O17" s="1" t="s">
        <v>34</v>
      </c>
      <c r="P17" s="3" t="str">
        <f t="shared" si="2"/>
        <v>02</v>
      </c>
      <c r="Q17" s="3" t="str">
        <f t="shared" si="3"/>
        <v>04</v>
      </c>
      <c r="R17" s="3" t="str">
        <f t="shared" si="4"/>
        <v>25</v>
      </c>
      <c r="S17" s="1" t="s">
        <v>40</v>
      </c>
      <c r="T17" s="1">
        <v>1</v>
      </c>
      <c r="U17" s="1" t="s">
        <v>36</v>
      </c>
      <c r="V17" s="1" t="str">
        <f t="shared" si="5"/>
        <v>Ruta-SE-a-DME-13</v>
      </c>
      <c r="W17" s="1" t="str">
        <f t="shared" si="8"/>
        <v>Ruta-SE-a-DME-13</v>
      </c>
      <c r="X17" s="4" t="b">
        <f t="shared" si="6"/>
        <v>1</v>
      </c>
      <c r="Y17" s="1" t="str">
        <f>VLOOKUP(D17,'Orden de Imagen'!$A$1:D157,4,FALSE())</f>
        <v>014</v>
      </c>
      <c r="Z17" s="1" t="str">
        <f t="shared" si="7"/>
        <v>014_25_04_02_Ruta-SE-a-DME-13</v>
      </c>
    </row>
    <row r="18" spans="1:26" ht="15" customHeight="1" x14ac:dyDescent="0.25">
      <c r="A18" s="1">
        <v>17</v>
      </c>
      <c r="B18" s="1" t="s">
        <v>84</v>
      </c>
      <c r="C18" s="1" t="s">
        <v>85</v>
      </c>
      <c r="D18" s="1" t="str">
        <f t="shared" si="0"/>
        <v>CL_MLP_PAO_IF_Ortho_25_04_03_Area-patio-19b-y-armado</v>
      </c>
      <c r="E18" s="1" t="s">
        <v>86</v>
      </c>
      <c r="F18" s="1" t="s">
        <v>28</v>
      </c>
      <c r="G18" s="1" t="s">
        <v>29</v>
      </c>
      <c r="H18" s="16">
        <v>45750.166666666701</v>
      </c>
      <c r="I18" s="16">
        <v>45868</v>
      </c>
      <c r="J18" s="1" t="s">
        <v>30</v>
      </c>
      <c r="K18" s="2" t="str">
        <f t="shared" si="1"/>
        <v>https://sig.aminerals.cl/imgdyn/rest/services/CL_MLP_PAO/CL_MLP_PAO_IF_Ortho_ALL/ImageServer/file?id=.\El_Mauro_Drone\25_04_03\CL_MLP_PAO_IF_Ortho_25_04_03_Area-patio-19b-y-armado.tiff&amp;rasterId=</v>
      </c>
      <c r="L18" s="1" t="s">
        <v>31</v>
      </c>
      <c r="M18" s="1" t="s">
        <v>32</v>
      </c>
      <c r="N18" s="1" t="s">
        <v>33</v>
      </c>
      <c r="O18" s="1" t="s">
        <v>34</v>
      </c>
      <c r="P18" s="3" t="str">
        <f t="shared" si="2"/>
        <v>03</v>
      </c>
      <c r="Q18" s="3" t="str">
        <f t="shared" si="3"/>
        <v>04</v>
      </c>
      <c r="R18" s="3" t="str">
        <f t="shared" si="4"/>
        <v>25</v>
      </c>
      <c r="S18" s="1" t="s">
        <v>87</v>
      </c>
      <c r="T18" s="1">
        <v>1</v>
      </c>
      <c r="U18" s="1" t="s">
        <v>36</v>
      </c>
      <c r="V18" s="1" t="str">
        <f t="shared" si="5"/>
        <v>Area-patio-19b-y-armado</v>
      </c>
      <c r="W18" s="1" t="str">
        <f t="shared" si="8"/>
        <v>Area-patio-19b-y-armado</v>
      </c>
      <c r="X18" s="4" t="b">
        <f t="shared" si="6"/>
        <v>1</v>
      </c>
      <c r="Y18" s="1" t="str">
        <f>VLOOKUP(D18,'Orden de Imagen'!$A$1:D158,4,FALSE())</f>
        <v>015</v>
      </c>
      <c r="Z18" s="1" t="str">
        <f t="shared" si="7"/>
        <v>015_25_04_03_Area-patio-19b-y-armado</v>
      </c>
    </row>
    <row r="19" spans="1:26" ht="15" customHeight="1" x14ac:dyDescent="0.25">
      <c r="A19" s="1">
        <v>18</v>
      </c>
      <c r="B19" s="1" t="s">
        <v>88</v>
      </c>
      <c r="C19" s="1" t="s">
        <v>89</v>
      </c>
      <c r="D19" s="1" t="str">
        <f t="shared" si="0"/>
        <v>CL_MLP_PAO_IF_Ortho_25_04_03_Subestacion-El-Mauro</v>
      </c>
      <c r="E19" s="1" t="s">
        <v>90</v>
      </c>
      <c r="F19" s="1" t="s">
        <v>28</v>
      </c>
      <c r="G19" s="1" t="s">
        <v>29</v>
      </c>
      <c r="H19" s="16">
        <v>45750.166666666701</v>
      </c>
      <c r="I19" s="16">
        <v>45869</v>
      </c>
      <c r="J19" s="1" t="s">
        <v>30</v>
      </c>
      <c r="K19" s="2" t="str">
        <f t="shared" si="1"/>
        <v>https://sig.aminerals.cl/imgdyn/rest/services/CL_MLP_PAO/CL_MLP_PAO_IF_Ortho_ALL/ImageServer/file?id=.\El_Mauro_Drone\25_04_03\CL_MLP_PAO_IF_Ortho_25_04_03_Subestacion-El-Mauro.tiff&amp;rasterId=</v>
      </c>
      <c r="L19" s="1" t="s">
        <v>31</v>
      </c>
      <c r="M19" s="1" t="s">
        <v>32</v>
      </c>
      <c r="N19" s="1" t="s">
        <v>33</v>
      </c>
      <c r="O19" s="1" t="s">
        <v>34</v>
      </c>
      <c r="P19" s="3" t="str">
        <f t="shared" si="2"/>
        <v>03</v>
      </c>
      <c r="Q19" s="3" t="str">
        <f t="shared" si="3"/>
        <v>04</v>
      </c>
      <c r="R19" s="3" t="str">
        <f t="shared" si="4"/>
        <v>25</v>
      </c>
      <c r="S19" s="1" t="s">
        <v>87</v>
      </c>
      <c r="T19" s="1">
        <v>1</v>
      </c>
      <c r="U19" s="1" t="s">
        <v>36</v>
      </c>
      <c r="V19" s="1" t="str">
        <f t="shared" si="5"/>
        <v>Subestacion-El-Mauro</v>
      </c>
      <c r="W19" s="1" t="str">
        <f t="shared" si="8"/>
        <v>Subestacion-El-Mauro</v>
      </c>
      <c r="X19" s="4" t="b">
        <f t="shared" si="6"/>
        <v>1</v>
      </c>
      <c r="Y19" s="1" t="str">
        <f>VLOOKUP(D19,'Orden de Imagen'!$A$1:D159,4,FALSE())</f>
        <v>016</v>
      </c>
      <c r="Z19" s="1" t="str">
        <f t="shared" si="7"/>
        <v>016_25_04_03_Subestacion-El-Mauro</v>
      </c>
    </row>
    <row r="20" spans="1:26" ht="15" customHeight="1" x14ac:dyDescent="0.25">
      <c r="A20" s="1">
        <v>19</v>
      </c>
      <c r="C20" s="1" t="str">
        <f>CONCATENATE(L20,"_",M20,"_",G20,"_",N20,"_",O20,"_",R20,"_",Q20,"_",P20,"_",E20,".tif")</f>
        <v>CL_MLP_PAO_IF_Ortho_25_04_09_Cachimba_de_Bajo_Camisas_ED2.tif</v>
      </c>
      <c r="D20" s="1" t="str">
        <f t="shared" si="0"/>
        <v>CL_MLP_PAO_IF_Ortho_25_04_09_Cachimba_de_Bajo_Camisas_ED2</v>
      </c>
      <c r="E20" s="1" t="s">
        <v>91</v>
      </c>
      <c r="F20" s="1" t="s">
        <v>28</v>
      </c>
      <c r="G20" s="1" t="s">
        <v>29</v>
      </c>
      <c r="H20" s="16">
        <v>45756.166666666701</v>
      </c>
      <c r="I20" s="16">
        <v>45933</v>
      </c>
      <c r="J20" s="1" t="s">
        <v>30</v>
      </c>
      <c r="K20" s="2" t="str">
        <f t="shared" si="1"/>
        <v>https://sig.aminerals.cl/imgdyn/rest/services/CL_MLP_PAO/CL_MLP_PAO_IF_Ortho_ALL/ImageServer/file?id=.\Chacay_El_Mauro_Drone\25_04_09\CL_MLP_PAO_IF_Ortho_25_04_09_Cachimba_de_Bajo_Camisas_ED2.tif&amp;rasterId=</v>
      </c>
      <c r="L20" s="1" t="s">
        <v>31</v>
      </c>
      <c r="M20" s="1" t="s">
        <v>32</v>
      </c>
      <c r="N20" s="1" t="s">
        <v>33</v>
      </c>
      <c r="O20" s="1" t="s">
        <v>34</v>
      </c>
      <c r="P20" s="3" t="str">
        <f t="shared" si="2"/>
        <v>09</v>
      </c>
      <c r="Q20" s="3" t="str">
        <f t="shared" si="3"/>
        <v>04</v>
      </c>
      <c r="R20" s="3" t="str">
        <f t="shared" si="4"/>
        <v>25</v>
      </c>
      <c r="S20" s="1" t="s">
        <v>40</v>
      </c>
      <c r="T20" s="1">
        <v>1</v>
      </c>
      <c r="U20" s="1" t="s">
        <v>36</v>
      </c>
      <c r="V20" s="1" t="str">
        <f t="shared" si="5"/>
        <v>Cachimba_de_Bajo_Camisas_ED2</v>
      </c>
      <c r="W20" s="1" t="str">
        <f t="shared" si="8"/>
        <v>Cachimba_de_Bajo_Camisas_ED2</v>
      </c>
      <c r="X20" s="4" t="b">
        <f t="shared" si="6"/>
        <v>1</v>
      </c>
      <c r="Y20" s="1" t="str">
        <f>VLOOKUP(D20,'Orden de Imagen'!$A$1:D160,4,FALSE())</f>
        <v>017</v>
      </c>
      <c r="Z20" s="1" t="str">
        <f t="shared" si="7"/>
        <v>017_25_04_09_Cachimba_de_Bajo_Camisas_ED2</v>
      </c>
    </row>
    <row r="21" spans="1:26" ht="15" customHeight="1" x14ac:dyDescent="0.25">
      <c r="A21" s="1">
        <v>20</v>
      </c>
      <c r="B21" s="1" t="s">
        <v>92</v>
      </c>
      <c r="C21" s="1" t="s">
        <v>93</v>
      </c>
      <c r="D21" s="1" t="str">
        <f t="shared" si="0"/>
        <v>CL_MLP_PAO_IF_Ortho_25_04_09_Ruta-D-847_01</v>
      </c>
      <c r="E21" s="1" t="s">
        <v>94</v>
      </c>
      <c r="F21" s="1" t="s">
        <v>28</v>
      </c>
      <c r="G21" s="1" t="s">
        <v>29</v>
      </c>
      <c r="H21" s="16">
        <v>45756.166666666701</v>
      </c>
      <c r="I21" s="16">
        <v>45874</v>
      </c>
      <c r="J21" s="1" t="s">
        <v>30</v>
      </c>
      <c r="K21" s="2" t="str">
        <f t="shared" si="1"/>
        <v>https://sig.aminerals.cl/imgdyn/rest/services/CL_MLP_PAO/CL_MLP_PAO_IF_Ortho_ALL/ImageServer/file?id=.\Chacay_El_Mauro_Drone\25_04_09\CL_MLP_PAO_IF_Ortho_25_04_09_Ruta-D-847_01.tiff&amp;rasterId=</v>
      </c>
      <c r="L21" s="1" t="s">
        <v>31</v>
      </c>
      <c r="M21" s="1" t="s">
        <v>32</v>
      </c>
      <c r="N21" s="1" t="s">
        <v>33</v>
      </c>
      <c r="O21" s="1" t="s">
        <v>34</v>
      </c>
      <c r="P21" s="3" t="str">
        <f t="shared" si="2"/>
        <v>09</v>
      </c>
      <c r="Q21" s="3" t="str">
        <f t="shared" si="3"/>
        <v>04</v>
      </c>
      <c r="R21" s="3" t="str">
        <f t="shared" si="4"/>
        <v>25</v>
      </c>
      <c r="S21" s="1" t="s">
        <v>40</v>
      </c>
      <c r="T21" s="1">
        <v>1</v>
      </c>
      <c r="U21" s="1" t="s">
        <v>36</v>
      </c>
      <c r="V21" s="1" t="str">
        <f t="shared" si="5"/>
        <v>Ruta-D-847_01</v>
      </c>
      <c r="W21" s="1" t="str">
        <f t="shared" si="8"/>
        <v>Ruta-D-847_01</v>
      </c>
      <c r="X21" s="4" t="b">
        <f t="shared" si="6"/>
        <v>1</v>
      </c>
      <c r="Y21" s="1" t="e">
        <f>VLOOKUP(D21,'Orden de Imagen'!$A$1:D161,4,FALSE())</f>
        <v>#N/A</v>
      </c>
      <c r="Z21" s="1" t="e">
        <f t="shared" si="7"/>
        <v>#N/A</v>
      </c>
    </row>
    <row r="22" spans="1:26" ht="15" customHeight="1" x14ac:dyDescent="0.25">
      <c r="A22" s="1">
        <v>21</v>
      </c>
      <c r="B22" s="1" t="s">
        <v>95</v>
      </c>
      <c r="C22" s="1" t="s">
        <v>96</v>
      </c>
      <c r="D22" s="1" t="str">
        <f t="shared" si="0"/>
        <v>CL_MLP_PAO_IF_Ortho_25_04_09_Ruta-D-847_02</v>
      </c>
      <c r="E22" s="1" t="s">
        <v>97</v>
      </c>
      <c r="F22" s="1" t="s">
        <v>28</v>
      </c>
      <c r="G22" s="1" t="s">
        <v>29</v>
      </c>
      <c r="H22" s="16">
        <v>45756.166666666701</v>
      </c>
      <c r="I22" s="16">
        <v>45875</v>
      </c>
      <c r="J22" s="1" t="s">
        <v>30</v>
      </c>
      <c r="K22" s="2" t="str">
        <f t="shared" si="1"/>
        <v>https://sig.aminerals.cl/imgdyn/rest/services/CL_MLP_PAO/CL_MLP_PAO_IF_Ortho_ALL/ImageServer/file?id=.\Chacay_El_Mauro_Drone\25_04_09\CL_MLP_PAO_IF_Ortho_25_04_09_Ruta-D-847_02.tiff&amp;rasterId=</v>
      </c>
      <c r="L22" s="1" t="s">
        <v>31</v>
      </c>
      <c r="M22" s="1" t="s">
        <v>32</v>
      </c>
      <c r="N22" s="1" t="s">
        <v>33</v>
      </c>
      <c r="O22" s="1" t="s">
        <v>34</v>
      </c>
      <c r="P22" s="3" t="str">
        <f t="shared" si="2"/>
        <v>09</v>
      </c>
      <c r="Q22" s="3" t="str">
        <f t="shared" si="3"/>
        <v>04</v>
      </c>
      <c r="R22" s="3" t="str">
        <f t="shared" si="4"/>
        <v>25</v>
      </c>
      <c r="S22" s="1" t="s">
        <v>40</v>
      </c>
      <c r="T22" s="1">
        <v>1</v>
      </c>
      <c r="U22" s="1" t="s">
        <v>36</v>
      </c>
      <c r="V22" s="1" t="str">
        <f t="shared" si="5"/>
        <v>Ruta-D-847_02</v>
      </c>
      <c r="W22" s="1" t="str">
        <f t="shared" si="8"/>
        <v>Ruta-D-847_02</v>
      </c>
      <c r="X22" s="4" t="b">
        <f t="shared" si="6"/>
        <v>1</v>
      </c>
      <c r="Y22" s="1" t="e">
        <f>VLOOKUP(D22,'Orden de Imagen'!$A$1:D162,4,FALSE())</f>
        <v>#N/A</v>
      </c>
      <c r="Z22" s="1" t="e">
        <f t="shared" si="7"/>
        <v>#N/A</v>
      </c>
    </row>
    <row r="23" spans="1:26" ht="15" customHeight="1" x14ac:dyDescent="0.25">
      <c r="A23" s="1">
        <v>22</v>
      </c>
      <c r="B23" s="1" t="s">
        <v>98</v>
      </c>
      <c r="C23" s="1" t="s">
        <v>99</v>
      </c>
      <c r="D23" s="1" t="str">
        <f t="shared" si="0"/>
        <v>CL_MLP_PAO_IF_Ortho_25_04_09_Ruta-D-847_03</v>
      </c>
      <c r="E23" s="1" t="s">
        <v>100</v>
      </c>
      <c r="F23" s="1" t="s">
        <v>28</v>
      </c>
      <c r="G23" s="1" t="s">
        <v>29</v>
      </c>
      <c r="H23" s="16">
        <v>45756.166666666701</v>
      </c>
      <c r="I23" s="16">
        <v>45876</v>
      </c>
      <c r="J23" s="1" t="s">
        <v>30</v>
      </c>
      <c r="K23" s="2" t="str">
        <f t="shared" si="1"/>
        <v>https://sig.aminerals.cl/imgdyn/rest/services/CL_MLP_PAO/CL_MLP_PAO_IF_Ortho_ALL/ImageServer/file?id=.\Chacay_El_Mauro_Drone\25_04_09\CL_MLP_PAO_IF_Ortho_25_04_09_Ruta-D-847_03.tiff&amp;rasterId=</v>
      </c>
      <c r="L23" s="1" t="s">
        <v>31</v>
      </c>
      <c r="M23" s="1" t="s">
        <v>32</v>
      </c>
      <c r="N23" s="1" t="s">
        <v>33</v>
      </c>
      <c r="O23" s="1" t="s">
        <v>34</v>
      </c>
      <c r="P23" s="3" t="str">
        <f t="shared" si="2"/>
        <v>09</v>
      </c>
      <c r="Q23" s="3" t="str">
        <f t="shared" si="3"/>
        <v>04</v>
      </c>
      <c r="R23" s="3" t="str">
        <f t="shared" si="4"/>
        <v>25</v>
      </c>
      <c r="S23" s="1" t="s">
        <v>40</v>
      </c>
      <c r="T23" s="1">
        <v>1</v>
      </c>
      <c r="U23" s="1" t="s">
        <v>36</v>
      </c>
      <c r="V23" s="1" t="str">
        <f t="shared" si="5"/>
        <v>Ruta-D-847_03</v>
      </c>
      <c r="W23" s="1" t="str">
        <f t="shared" si="8"/>
        <v>Ruta-D-847_03</v>
      </c>
      <c r="X23" s="4" t="b">
        <f t="shared" si="6"/>
        <v>1</v>
      </c>
      <c r="Y23" s="1" t="e">
        <f>VLOOKUP(D23,'Orden de Imagen'!$A$1:D163,4,FALSE())</f>
        <v>#N/A</v>
      </c>
      <c r="Z23" s="1" t="e">
        <f t="shared" si="7"/>
        <v>#N/A</v>
      </c>
    </row>
    <row r="24" spans="1:26" ht="15" customHeight="1" x14ac:dyDescent="0.25">
      <c r="A24" s="1">
        <v>23</v>
      </c>
      <c r="B24" s="1" t="s">
        <v>101</v>
      </c>
      <c r="C24" s="1" t="s">
        <v>102</v>
      </c>
      <c r="D24" s="1" t="str">
        <f t="shared" si="0"/>
        <v>CL_MLP_PAO_IF_Ortho_25_04_10_Ruta-D-865_01</v>
      </c>
      <c r="E24" s="1" t="s">
        <v>103</v>
      </c>
      <c r="F24" s="1" t="s">
        <v>28</v>
      </c>
      <c r="G24" s="1" t="s">
        <v>29</v>
      </c>
      <c r="H24" s="16">
        <v>45757.166666666701</v>
      </c>
      <c r="I24" s="16">
        <v>45870</v>
      </c>
      <c r="J24" s="1" t="s">
        <v>30</v>
      </c>
      <c r="K24" s="2" t="str">
        <f t="shared" si="1"/>
        <v>https://sig.aminerals.cl/imgdyn/rest/services/CL_MLP_PAO/CL_MLP_PAO_IF_Ortho_ALL/ImageServer/file?id=.\El_Mauro_Puerto_Punta_Chungo_Drone\25_04_10\CL_MLP_PAO_IF_Ortho_25_04_10_Ruta-D-865_01.tiff&amp;rasterId=</v>
      </c>
      <c r="L24" s="1" t="s">
        <v>31</v>
      </c>
      <c r="M24" s="1" t="s">
        <v>32</v>
      </c>
      <c r="N24" s="1" t="s">
        <v>33</v>
      </c>
      <c r="O24" s="1" t="s">
        <v>34</v>
      </c>
      <c r="P24" s="3" t="str">
        <f t="shared" si="2"/>
        <v>10</v>
      </c>
      <c r="Q24" s="3" t="str">
        <f t="shared" si="3"/>
        <v>04</v>
      </c>
      <c r="R24" s="3" t="str">
        <f t="shared" si="4"/>
        <v>25</v>
      </c>
      <c r="S24" s="1" t="s">
        <v>50</v>
      </c>
      <c r="T24" s="1">
        <v>1</v>
      </c>
      <c r="U24" s="1" t="s">
        <v>36</v>
      </c>
      <c r="V24" s="1" t="str">
        <f t="shared" si="5"/>
        <v>Ruta-D-865_01</v>
      </c>
      <c r="W24" s="1" t="str">
        <f t="shared" si="8"/>
        <v>Ruta-D-865_01</v>
      </c>
      <c r="X24" s="4" t="b">
        <f t="shared" si="6"/>
        <v>1</v>
      </c>
      <c r="Y24" s="1" t="e">
        <f>VLOOKUP(D24,'Orden de Imagen'!$A$1:D164,4,FALSE())</f>
        <v>#N/A</v>
      </c>
      <c r="Z24" s="1" t="e">
        <f t="shared" si="7"/>
        <v>#N/A</v>
      </c>
    </row>
    <row r="25" spans="1:26" ht="15" customHeight="1" x14ac:dyDescent="0.25">
      <c r="A25" s="1">
        <v>24</v>
      </c>
      <c r="B25" s="1" t="s">
        <v>104</v>
      </c>
      <c r="C25" s="1" t="s">
        <v>105</v>
      </c>
      <c r="D25" s="1" t="str">
        <f t="shared" si="0"/>
        <v>CL_MLP_PAO_IF_Ortho_25_04_10_Ruta-D-865_02</v>
      </c>
      <c r="E25" s="1" t="s">
        <v>106</v>
      </c>
      <c r="F25" s="1" t="s">
        <v>28</v>
      </c>
      <c r="G25" s="1" t="s">
        <v>29</v>
      </c>
      <c r="H25" s="16">
        <v>45757.166666666701</v>
      </c>
      <c r="I25" s="16">
        <v>45870</v>
      </c>
      <c r="J25" s="1" t="s">
        <v>30</v>
      </c>
      <c r="K25" s="2" t="str">
        <f t="shared" si="1"/>
        <v>https://sig.aminerals.cl/imgdyn/rest/services/CL_MLP_PAO/CL_MLP_PAO_IF_Ortho_ALL/ImageServer/file?id=.\El_Mauro_Puerto_Punta_Chungo_Drone\25_04_10\CL_MLP_PAO_IF_Ortho_25_04_10_Ruta-D-865_02.tiff&amp;rasterId=</v>
      </c>
      <c r="L25" s="1" t="s">
        <v>31</v>
      </c>
      <c r="M25" s="1" t="s">
        <v>32</v>
      </c>
      <c r="N25" s="1" t="s">
        <v>33</v>
      </c>
      <c r="O25" s="1" t="s">
        <v>34</v>
      </c>
      <c r="P25" s="3" t="str">
        <f t="shared" si="2"/>
        <v>10</v>
      </c>
      <c r="Q25" s="3" t="str">
        <f t="shared" si="3"/>
        <v>04</v>
      </c>
      <c r="R25" s="3" t="str">
        <f t="shared" si="4"/>
        <v>25</v>
      </c>
      <c r="S25" s="1" t="s">
        <v>50</v>
      </c>
      <c r="T25" s="1">
        <v>1</v>
      </c>
      <c r="U25" s="1" t="s">
        <v>36</v>
      </c>
      <c r="V25" s="1" t="str">
        <f t="shared" si="5"/>
        <v>Ruta-D-865_02</v>
      </c>
      <c r="W25" s="1" t="str">
        <f t="shared" si="8"/>
        <v>Ruta-D-865_02</v>
      </c>
      <c r="X25" s="4" t="b">
        <f t="shared" si="6"/>
        <v>1</v>
      </c>
      <c r="Y25" s="1" t="e">
        <f>VLOOKUP(D25,'Orden de Imagen'!$A$1:D165,4,FALSE())</f>
        <v>#N/A</v>
      </c>
      <c r="Z25" s="1" t="e">
        <f t="shared" si="7"/>
        <v>#N/A</v>
      </c>
    </row>
    <row r="26" spans="1:26" ht="15" customHeight="1" x14ac:dyDescent="0.25">
      <c r="A26" s="1">
        <v>25</v>
      </c>
      <c r="B26" s="1" t="s">
        <v>107</v>
      </c>
      <c r="C26" s="1" t="s">
        <v>108</v>
      </c>
      <c r="D26" s="1" t="str">
        <f t="shared" si="0"/>
        <v>CL_MLP_PAO_IF_Ortho_25_04_10_Ruta-D-865_03</v>
      </c>
      <c r="E26" s="1" t="s">
        <v>109</v>
      </c>
      <c r="F26" s="1" t="s">
        <v>28</v>
      </c>
      <c r="G26" s="1" t="s">
        <v>29</v>
      </c>
      <c r="H26" s="16">
        <v>45757.166666666701</v>
      </c>
      <c r="I26" s="16">
        <v>45870</v>
      </c>
      <c r="J26" s="1" t="s">
        <v>30</v>
      </c>
      <c r="K26" s="2" t="str">
        <f t="shared" si="1"/>
        <v>https://sig.aminerals.cl/imgdyn/rest/services/CL_MLP_PAO/CL_MLP_PAO_IF_Ortho_ALL/ImageServer/file?id=.\El_Mauro_Puerto_Punta_Chungo_Drone\25_04_10\CL_MLP_PAO_IF_Ortho_25_04_10_Ruta-D-865_03.tiff&amp;rasterId=</v>
      </c>
      <c r="L26" s="1" t="s">
        <v>31</v>
      </c>
      <c r="M26" s="1" t="s">
        <v>32</v>
      </c>
      <c r="N26" s="1" t="s">
        <v>33</v>
      </c>
      <c r="O26" s="1" t="s">
        <v>34</v>
      </c>
      <c r="P26" s="3" t="str">
        <f t="shared" si="2"/>
        <v>10</v>
      </c>
      <c r="Q26" s="3" t="str">
        <f t="shared" si="3"/>
        <v>04</v>
      </c>
      <c r="R26" s="3" t="str">
        <f t="shared" si="4"/>
        <v>25</v>
      </c>
      <c r="S26" s="1" t="s">
        <v>50</v>
      </c>
      <c r="T26" s="1">
        <v>1</v>
      </c>
      <c r="U26" s="1" t="s">
        <v>36</v>
      </c>
      <c r="V26" s="1" t="str">
        <f t="shared" si="5"/>
        <v>Ruta-D-865_03</v>
      </c>
      <c r="W26" s="1" t="str">
        <f t="shared" si="8"/>
        <v>Ruta-D-865_03</v>
      </c>
      <c r="X26" s="4" t="b">
        <f t="shared" si="6"/>
        <v>1</v>
      </c>
      <c r="Y26" s="1" t="e">
        <f>VLOOKUP(D26,'Orden de Imagen'!$A$1:D166,4,FALSE())</f>
        <v>#N/A</v>
      </c>
      <c r="Z26" s="1" t="e">
        <f t="shared" si="7"/>
        <v>#N/A</v>
      </c>
    </row>
    <row r="27" spans="1:26" ht="15" customHeight="1" x14ac:dyDescent="0.25">
      <c r="A27" s="1">
        <v>26</v>
      </c>
      <c r="B27" s="1" t="s">
        <v>110</v>
      </c>
      <c r="C27" s="1" t="s">
        <v>111</v>
      </c>
      <c r="D27" s="1" t="str">
        <f t="shared" si="0"/>
        <v>CL_MLP_PAO_IF_Ortho_25_04_10_Ruta-D-865_04</v>
      </c>
      <c r="E27" s="1" t="s">
        <v>112</v>
      </c>
      <c r="F27" s="1" t="s">
        <v>28</v>
      </c>
      <c r="G27" s="1" t="s">
        <v>29</v>
      </c>
      <c r="H27" s="16">
        <v>45757.166666666701</v>
      </c>
      <c r="I27" s="16">
        <v>45870</v>
      </c>
      <c r="J27" s="1" t="s">
        <v>30</v>
      </c>
      <c r="K27" s="2" t="str">
        <f t="shared" si="1"/>
        <v>https://sig.aminerals.cl/imgdyn/rest/services/CL_MLP_PAO/CL_MLP_PAO_IF_Ortho_ALL/ImageServer/file?id=.\El_Mauro_Puerto_Punta_Chungo_Drone\25_04_10\CL_MLP_PAO_IF_Ortho_25_04_10_Ruta-D-865_04.tiff&amp;rasterId=</v>
      </c>
      <c r="L27" s="1" t="s">
        <v>31</v>
      </c>
      <c r="M27" s="1" t="s">
        <v>32</v>
      </c>
      <c r="N27" s="1" t="s">
        <v>33</v>
      </c>
      <c r="O27" s="1" t="s">
        <v>34</v>
      </c>
      <c r="P27" s="3" t="str">
        <f t="shared" si="2"/>
        <v>10</v>
      </c>
      <c r="Q27" s="3" t="str">
        <f t="shared" si="3"/>
        <v>04</v>
      </c>
      <c r="R27" s="3" t="str">
        <f t="shared" si="4"/>
        <v>25</v>
      </c>
      <c r="S27" s="1" t="s">
        <v>50</v>
      </c>
      <c r="T27" s="1">
        <v>1</v>
      </c>
      <c r="U27" s="1" t="s">
        <v>36</v>
      </c>
      <c r="V27" s="1" t="str">
        <f t="shared" si="5"/>
        <v>Ruta-D-865_04</v>
      </c>
      <c r="W27" s="1" t="str">
        <f t="shared" si="8"/>
        <v>Ruta-D-865_04</v>
      </c>
      <c r="X27" s="4" t="b">
        <f t="shared" si="6"/>
        <v>1</v>
      </c>
      <c r="Y27" s="1" t="e">
        <f>VLOOKUP(D27,'Orden de Imagen'!$A$1:D167,4,FALSE())</f>
        <v>#N/A</v>
      </c>
      <c r="Z27" s="1" t="e">
        <f t="shared" si="7"/>
        <v>#N/A</v>
      </c>
    </row>
    <row r="28" spans="1:26" ht="15" customHeight="1" x14ac:dyDescent="0.25">
      <c r="A28" s="1">
        <v>27</v>
      </c>
      <c r="B28" s="1" t="s">
        <v>113</v>
      </c>
      <c r="C28" s="1" t="s">
        <v>114</v>
      </c>
      <c r="D28" s="1" t="str">
        <f t="shared" si="0"/>
        <v>CL_MLP_PAO_IF_Ortho_25_04_10_Ruta-D-865_05</v>
      </c>
      <c r="E28" s="1" t="s">
        <v>115</v>
      </c>
      <c r="F28" s="1" t="s">
        <v>28</v>
      </c>
      <c r="G28" s="1" t="s">
        <v>29</v>
      </c>
      <c r="H28" s="16">
        <v>45757.166666666701</v>
      </c>
      <c r="I28" s="16">
        <v>45870</v>
      </c>
      <c r="J28" s="1" t="s">
        <v>30</v>
      </c>
      <c r="K28" s="2" t="str">
        <f t="shared" si="1"/>
        <v>https://sig.aminerals.cl/imgdyn/rest/services/CL_MLP_PAO/CL_MLP_PAO_IF_Ortho_ALL/ImageServer/file?id=.\El_Mauro_Puerto_Punta_Chungo_Drone\25_04_10\CL_MLP_PAO_IF_Ortho_25_04_10_Ruta-D-865_05.tiff&amp;rasterId=</v>
      </c>
      <c r="L28" s="1" t="s">
        <v>31</v>
      </c>
      <c r="M28" s="1" t="s">
        <v>32</v>
      </c>
      <c r="N28" s="1" t="s">
        <v>33</v>
      </c>
      <c r="O28" s="1" t="s">
        <v>34</v>
      </c>
      <c r="P28" s="3" t="str">
        <f t="shared" si="2"/>
        <v>10</v>
      </c>
      <c r="Q28" s="3" t="str">
        <f t="shared" si="3"/>
        <v>04</v>
      </c>
      <c r="R28" s="3" t="str">
        <f t="shared" si="4"/>
        <v>25</v>
      </c>
      <c r="S28" s="1" t="s">
        <v>50</v>
      </c>
      <c r="T28" s="1">
        <v>1</v>
      </c>
      <c r="U28" s="1" t="s">
        <v>36</v>
      </c>
      <c r="V28" s="1" t="str">
        <f t="shared" si="5"/>
        <v>Ruta-D-865_05</v>
      </c>
      <c r="W28" s="1" t="str">
        <f t="shared" si="8"/>
        <v>Ruta-D-865_05</v>
      </c>
      <c r="X28" s="4" t="b">
        <f t="shared" si="6"/>
        <v>1</v>
      </c>
      <c r="Y28" s="1" t="e">
        <f>VLOOKUP(D28,'Orden de Imagen'!$A$1:D168,4,FALSE())</f>
        <v>#N/A</v>
      </c>
      <c r="Z28" s="1" t="e">
        <f t="shared" si="7"/>
        <v>#N/A</v>
      </c>
    </row>
    <row r="29" spans="1:26" ht="15" customHeight="1" x14ac:dyDescent="0.25">
      <c r="A29" s="1">
        <v>28</v>
      </c>
      <c r="C29" s="1" t="str">
        <f>CONCATENATE(L29,"_",M29,"_",G29,"_",N29,"_",O29,"_",R29,"_",Q29,"_",P29,"_",E29,".tiff")</f>
        <v>CL_MLP_PAO_IF_Ortho_25_04_10_Sector_Pupio_I_Area_1.tiff</v>
      </c>
      <c r="D29" s="1" t="str">
        <f t="shared" si="0"/>
        <v>CL_MLP_PAO_IF_Ortho_25_04_10_Sector_Pupio_I_Area_1</v>
      </c>
      <c r="E29" s="1" t="s">
        <v>116</v>
      </c>
      <c r="F29" s="1" t="s">
        <v>28</v>
      </c>
      <c r="G29" s="1" t="s">
        <v>29</v>
      </c>
      <c r="H29" s="16">
        <v>45757.166666666701</v>
      </c>
      <c r="I29" s="16">
        <v>45933</v>
      </c>
      <c r="J29" s="1" t="s">
        <v>30</v>
      </c>
      <c r="K29" s="2" t="str">
        <f t="shared" si="1"/>
        <v>https://sig.aminerals.cl/imgdyn/rest/services/CL_MLP_PAO/CL_MLP_PAO_IF_Ortho_ALL/ImageServer/file?id=.\El_Mauro_Puerto_Punta_Chungo_Drone\25_04_10\CL_MLP_PAO_IF_Ortho_25_04_10_Sector_Pupio_I_Area_1.tiff&amp;rasterId=</v>
      </c>
      <c r="L29" s="1" t="s">
        <v>31</v>
      </c>
      <c r="M29" s="1" t="s">
        <v>32</v>
      </c>
      <c r="N29" s="1" t="s">
        <v>33</v>
      </c>
      <c r="O29" s="1" t="s">
        <v>34</v>
      </c>
      <c r="P29" s="3" t="str">
        <f t="shared" si="2"/>
        <v>10</v>
      </c>
      <c r="Q29" s="3" t="str">
        <f t="shared" si="3"/>
        <v>04</v>
      </c>
      <c r="R29" s="3" t="str">
        <f t="shared" si="4"/>
        <v>25</v>
      </c>
      <c r="S29" s="1" t="s">
        <v>50</v>
      </c>
      <c r="T29" s="1">
        <v>1</v>
      </c>
      <c r="U29" s="1" t="s">
        <v>36</v>
      </c>
      <c r="V29" s="1" t="str">
        <f t="shared" si="5"/>
        <v>Sector_Pupio_I_Area_1</v>
      </c>
      <c r="W29" s="1" t="str">
        <f t="shared" si="8"/>
        <v>Sector_Pupio_I_Area_1</v>
      </c>
      <c r="X29" s="4" t="b">
        <f t="shared" si="6"/>
        <v>1</v>
      </c>
      <c r="Y29" s="1" t="str">
        <f>VLOOKUP(D29,'Orden de Imagen'!$A$1:D169,4,FALSE())</f>
        <v>018</v>
      </c>
      <c r="Z29" s="1" t="str">
        <f t="shared" si="7"/>
        <v>018_25_04_10_Sector_Pupio_I_Area_1</v>
      </c>
    </row>
    <row r="30" spans="1:26" ht="15" customHeight="1" x14ac:dyDescent="0.25">
      <c r="A30" s="1">
        <v>29</v>
      </c>
      <c r="C30" s="1" t="str">
        <f>CONCATENATE(L30,"_",M30,"_",G30,"_",N30,"_",O30,"_",R30,"_",Q30,"_",P30,"_",E30,".tiff")</f>
        <v>CL_MLP_PAO_IF_Ortho_25_05_07_Monte_Aranda_82p3_a_80p7.tiff</v>
      </c>
      <c r="D30" s="1" t="str">
        <f t="shared" si="0"/>
        <v>CL_MLP_PAO_IF_Ortho_25_05_07_Monte_Aranda_82p3_a_80p7</v>
      </c>
      <c r="E30" s="1" t="s">
        <v>117</v>
      </c>
      <c r="F30" s="1" t="s">
        <v>28</v>
      </c>
      <c r="G30" s="1" t="s">
        <v>29</v>
      </c>
      <c r="H30" s="16">
        <v>45784.166666666701</v>
      </c>
      <c r="I30" s="16">
        <v>45933</v>
      </c>
      <c r="J30" s="1" t="s">
        <v>30</v>
      </c>
      <c r="K30" s="2" t="str">
        <f t="shared" si="1"/>
        <v>https://sig.aminerals.cl/imgdyn/rest/services/CL_MLP_PAO/CL_MLP_PAO_IF_Ortho_ALL/ImageServer/file?id=.\El_Mauro_Puerto_Punta_Chungo_Drone\25_05_07\CL_MLP_PAO_IF_Ortho_25_05_07_Monte_Aranda_82p3_a_80p7.tiff&amp;rasterId=</v>
      </c>
      <c r="L30" s="1" t="s">
        <v>31</v>
      </c>
      <c r="M30" s="1" t="s">
        <v>32</v>
      </c>
      <c r="N30" s="1" t="s">
        <v>33</v>
      </c>
      <c r="O30" s="1" t="s">
        <v>34</v>
      </c>
      <c r="P30" s="3" t="str">
        <f t="shared" si="2"/>
        <v>07</v>
      </c>
      <c r="Q30" s="3" t="str">
        <f t="shared" si="3"/>
        <v>05</v>
      </c>
      <c r="R30" s="3" t="str">
        <f t="shared" si="4"/>
        <v>25</v>
      </c>
      <c r="S30" s="1" t="s">
        <v>50</v>
      </c>
      <c r="T30" s="1">
        <v>1</v>
      </c>
      <c r="U30" s="1" t="s">
        <v>36</v>
      </c>
      <c r="V30" s="1" t="str">
        <f t="shared" si="5"/>
        <v>Monte_Aranda_82p3_a_80p7</v>
      </c>
      <c r="W30" s="1" t="s">
        <v>117</v>
      </c>
      <c r="X30" s="4" t="b">
        <f t="shared" si="6"/>
        <v>1</v>
      </c>
      <c r="Y30" s="1" t="str">
        <f>VLOOKUP(D30,'Orden de Imagen'!$A$1:D170,4,FALSE())</f>
        <v>019</v>
      </c>
      <c r="Z30" s="1" t="str">
        <f t="shared" si="7"/>
        <v>019_25_05_07_Monte_Aranda_82p3_a_80p7</v>
      </c>
    </row>
    <row r="31" spans="1:26" ht="15" customHeight="1" x14ac:dyDescent="0.25">
      <c r="A31" s="1">
        <v>30</v>
      </c>
      <c r="C31" s="1" t="str">
        <f>CONCATENATE(L31,"_",M31,"_",G31,"_",N31,"_",O31,"_",R31,"_",Q31,"_",P31,"_",E31,".tiff")</f>
        <v>CL_MLP_PAO_IF_Ortho_25_05_07_Monte-Aranda-84p2-a-82p3.tiff</v>
      </c>
      <c r="D31" s="1" t="str">
        <f t="shared" si="0"/>
        <v>CL_MLP_PAO_IF_Ortho_25_05_07_Monte-Aranda-84p2-a-82p3</v>
      </c>
      <c r="E31" s="1" t="s">
        <v>118</v>
      </c>
      <c r="F31" s="1" t="s">
        <v>28</v>
      </c>
      <c r="G31" s="1" t="s">
        <v>29</v>
      </c>
      <c r="H31" s="16">
        <v>45784.166666666701</v>
      </c>
      <c r="I31" s="16">
        <v>45870</v>
      </c>
      <c r="J31" s="1" t="s">
        <v>30</v>
      </c>
      <c r="K31" s="2" t="str">
        <f t="shared" si="1"/>
        <v>https://sig.aminerals.cl/imgdyn/rest/services/CL_MLP_PAO/CL_MLP_PAO_IF_Ortho_ALL/ImageServer/file?id=.\El_Mauro_Puerto_Punta_Chungo_Drone\25_05_07\CL_MLP_PAO_IF_Ortho_25_05_07_Monte-Aranda-84p2-a-82p3.tiff&amp;rasterId=</v>
      </c>
      <c r="L31" s="1" t="s">
        <v>31</v>
      </c>
      <c r="M31" s="1" t="s">
        <v>32</v>
      </c>
      <c r="N31" s="1" t="s">
        <v>33</v>
      </c>
      <c r="O31" s="1" t="s">
        <v>34</v>
      </c>
      <c r="P31" s="3" t="str">
        <f t="shared" si="2"/>
        <v>07</v>
      </c>
      <c r="Q31" s="3" t="str">
        <f t="shared" si="3"/>
        <v>05</v>
      </c>
      <c r="R31" s="3" t="str">
        <f t="shared" si="4"/>
        <v>25</v>
      </c>
      <c r="S31" s="1" t="s">
        <v>50</v>
      </c>
      <c r="T31" s="1">
        <v>1</v>
      </c>
      <c r="U31" s="1" t="s">
        <v>36</v>
      </c>
      <c r="V31" s="1" t="str">
        <f t="shared" si="5"/>
        <v>Monte-Aranda-84p2-a-82p3</v>
      </c>
      <c r="W31" s="1" t="str">
        <f t="shared" ref="W31:W94" si="9">E31</f>
        <v>Monte-Aranda-84p2-a-82p3</v>
      </c>
      <c r="X31" s="4" t="b">
        <f t="shared" si="6"/>
        <v>1</v>
      </c>
      <c r="Y31" s="1" t="str">
        <f>VLOOKUP(D31,'Orden de Imagen'!$A$1:D171,4,FALSE())</f>
        <v>020</v>
      </c>
      <c r="Z31" s="1" t="str">
        <f t="shared" si="7"/>
        <v>020_25_05_07_Monte-Aranda-84p2-a-82p3</v>
      </c>
    </row>
    <row r="32" spans="1:26" ht="15" customHeight="1" x14ac:dyDescent="0.25">
      <c r="A32" s="1">
        <v>32</v>
      </c>
      <c r="B32" s="1" t="s">
        <v>119</v>
      </c>
      <c r="C32" s="1" t="s">
        <v>120</v>
      </c>
      <c r="D32" s="1" t="str">
        <f t="shared" si="0"/>
        <v>CL_MLP_PAO_IF_Ortho_25_05_07_Monte-Aranda-84p2-a-82p3-01</v>
      </c>
      <c r="E32" s="1" t="s">
        <v>121</v>
      </c>
      <c r="F32" s="1" t="s">
        <v>28</v>
      </c>
      <c r="G32" s="1" t="s">
        <v>29</v>
      </c>
      <c r="H32" s="16">
        <v>45784.166666666701</v>
      </c>
      <c r="I32" s="16">
        <v>45870</v>
      </c>
      <c r="J32" s="1" t="s">
        <v>30</v>
      </c>
      <c r="K32" s="2" t="str">
        <f t="shared" si="1"/>
        <v>https://sig.aminerals.cl/imgdyn/rest/services/CL_MLP_PAO/CL_MLP_PAO_IF_Ortho_ALL/ImageServer/file?id=.\El_Mauro_Puerto_Punta_Chungo_Drone\25_05_07\CL_MLP_PAO_IF_Ortho_25_05_07_Monte-Aranda-84p2-a-82p3-01.tiff&amp;rasterId=</v>
      </c>
      <c r="L32" s="1" t="s">
        <v>31</v>
      </c>
      <c r="M32" s="1" t="s">
        <v>32</v>
      </c>
      <c r="N32" s="1" t="s">
        <v>33</v>
      </c>
      <c r="O32" s="1" t="s">
        <v>34</v>
      </c>
      <c r="P32" s="3" t="str">
        <f t="shared" si="2"/>
        <v>07</v>
      </c>
      <c r="Q32" s="3" t="str">
        <f t="shared" si="3"/>
        <v>05</v>
      </c>
      <c r="R32" s="3" t="str">
        <f t="shared" si="4"/>
        <v>25</v>
      </c>
      <c r="S32" s="1" t="s">
        <v>50</v>
      </c>
      <c r="T32" s="1">
        <v>1</v>
      </c>
      <c r="U32" s="1" t="s">
        <v>36</v>
      </c>
      <c r="V32" s="1" t="str">
        <f t="shared" si="5"/>
        <v>Monte-Aranda-84p2-a-82p3-01</v>
      </c>
      <c r="W32" s="1" t="str">
        <f t="shared" si="9"/>
        <v>Monte-Aranda-84p2-a-82p3-01</v>
      </c>
      <c r="X32" s="4" t="b">
        <f t="shared" si="6"/>
        <v>1</v>
      </c>
      <c r="Y32" s="1" t="e">
        <f>VLOOKUP(D32,'Orden de Imagen'!$A$1:D173,4,FALSE())</f>
        <v>#N/A</v>
      </c>
      <c r="Z32" s="1" t="e">
        <f t="shared" si="7"/>
        <v>#N/A</v>
      </c>
    </row>
    <row r="33" spans="1:26" ht="15" customHeight="1" x14ac:dyDescent="0.25">
      <c r="A33" s="1">
        <v>33</v>
      </c>
      <c r="B33" s="1" t="s">
        <v>122</v>
      </c>
      <c r="C33" s="1" t="s">
        <v>123</v>
      </c>
      <c r="D33" s="1" t="str">
        <f t="shared" si="0"/>
        <v>CL_MLP_PAO_IF_Ortho_25_05_07_Monte-Aranda-84p2-a-82p3-02</v>
      </c>
      <c r="E33" s="1" t="s">
        <v>124</v>
      </c>
      <c r="F33" s="1" t="s">
        <v>28</v>
      </c>
      <c r="G33" s="1" t="s">
        <v>29</v>
      </c>
      <c r="H33" s="16">
        <v>45784.166666666701</v>
      </c>
      <c r="I33" s="16">
        <v>45870</v>
      </c>
      <c r="J33" s="1" t="s">
        <v>30</v>
      </c>
      <c r="K33" s="2" t="str">
        <f t="shared" si="1"/>
        <v>https://sig.aminerals.cl/imgdyn/rest/services/CL_MLP_PAO/CL_MLP_PAO_IF_Ortho_ALL/ImageServer/file?id=.\El_Mauro_Puerto_Punta_Chungo_Drone\25_05_07\CL_MLP_PAO_IF_Ortho_25_05_07_Monte-Aranda-84p2-a-82p3-02.tiff&amp;rasterId=</v>
      </c>
      <c r="L33" s="1" t="s">
        <v>31</v>
      </c>
      <c r="M33" s="1" t="s">
        <v>32</v>
      </c>
      <c r="N33" s="1" t="s">
        <v>33</v>
      </c>
      <c r="O33" s="1" t="s">
        <v>34</v>
      </c>
      <c r="P33" s="3" t="str">
        <f t="shared" si="2"/>
        <v>07</v>
      </c>
      <c r="Q33" s="3" t="str">
        <f t="shared" si="3"/>
        <v>05</v>
      </c>
      <c r="R33" s="3" t="str">
        <f t="shared" si="4"/>
        <v>25</v>
      </c>
      <c r="S33" s="1" t="s">
        <v>50</v>
      </c>
      <c r="T33" s="1">
        <v>1</v>
      </c>
      <c r="U33" s="1" t="s">
        <v>36</v>
      </c>
      <c r="V33" s="1" t="str">
        <f t="shared" si="5"/>
        <v>Monte-Aranda-84p2-a-82p3-02</v>
      </c>
      <c r="W33" s="1" t="str">
        <f t="shared" si="9"/>
        <v>Monte-Aranda-84p2-a-82p3-02</v>
      </c>
      <c r="X33" s="4" t="b">
        <f t="shared" si="6"/>
        <v>1</v>
      </c>
      <c r="Y33" s="1" t="e">
        <f>VLOOKUP(D33,'Orden de Imagen'!$A$1:D174,4,FALSE())</f>
        <v>#N/A</v>
      </c>
      <c r="Z33" s="1" t="e">
        <f t="shared" si="7"/>
        <v>#N/A</v>
      </c>
    </row>
    <row r="34" spans="1:26" ht="15" customHeight="1" x14ac:dyDescent="0.25">
      <c r="A34" s="1">
        <v>34</v>
      </c>
      <c r="B34" s="1" t="s">
        <v>125</v>
      </c>
      <c r="C34" s="1" t="s">
        <v>126</v>
      </c>
      <c r="D34" s="1" t="str">
        <f t="shared" ref="D34:D65" si="10">CONCATENATE(L34,"_",M34,"_",G34,"_",N34,"_",O34,"_",R34,"_",Q34,"_",P34,"_",E34)</f>
        <v>CL_MLP_PAO_IF_Ortho_25_05_07_Monte-Aranda-84p2-a-82p3-03</v>
      </c>
      <c r="E34" s="1" t="s">
        <v>127</v>
      </c>
      <c r="F34" s="1" t="s">
        <v>28</v>
      </c>
      <c r="G34" s="1" t="s">
        <v>29</v>
      </c>
      <c r="H34" s="16">
        <v>45784.166666666701</v>
      </c>
      <c r="I34" s="16">
        <v>45870</v>
      </c>
      <c r="J34" s="1" t="s">
        <v>30</v>
      </c>
      <c r="K34" s="2" t="str">
        <f t="shared" si="1"/>
        <v>https://sig.aminerals.cl/imgdyn/rest/services/CL_MLP_PAO/CL_MLP_PAO_IF_Ortho_ALL/ImageServer/file?id=.\El_Mauro_Puerto_Punta_Chungo_Drone\25_05_07\CL_MLP_PAO_IF_Ortho_25_05_07_Monte-Aranda-84p2-a-82p3-03.tiff&amp;rasterId=</v>
      </c>
      <c r="L34" s="1" t="s">
        <v>31</v>
      </c>
      <c r="M34" s="1" t="s">
        <v>32</v>
      </c>
      <c r="N34" s="1" t="s">
        <v>33</v>
      </c>
      <c r="O34" s="1" t="s">
        <v>34</v>
      </c>
      <c r="P34" s="3" t="str">
        <f t="shared" si="2"/>
        <v>07</v>
      </c>
      <c r="Q34" s="3" t="str">
        <f t="shared" si="3"/>
        <v>05</v>
      </c>
      <c r="R34" s="3" t="str">
        <f t="shared" si="4"/>
        <v>25</v>
      </c>
      <c r="S34" s="1" t="s">
        <v>50</v>
      </c>
      <c r="T34" s="1">
        <v>1</v>
      </c>
      <c r="U34" s="1" t="s">
        <v>36</v>
      </c>
      <c r="V34" s="1" t="str">
        <f t="shared" si="5"/>
        <v>Monte-Aranda-84p2-a-82p3-03</v>
      </c>
      <c r="W34" s="1" t="str">
        <f t="shared" si="9"/>
        <v>Monte-Aranda-84p2-a-82p3-03</v>
      </c>
      <c r="X34" s="4" t="b">
        <f t="shared" si="6"/>
        <v>1</v>
      </c>
      <c r="Y34" s="1" t="e">
        <f>VLOOKUP(D34,'Orden de Imagen'!$A$1:D175,4,FALSE())</f>
        <v>#N/A</v>
      </c>
      <c r="Z34" s="1" t="e">
        <f t="shared" si="7"/>
        <v>#N/A</v>
      </c>
    </row>
    <row r="35" spans="1:26" ht="15" customHeight="1" x14ac:dyDescent="0.25">
      <c r="A35" s="1">
        <v>35</v>
      </c>
      <c r="B35" s="1" t="s">
        <v>128</v>
      </c>
      <c r="C35" s="1" t="s">
        <v>129</v>
      </c>
      <c r="D35" s="1" t="str">
        <f t="shared" si="10"/>
        <v>CL_MLP_PAO_IF_Ortho_25_05_07_Monte-Aranda-84p2-a-82p3-04</v>
      </c>
      <c r="E35" s="1" t="s">
        <v>130</v>
      </c>
      <c r="F35" s="1" t="s">
        <v>28</v>
      </c>
      <c r="G35" s="1" t="s">
        <v>29</v>
      </c>
      <c r="H35" s="16">
        <v>45784.166666666701</v>
      </c>
      <c r="I35" s="16">
        <v>45870</v>
      </c>
      <c r="J35" s="1" t="s">
        <v>30</v>
      </c>
      <c r="K35" s="2" t="str">
        <f t="shared" si="1"/>
        <v>https://sig.aminerals.cl/imgdyn/rest/services/CL_MLP_PAO/CL_MLP_PAO_IF_Ortho_ALL/ImageServer/file?id=.\El_Mauro_Puerto_Punta_Chungo_Drone\25_05_07\CL_MLP_PAO_IF_Ortho_25_05_07_Monte-Aranda-84p2-a-82p3-04.tiff&amp;rasterId=</v>
      </c>
      <c r="L35" s="1" t="s">
        <v>31</v>
      </c>
      <c r="M35" s="1" t="s">
        <v>32</v>
      </c>
      <c r="N35" s="1" t="s">
        <v>33</v>
      </c>
      <c r="O35" s="1" t="s">
        <v>34</v>
      </c>
      <c r="P35" s="3" t="str">
        <f t="shared" si="2"/>
        <v>07</v>
      </c>
      <c r="Q35" s="3" t="str">
        <f t="shared" si="3"/>
        <v>05</v>
      </c>
      <c r="R35" s="3" t="str">
        <f t="shared" si="4"/>
        <v>25</v>
      </c>
      <c r="S35" s="1" t="s">
        <v>50</v>
      </c>
      <c r="T35" s="1">
        <v>1</v>
      </c>
      <c r="U35" s="1" t="s">
        <v>36</v>
      </c>
      <c r="V35" s="1" t="str">
        <f t="shared" si="5"/>
        <v>Monte-Aranda-84p2-a-82p3-04</v>
      </c>
      <c r="W35" s="1" t="str">
        <f t="shared" si="9"/>
        <v>Monte-Aranda-84p2-a-82p3-04</v>
      </c>
      <c r="X35" s="4" t="b">
        <f t="shared" si="6"/>
        <v>1</v>
      </c>
      <c r="Y35" s="1" t="e">
        <f>VLOOKUP(D35,'Orden de Imagen'!$A$1:D176,4,FALSE())</f>
        <v>#N/A</v>
      </c>
      <c r="Z35" s="1" t="e">
        <f t="shared" si="7"/>
        <v>#N/A</v>
      </c>
    </row>
    <row r="36" spans="1:26" ht="15" customHeight="1" x14ac:dyDescent="0.25">
      <c r="A36" s="1">
        <v>36</v>
      </c>
      <c r="B36" s="1" t="s">
        <v>131</v>
      </c>
      <c r="C36" s="1" t="s">
        <v>132</v>
      </c>
      <c r="D36" s="1" t="str">
        <f t="shared" si="10"/>
        <v>CL_MLP_PAO_IF_Ortho_25_05_07_Ruta-D-377-E01</v>
      </c>
      <c r="E36" s="1" t="s">
        <v>133</v>
      </c>
      <c r="F36" s="1" t="s">
        <v>28</v>
      </c>
      <c r="G36" s="1" t="s">
        <v>29</v>
      </c>
      <c r="H36" s="16">
        <v>45784.166666666701</v>
      </c>
      <c r="I36" s="16">
        <v>45870</v>
      </c>
      <c r="J36" s="1" t="s">
        <v>30</v>
      </c>
      <c r="K36" s="2" t="str">
        <f t="shared" si="1"/>
        <v>https://sig.aminerals.cl/imgdyn/rest/services/CL_MLP_PAO/CL_MLP_PAO_IF_Ortho_ALL/ImageServer/file?id=.\El_Mauro_Puerto_Punta_Chungo_Drone\25_05_07\CL_MLP_PAO_IF_Ortho_25_05_07_Ruta-D-377-E01.tiff&amp;rasterId=</v>
      </c>
      <c r="L36" s="1" t="s">
        <v>31</v>
      </c>
      <c r="M36" s="1" t="s">
        <v>32</v>
      </c>
      <c r="N36" s="1" t="s">
        <v>33</v>
      </c>
      <c r="O36" s="1" t="s">
        <v>34</v>
      </c>
      <c r="P36" s="3" t="str">
        <f t="shared" si="2"/>
        <v>07</v>
      </c>
      <c r="Q36" s="3" t="str">
        <f t="shared" si="3"/>
        <v>05</v>
      </c>
      <c r="R36" s="3" t="str">
        <f t="shared" si="4"/>
        <v>25</v>
      </c>
      <c r="S36" s="1" t="s">
        <v>50</v>
      </c>
      <c r="T36" s="1">
        <v>1</v>
      </c>
      <c r="U36" s="1" t="s">
        <v>36</v>
      </c>
      <c r="V36" s="1" t="str">
        <f t="shared" si="5"/>
        <v>Ruta-D-377-E01</v>
      </c>
      <c r="W36" s="1" t="str">
        <f t="shared" si="9"/>
        <v>Ruta-D-377-E01</v>
      </c>
      <c r="X36" s="4" t="b">
        <f t="shared" si="6"/>
        <v>1</v>
      </c>
      <c r="Y36" s="1" t="e">
        <f>VLOOKUP(D36,'Orden de Imagen'!$A$1:D177,4,FALSE())</f>
        <v>#N/A</v>
      </c>
      <c r="Z36" s="1" t="e">
        <f t="shared" si="7"/>
        <v>#N/A</v>
      </c>
    </row>
    <row r="37" spans="1:26" ht="15" customHeight="1" x14ac:dyDescent="0.25">
      <c r="A37" s="1">
        <v>37</v>
      </c>
      <c r="B37" s="1" t="s">
        <v>134</v>
      </c>
      <c r="C37" s="1" t="s">
        <v>135</v>
      </c>
      <c r="D37" s="1" t="str">
        <f t="shared" si="10"/>
        <v>CL_MLP_PAO_IF_Ortho_25_05_07_Ruta-D-377-E02</v>
      </c>
      <c r="E37" s="1" t="s">
        <v>136</v>
      </c>
      <c r="F37" s="1" t="s">
        <v>28</v>
      </c>
      <c r="G37" s="1" t="s">
        <v>29</v>
      </c>
      <c r="H37" s="16">
        <v>45784.166666666701</v>
      </c>
      <c r="I37" s="16">
        <v>45870</v>
      </c>
      <c r="J37" s="1" t="s">
        <v>30</v>
      </c>
      <c r="K37" s="2" t="str">
        <f t="shared" si="1"/>
        <v>https://sig.aminerals.cl/imgdyn/rest/services/CL_MLP_PAO/CL_MLP_PAO_IF_Ortho_ALL/ImageServer/file?id=.\El_Mauro_Puerto_Punta_Chungo_Drone\25_05_07\CL_MLP_PAO_IF_Ortho_25_05_07_Ruta-D-377-E02.tiff&amp;rasterId=</v>
      </c>
      <c r="L37" s="1" t="s">
        <v>31</v>
      </c>
      <c r="M37" s="1" t="s">
        <v>32</v>
      </c>
      <c r="N37" s="1" t="s">
        <v>33</v>
      </c>
      <c r="O37" s="1" t="s">
        <v>34</v>
      </c>
      <c r="P37" s="3" t="str">
        <f t="shared" si="2"/>
        <v>07</v>
      </c>
      <c r="Q37" s="3" t="str">
        <f t="shared" si="3"/>
        <v>05</v>
      </c>
      <c r="R37" s="3" t="str">
        <f t="shared" si="4"/>
        <v>25</v>
      </c>
      <c r="S37" s="1" t="s">
        <v>50</v>
      </c>
      <c r="T37" s="1">
        <v>1</v>
      </c>
      <c r="U37" s="1" t="s">
        <v>36</v>
      </c>
      <c r="V37" s="1" t="str">
        <f t="shared" si="5"/>
        <v>Ruta-D-377-E02</v>
      </c>
      <c r="W37" s="1" t="str">
        <f t="shared" si="9"/>
        <v>Ruta-D-377-E02</v>
      </c>
      <c r="X37" s="4" t="b">
        <f t="shared" si="6"/>
        <v>1</v>
      </c>
      <c r="Y37" s="1" t="e">
        <f>VLOOKUP(D37,'Orden de Imagen'!$A$1:D178,4,FALSE())</f>
        <v>#N/A</v>
      </c>
      <c r="Z37" s="1" t="e">
        <f t="shared" si="7"/>
        <v>#N/A</v>
      </c>
    </row>
    <row r="38" spans="1:26" ht="15" customHeight="1" x14ac:dyDescent="0.25">
      <c r="A38" s="1">
        <v>38</v>
      </c>
      <c r="B38" s="1" t="s">
        <v>137</v>
      </c>
      <c r="C38" s="1" t="s">
        <v>138</v>
      </c>
      <c r="D38" s="1" t="str">
        <f t="shared" si="10"/>
        <v>CL_MLP_PAO_IF_Ortho_25_05_07_Ruta-D-377-E03</v>
      </c>
      <c r="E38" s="1" t="s">
        <v>139</v>
      </c>
      <c r="F38" s="1" t="s">
        <v>28</v>
      </c>
      <c r="G38" s="1" t="s">
        <v>29</v>
      </c>
      <c r="H38" s="16">
        <v>45784.166666666701</v>
      </c>
      <c r="I38" s="16">
        <v>45870</v>
      </c>
      <c r="J38" s="1" t="s">
        <v>30</v>
      </c>
      <c r="K38" s="2" t="str">
        <f t="shared" si="1"/>
        <v>https://sig.aminerals.cl/imgdyn/rest/services/CL_MLP_PAO/CL_MLP_PAO_IF_Ortho_ALL/ImageServer/file?id=.\El_Mauro_Puerto_Punta_Chungo_Drone\25_05_07\CL_MLP_PAO_IF_Ortho_25_05_07_Ruta-D-377-E03.tiff&amp;rasterId=</v>
      </c>
      <c r="L38" s="1" t="s">
        <v>31</v>
      </c>
      <c r="M38" s="1" t="s">
        <v>32</v>
      </c>
      <c r="N38" s="1" t="s">
        <v>33</v>
      </c>
      <c r="O38" s="1" t="s">
        <v>34</v>
      </c>
      <c r="P38" s="3" t="str">
        <f t="shared" si="2"/>
        <v>07</v>
      </c>
      <c r="Q38" s="3" t="str">
        <f t="shared" si="3"/>
        <v>05</v>
      </c>
      <c r="R38" s="3" t="str">
        <f t="shared" si="4"/>
        <v>25</v>
      </c>
      <c r="S38" s="1" t="s">
        <v>50</v>
      </c>
      <c r="T38" s="1">
        <v>1</v>
      </c>
      <c r="U38" s="1" t="s">
        <v>36</v>
      </c>
      <c r="V38" s="1" t="str">
        <f t="shared" si="5"/>
        <v>Ruta-D-377-E03</v>
      </c>
      <c r="W38" s="1" t="str">
        <f t="shared" si="9"/>
        <v>Ruta-D-377-E03</v>
      </c>
      <c r="X38" s="4" t="b">
        <f t="shared" si="6"/>
        <v>1</v>
      </c>
      <c r="Y38" s="1" t="e">
        <f>VLOOKUP(D38,'Orden de Imagen'!$A$1:D179,4,FALSE())</f>
        <v>#N/A</v>
      </c>
      <c r="Z38" s="1" t="e">
        <f t="shared" si="7"/>
        <v>#N/A</v>
      </c>
    </row>
    <row r="39" spans="1:26" ht="15" customHeight="1" x14ac:dyDescent="0.25">
      <c r="A39" s="1">
        <v>39</v>
      </c>
      <c r="C39" s="1" t="str">
        <f>CONCATENATE(L39,"_",M39,"_",G39,"_",N39,"_",O39,"_",R39,"_",Q39,"_",P39,"_",E39,".tiff")</f>
        <v>CL_MLP_PAO_IF_Ortho_25_05_12_EDT.tiff</v>
      </c>
      <c r="D39" s="1" t="str">
        <f t="shared" si="10"/>
        <v>CL_MLP_PAO_IF_Ortho_25_05_12_EDT</v>
      </c>
      <c r="E39" s="1" t="s">
        <v>140</v>
      </c>
      <c r="F39" s="1" t="s">
        <v>28</v>
      </c>
      <c r="G39" s="1" t="s">
        <v>29</v>
      </c>
      <c r="H39" s="16">
        <v>45789.166666666701</v>
      </c>
      <c r="I39" s="16">
        <v>45870</v>
      </c>
      <c r="J39" s="1" t="s">
        <v>30</v>
      </c>
      <c r="K39" s="2" t="str">
        <f t="shared" si="1"/>
        <v>https://sig.aminerals.cl/imgdyn/rest/services/CL_MLP_PAO/CL_MLP_PAO_IF_Ortho_ALL/ImageServer/file?id=.\Puerto_Punta_Chungo_Drone\25_05_12\CL_MLP_PAO_IF_Ortho_25_05_12_EDT.tiff&amp;rasterId=</v>
      </c>
      <c r="L39" s="1" t="s">
        <v>31</v>
      </c>
      <c r="M39" s="1" t="s">
        <v>32</v>
      </c>
      <c r="N39" s="1" t="s">
        <v>33</v>
      </c>
      <c r="O39" s="1" t="s">
        <v>34</v>
      </c>
      <c r="P39" s="3" t="str">
        <f t="shared" si="2"/>
        <v>12</v>
      </c>
      <c r="Q39" s="3" t="str">
        <f t="shared" si="3"/>
        <v>05</v>
      </c>
      <c r="R39" s="3" t="str">
        <f t="shared" si="4"/>
        <v>25</v>
      </c>
      <c r="S39" s="1" t="s">
        <v>35</v>
      </c>
      <c r="T39" s="1">
        <v>1</v>
      </c>
      <c r="U39" s="1" t="s">
        <v>36</v>
      </c>
      <c r="V39" s="1" t="str">
        <f t="shared" si="5"/>
        <v>EDT</v>
      </c>
      <c r="W39" s="1" t="str">
        <f t="shared" si="9"/>
        <v>EDT</v>
      </c>
      <c r="X39" s="4" t="b">
        <f t="shared" si="6"/>
        <v>1</v>
      </c>
      <c r="Y39" s="1" t="str">
        <f>VLOOKUP(D39,'Orden de Imagen'!$A$1:D180,4,FALSE())</f>
        <v>021</v>
      </c>
      <c r="Z39" s="1" t="str">
        <f t="shared" si="7"/>
        <v>021_25_05_12_EDT</v>
      </c>
    </row>
    <row r="40" spans="1:26" ht="15" customHeight="1" x14ac:dyDescent="0.25">
      <c r="A40" s="1">
        <v>41</v>
      </c>
      <c r="B40" s="1" t="s">
        <v>141</v>
      </c>
      <c r="C40" s="1" t="s">
        <v>142</v>
      </c>
      <c r="D40" s="1" t="str">
        <f t="shared" si="10"/>
        <v>CL_MLP_PAO_IF_Ortho_25_05_12_EDT-Completa-01</v>
      </c>
      <c r="E40" s="1" t="s">
        <v>143</v>
      </c>
      <c r="F40" s="1" t="s">
        <v>28</v>
      </c>
      <c r="G40" s="1" t="s">
        <v>29</v>
      </c>
      <c r="H40" s="16">
        <v>45789.166666666701</v>
      </c>
      <c r="I40" s="16">
        <v>45870</v>
      </c>
      <c r="J40" s="1" t="s">
        <v>30</v>
      </c>
      <c r="K40" s="2" t="str">
        <f t="shared" si="1"/>
        <v>https://sig.aminerals.cl/imgdyn/rest/services/CL_MLP_PAO/CL_MLP_PAO_IF_Ortho_ALL/ImageServer/file?id=.\Puerto_Punta_Chungo_Drone\25_05_12\CL_MLP_PAO_IF_Ortho_25_05_12_EDT-Completa-01.tif&amp;rasterId=</v>
      </c>
      <c r="L40" s="1" t="s">
        <v>31</v>
      </c>
      <c r="M40" s="1" t="s">
        <v>32</v>
      </c>
      <c r="N40" s="1" t="s">
        <v>33</v>
      </c>
      <c r="O40" s="1" t="s">
        <v>34</v>
      </c>
      <c r="P40" s="3" t="str">
        <f t="shared" si="2"/>
        <v>12</v>
      </c>
      <c r="Q40" s="3" t="str">
        <f t="shared" si="3"/>
        <v>05</v>
      </c>
      <c r="R40" s="3" t="str">
        <f t="shared" si="4"/>
        <v>25</v>
      </c>
      <c r="S40" s="1" t="s">
        <v>35</v>
      </c>
      <c r="T40" s="1">
        <v>1</v>
      </c>
      <c r="U40" s="1" t="s">
        <v>36</v>
      </c>
      <c r="V40" s="1" t="str">
        <f t="shared" si="5"/>
        <v>EDT-Completa-01</v>
      </c>
      <c r="W40" s="1" t="str">
        <f t="shared" si="9"/>
        <v>EDT-Completa-01</v>
      </c>
      <c r="X40" s="4" t="b">
        <f t="shared" si="6"/>
        <v>1</v>
      </c>
      <c r="Y40" s="1" t="e">
        <f>VLOOKUP(D40,'Orden de Imagen'!$A$1:D182,4,FALSE())</f>
        <v>#N/A</v>
      </c>
      <c r="Z40" s="1" t="e">
        <f t="shared" si="7"/>
        <v>#N/A</v>
      </c>
    </row>
    <row r="41" spans="1:26" ht="15" customHeight="1" x14ac:dyDescent="0.25">
      <c r="A41" s="1">
        <v>42</v>
      </c>
      <c r="B41" s="1" t="s">
        <v>144</v>
      </c>
      <c r="C41" s="1" t="s">
        <v>145</v>
      </c>
      <c r="D41" s="1" t="str">
        <f t="shared" si="10"/>
        <v>CL_MLP_PAO_IF_Ortho_25_05_12_EDT-Completa-02</v>
      </c>
      <c r="E41" s="1" t="s">
        <v>146</v>
      </c>
      <c r="F41" s="1" t="s">
        <v>28</v>
      </c>
      <c r="G41" s="1" t="s">
        <v>29</v>
      </c>
      <c r="H41" s="16">
        <v>45789.166666666701</v>
      </c>
      <c r="I41" s="16">
        <v>45870</v>
      </c>
      <c r="J41" s="1" t="s">
        <v>30</v>
      </c>
      <c r="K41" s="2" t="str">
        <f t="shared" si="1"/>
        <v>https://sig.aminerals.cl/imgdyn/rest/services/CL_MLP_PAO/CL_MLP_PAO_IF_Ortho_ALL/ImageServer/file?id=.\Puerto_Punta_Chungo_Drone\25_05_12\CL_MLP_PAO_IF_Ortho_25_05_12_EDT-Completa-02.tif&amp;rasterId=</v>
      </c>
      <c r="L41" s="1" t="s">
        <v>31</v>
      </c>
      <c r="M41" s="1" t="s">
        <v>32</v>
      </c>
      <c r="N41" s="1" t="s">
        <v>33</v>
      </c>
      <c r="O41" s="1" t="s">
        <v>34</v>
      </c>
      <c r="P41" s="3" t="str">
        <f t="shared" si="2"/>
        <v>12</v>
      </c>
      <c r="Q41" s="3" t="str">
        <f t="shared" si="3"/>
        <v>05</v>
      </c>
      <c r="R41" s="3" t="str">
        <f t="shared" si="4"/>
        <v>25</v>
      </c>
      <c r="S41" s="1" t="s">
        <v>35</v>
      </c>
      <c r="T41" s="1">
        <v>1</v>
      </c>
      <c r="U41" s="1" t="s">
        <v>36</v>
      </c>
      <c r="V41" s="1" t="str">
        <f t="shared" si="5"/>
        <v>EDT-Completa-02</v>
      </c>
      <c r="W41" s="1" t="str">
        <f t="shared" si="9"/>
        <v>EDT-Completa-02</v>
      </c>
      <c r="X41" s="4" t="b">
        <f t="shared" si="6"/>
        <v>1</v>
      </c>
      <c r="Y41" s="1" t="e">
        <f>VLOOKUP(D41,'Orden de Imagen'!$A$1:D183,4,FALSE())</f>
        <v>#N/A</v>
      </c>
      <c r="Z41" s="1" t="e">
        <f t="shared" si="7"/>
        <v>#N/A</v>
      </c>
    </row>
    <row r="42" spans="1:26" ht="15" customHeight="1" x14ac:dyDescent="0.25">
      <c r="A42" s="1">
        <v>43</v>
      </c>
      <c r="B42" s="1" t="s">
        <v>147</v>
      </c>
      <c r="C42" s="1" t="s">
        <v>148</v>
      </c>
      <c r="D42" s="1" t="str">
        <f t="shared" si="10"/>
        <v>CL_MLP_PAO_IF_Ortho_25_05_12_EDT-Completa-03</v>
      </c>
      <c r="E42" s="1" t="s">
        <v>149</v>
      </c>
      <c r="F42" s="1" t="s">
        <v>28</v>
      </c>
      <c r="G42" s="1" t="s">
        <v>29</v>
      </c>
      <c r="H42" s="16">
        <v>45789.166666666701</v>
      </c>
      <c r="I42" s="16">
        <v>45870</v>
      </c>
      <c r="J42" s="1" t="s">
        <v>30</v>
      </c>
      <c r="K42" s="2" t="str">
        <f t="shared" si="1"/>
        <v>https://sig.aminerals.cl/imgdyn/rest/services/CL_MLP_PAO/CL_MLP_PAO_IF_Ortho_ALL/ImageServer/file?id=.\Puerto_Punta_Chungo_Drone\25_05_12\CL_MLP_PAO_IF_Ortho_25_05_12_EDT-Completa-03.tif&amp;rasterId=</v>
      </c>
      <c r="L42" s="1" t="s">
        <v>31</v>
      </c>
      <c r="M42" s="1" t="s">
        <v>32</v>
      </c>
      <c r="N42" s="1" t="s">
        <v>33</v>
      </c>
      <c r="O42" s="1" t="s">
        <v>34</v>
      </c>
      <c r="P42" s="3" t="str">
        <f t="shared" si="2"/>
        <v>12</v>
      </c>
      <c r="Q42" s="3" t="str">
        <f t="shared" si="3"/>
        <v>05</v>
      </c>
      <c r="R42" s="3" t="str">
        <f t="shared" si="4"/>
        <v>25</v>
      </c>
      <c r="S42" s="1" t="s">
        <v>35</v>
      </c>
      <c r="T42" s="1">
        <v>1</v>
      </c>
      <c r="U42" s="1" t="s">
        <v>36</v>
      </c>
      <c r="V42" s="1" t="str">
        <f t="shared" si="5"/>
        <v>EDT-Completa-03</v>
      </c>
      <c r="W42" s="1" t="str">
        <f t="shared" si="9"/>
        <v>EDT-Completa-03</v>
      </c>
      <c r="X42" s="4" t="b">
        <f t="shared" si="6"/>
        <v>1</v>
      </c>
      <c r="Y42" s="1" t="e">
        <f>VLOOKUP(D42,'Orden de Imagen'!$A$1:D184,4,FALSE())</f>
        <v>#N/A</v>
      </c>
      <c r="Z42" s="1" t="e">
        <f t="shared" si="7"/>
        <v>#N/A</v>
      </c>
    </row>
    <row r="43" spans="1:26" ht="15" customHeight="1" x14ac:dyDescent="0.25">
      <c r="A43" s="1">
        <v>44</v>
      </c>
      <c r="B43" s="1" t="s">
        <v>150</v>
      </c>
      <c r="C43" s="1" t="s">
        <v>151</v>
      </c>
      <c r="D43" s="1" t="str">
        <f t="shared" si="10"/>
        <v>CL_MLP_PAO_IF_Ortho_25_05_12_EDT-Completa-04</v>
      </c>
      <c r="E43" s="1" t="s">
        <v>152</v>
      </c>
      <c r="F43" s="1" t="s">
        <v>28</v>
      </c>
      <c r="G43" s="1" t="s">
        <v>29</v>
      </c>
      <c r="H43" s="16">
        <v>45789.166666666701</v>
      </c>
      <c r="I43" s="16">
        <v>45870</v>
      </c>
      <c r="J43" s="1" t="s">
        <v>30</v>
      </c>
      <c r="K43" s="2" t="str">
        <f t="shared" si="1"/>
        <v>https://sig.aminerals.cl/imgdyn/rest/services/CL_MLP_PAO/CL_MLP_PAO_IF_Ortho_ALL/ImageServer/file?id=.\Puerto_Punta_Chungo_Drone\25_05_12\CL_MLP_PAO_IF_Ortho_25_05_12_EDT-Completa-04.tif&amp;rasterId=</v>
      </c>
      <c r="L43" s="1" t="s">
        <v>31</v>
      </c>
      <c r="M43" s="1" t="s">
        <v>32</v>
      </c>
      <c r="N43" s="1" t="s">
        <v>33</v>
      </c>
      <c r="O43" s="1" t="s">
        <v>34</v>
      </c>
      <c r="P43" s="3" t="str">
        <f t="shared" si="2"/>
        <v>12</v>
      </c>
      <c r="Q43" s="3" t="str">
        <f t="shared" si="3"/>
        <v>05</v>
      </c>
      <c r="R43" s="3" t="str">
        <f t="shared" si="4"/>
        <v>25</v>
      </c>
      <c r="S43" s="1" t="s">
        <v>35</v>
      </c>
      <c r="T43" s="1">
        <v>1</v>
      </c>
      <c r="U43" s="1" t="s">
        <v>36</v>
      </c>
      <c r="V43" s="1" t="str">
        <f t="shared" si="5"/>
        <v>EDT-Completa-04</v>
      </c>
      <c r="W43" s="1" t="str">
        <f t="shared" si="9"/>
        <v>EDT-Completa-04</v>
      </c>
      <c r="X43" s="4" t="b">
        <f t="shared" si="6"/>
        <v>1</v>
      </c>
      <c r="Y43" s="1" t="e">
        <f>VLOOKUP(D43,'Orden de Imagen'!$A$1:D185,4,FALSE())</f>
        <v>#N/A</v>
      </c>
      <c r="Z43" s="1" t="e">
        <f t="shared" si="7"/>
        <v>#N/A</v>
      </c>
    </row>
    <row r="44" spans="1:26" ht="15" customHeight="1" x14ac:dyDescent="0.25">
      <c r="A44" s="1">
        <v>45</v>
      </c>
      <c r="B44" s="1" t="s">
        <v>153</v>
      </c>
      <c r="C44" s="1" t="s">
        <v>154</v>
      </c>
      <c r="D44" s="1" t="str">
        <f t="shared" si="10"/>
        <v>CL_MLP_PAO_IF_Ortho_25_05_12_EDT-Completa-05</v>
      </c>
      <c r="E44" s="1" t="s">
        <v>155</v>
      </c>
      <c r="F44" s="1" t="s">
        <v>28</v>
      </c>
      <c r="G44" s="1" t="s">
        <v>29</v>
      </c>
      <c r="H44" s="16">
        <v>45789.166666666701</v>
      </c>
      <c r="I44" s="16">
        <v>45870</v>
      </c>
      <c r="J44" s="1" t="s">
        <v>30</v>
      </c>
      <c r="K44" s="2" t="str">
        <f t="shared" si="1"/>
        <v>https://sig.aminerals.cl/imgdyn/rest/services/CL_MLP_PAO/CL_MLP_PAO_IF_Ortho_ALL/ImageServer/file?id=.\Puerto_Punta_Chungo_Drone\25_05_12\CL_MLP_PAO_IF_Ortho_25_05_12_EDT-Completa-05.tif&amp;rasterId=</v>
      </c>
      <c r="L44" s="1" t="s">
        <v>31</v>
      </c>
      <c r="M44" s="1" t="s">
        <v>32</v>
      </c>
      <c r="N44" s="1" t="s">
        <v>33</v>
      </c>
      <c r="O44" s="1" t="s">
        <v>34</v>
      </c>
      <c r="P44" s="3" t="str">
        <f t="shared" si="2"/>
        <v>12</v>
      </c>
      <c r="Q44" s="3" t="str">
        <f t="shared" si="3"/>
        <v>05</v>
      </c>
      <c r="R44" s="3" t="str">
        <f t="shared" si="4"/>
        <v>25</v>
      </c>
      <c r="S44" s="1" t="s">
        <v>35</v>
      </c>
      <c r="T44" s="1">
        <v>1</v>
      </c>
      <c r="U44" s="1" t="s">
        <v>36</v>
      </c>
      <c r="V44" s="1" t="str">
        <f t="shared" si="5"/>
        <v>EDT-Completa-05</v>
      </c>
      <c r="W44" s="1" t="str">
        <f t="shared" si="9"/>
        <v>EDT-Completa-05</v>
      </c>
      <c r="X44" s="4" t="b">
        <f t="shared" si="6"/>
        <v>1</v>
      </c>
      <c r="Y44" s="1" t="e">
        <f>VLOOKUP(D44,'Orden de Imagen'!$A$1:D186,4,FALSE())</f>
        <v>#N/A</v>
      </c>
      <c r="Z44" s="1" t="e">
        <f t="shared" si="7"/>
        <v>#N/A</v>
      </c>
    </row>
    <row r="45" spans="1:26" ht="15" customHeight="1" x14ac:dyDescent="0.25">
      <c r="A45" s="1">
        <v>46</v>
      </c>
      <c r="B45" s="1" t="s">
        <v>156</v>
      </c>
      <c r="C45" s="1" t="s">
        <v>157</v>
      </c>
      <c r="D45" s="1" t="str">
        <f t="shared" si="10"/>
        <v>CL_MLP_PAO_IF_Ortho_25_05_12_EDT-Completa-06</v>
      </c>
      <c r="E45" s="1" t="s">
        <v>158</v>
      </c>
      <c r="F45" s="1" t="s">
        <v>28</v>
      </c>
      <c r="G45" s="1" t="s">
        <v>29</v>
      </c>
      <c r="H45" s="16">
        <v>45789.166666666701</v>
      </c>
      <c r="I45" s="16">
        <v>45870</v>
      </c>
      <c r="J45" s="1" t="s">
        <v>30</v>
      </c>
      <c r="K45" s="2" t="str">
        <f t="shared" si="1"/>
        <v>https://sig.aminerals.cl/imgdyn/rest/services/CL_MLP_PAO/CL_MLP_PAO_IF_Ortho_ALL/ImageServer/file?id=.\Puerto_Punta_Chungo_Drone\25_05_12\CL_MLP_PAO_IF_Ortho_25_05_12_EDT-Completa-06.tif&amp;rasterId=</v>
      </c>
      <c r="L45" s="1" t="s">
        <v>31</v>
      </c>
      <c r="M45" s="1" t="s">
        <v>32</v>
      </c>
      <c r="N45" s="1" t="s">
        <v>33</v>
      </c>
      <c r="O45" s="1" t="s">
        <v>34</v>
      </c>
      <c r="P45" s="3" t="str">
        <f t="shared" si="2"/>
        <v>12</v>
      </c>
      <c r="Q45" s="3" t="str">
        <f t="shared" si="3"/>
        <v>05</v>
      </c>
      <c r="R45" s="3" t="str">
        <f t="shared" si="4"/>
        <v>25</v>
      </c>
      <c r="S45" s="1" t="s">
        <v>35</v>
      </c>
      <c r="T45" s="1">
        <v>1</v>
      </c>
      <c r="U45" s="1" t="s">
        <v>36</v>
      </c>
      <c r="V45" s="1" t="str">
        <f t="shared" si="5"/>
        <v>EDT-Completa-06</v>
      </c>
      <c r="W45" s="1" t="str">
        <f t="shared" si="9"/>
        <v>EDT-Completa-06</v>
      </c>
      <c r="X45" s="4" t="b">
        <f t="shared" si="6"/>
        <v>1</v>
      </c>
      <c r="Y45" s="1" t="e">
        <f>VLOOKUP(D45,'Orden de Imagen'!$A$1:D187,4,FALSE())</f>
        <v>#N/A</v>
      </c>
      <c r="Z45" s="1" t="e">
        <f t="shared" si="7"/>
        <v>#N/A</v>
      </c>
    </row>
    <row r="46" spans="1:26" ht="15" customHeight="1" x14ac:dyDescent="0.25">
      <c r="A46" s="1">
        <v>48</v>
      </c>
      <c r="C46" s="1" t="str">
        <f>CONCATENATE(L46,"_",M46,"_",G46,"_",N46,"_",O46,"_",R46,"_",Q46,"_",P46,"_",E46,".tiff")</f>
        <v>CL_MLP_PAO_IF_Ortho_25_05_12_IIFF15-Campamento-Tipay.tiff</v>
      </c>
      <c r="D46" s="1" t="str">
        <f t="shared" si="10"/>
        <v>CL_MLP_PAO_IF_Ortho_25_05_12_IIFF15-Campamento-Tipay</v>
      </c>
      <c r="E46" s="1" t="s">
        <v>159</v>
      </c>
      <c r="F46" s="1" t="s">
        <v>28</v>
      </c>
      <c r="G46" s="1" t="s">
        <v>29</v>
      </c>
      <c r="H46" s="16">
        <v>45789.166666666701</v>
      </c>
      <c r="I46" s="16">
        <v>45933</v>
      </c>
      <c r="J46" s="1" t="s">
        <v>30</v>
      </c>
      <c r="K46" s="2" t="str">
        <f t="shared" si="1"/>
        <v>https://sig.aminerals.cl/imgdyn/rest/services/CL_MLP_PAO/CL_MLP_PAO_IF_Ortho_ALL/ImageServer/file?id=.\El_Mauro_Puerto_Punta_Chungo_Drone\25_05_12\CL_MLP_PAO_IF_Ortho_25_05_12_IIFF15-Campamento-Tipay.tiff&amp;rasterId=</v>
      </c>
      <c r="L46" s="1" t="s">
        <v>31</v>
      </c>
      <c r="M46" s="1" t="s">
        <v>32</v>
      </c>
      <c r="N46" s="1" t="s">
        <v>33</v>
      </c>
      <c r="O46" s="1" t="s">
        <v>34</v>
      </c>
      <c r="P46" s="3" t="str">
        <f t="shared" si="2"/>
        <v>12</v>
      </c>
      <c r="Q46" s="3" t="str">
        <f t="shared" si="3"/>
        <v>05</v>
      </c>
      <c r="R46" s="3" t="str">
        <f t="shared" si="4"/>
        <v>25</v>
      </c>
      <c r="S46" s="1" t="s">
        <v>50</v>
      </c>
      <c r="T46" s="1">
        <v>1</v>
      </c>
      <c r="U46" s="1" t="s">
        <v>36</v>
      </c>
      <c r="V46" s="1" t="str">
        <f t="shared" si="5"/>
        <v>IIFF15-Campamento-Tipay</v>
      </c>
      <c r="W46" s="1" t="str">
        <f t="shared" si="9"/>
        <v>IIFF15-Campamento-Tipay</v>
      </c>
      <c r="X46" s="4" t="b">
        <f t="shared" si="6"/>
        <v>1</v>
      </c>
      <c r="Y46" s="1" t="str">
        <f>VLOOKUP(D46,'Orden de Imagen'!$A$1:D189,4,FALSE())</f>
        <v>022</v>
      </c>
      <c r="Z46" s="1" t="str">
        <f t="shared" si="7"/>
        <v>022_25_05_12_IIFF15-Campamento-Tipay</v>
      </c>
    </row>
    <row r="47" spans="1:26" ht="15" customHeight="1" x14ac:dyDescent="0.25">
      <c r="A47" s="1">
        <v>49</v>
      </c>
      <c r="B47" s="1" t="s">
        <v>160</v>
      </c>
      <c r="C47" s="1" t="s">
        <v>161</v>
      </c>
      <c r="D47" s="1" t="str">
        <f t="shared" si="10"/>
        <v>CL_MLP_PAO_IF_Ortho_25_05_12_IIFF15-Campamento-Tipay-01</v>
      </c>
      <c r="E47" s="1" t="s">
        <v>162</v>
      </c>
      <c r="F47" s="1" t="s">
        <v>28</v>
      </c>
      <c r="G47" s="1" t="s">
        <v>29</v>
      </c>
      <c r="H47" s="16">
        <v>45789.166666666701</v>
      </c>
      <c r="I47" s="16">
        <v>45870</v>
      </c>
      <c r="J47" s="1" t="s">
        <v>30</v>
      </c>
      <c r="K47" s="2" t="str">
        <f t="shared" si="1"/>
        <v>https://sig.aminerals.cl/imgdyn/rest/services/CL_MLP_PAO/CL_MLP_PAO_IF_Ortho_ALL/ImageServer/file?id=.\El_Mauro_Puerto_Punta_Chungo_Drone\25_05_12\CL_MLP_PAO_IF_Ortho_25_05_12_IIFF15-Campamento-Tipay-01.tiff&amp;rasterId=</v>
      </c>
      <c r="L47" s="1" t="s">
        <v>31</v>
      </c>
      <c r="M47" s="1" t="s">
        <v>32</v>
      </c>
      <c r="N47" s="1" t="s">
        <v>33</v>
      </c>
      <c r="O47" s="1" t="s">
        <v>34</v>
      </c>
      <c r="P47" s="3" t="str">
        <f t="shared" si="2"/>
        <v>12</v>
      </c>
      <c r="Q47" s="3" t="str">
        <f t="shared" si="3"/>
        <v>05</v>
      </c>
      <c r="R47" s="3" t="str">
        <f t="shared" si="4"/>
        <v>25</v>
      </c>
      <c r="S47" s="1" t="s">
        <v>50</v>
      </c>
      <c r="T47" s="1">
        <v>1</v>
      </c>
      <c r="U47" s="1" t="s">
        <v>36</v>
      </c>
      <c r="V47" s="1" t="str">
        <f t="shared" si="5"/>
        <v>IIFF15-Campamento-Tipay-01</v>
      </c>
      <c r="W47" s="1" t="str">
        <f t="shared" si="9"/>
        <v>IIFF15-Campamento-Tipay-01</v>
      </c>
      <c r="X47" s="4" t="b">
        <f t="shared" si="6"/>
        <v>1</v>
      </c>
      <c r="Y47" s="1" t="e">
        <f>VLOOKUP(D47,'Orden de Imagen'!$A$1:D190,4,FALSE())</f>
        <v>#N/A</v>
      </c>
      <c r="Z47" s="1" t="e">
        <f t="shared" si="7"/>
        <v>#N/A</v>
      </c>
    </row>
    <row r="48" spans="1:26" ht="15" customHeight="1" x14ac:dyDescent="0.25">
      <c r="A48" s="1">
        <v>50</v>
      </c>
      <c r="B48" s="1" t="s">
        <v>163</v>
      </c>
      <c r="C48" s="1" t="s">
        <v>164</v>
      </c>
      <c r="D48" s="1" t="str">
        <f t="shared" si="10"/>
        <v>CL_MLP_PAO_IF_Ortho_25_05_12_IIFF15-Campamento-Tipay-02</v>
      </c>
      <c r="E48" s="1" t="s">
        <v>165</v>
      </c>
      <c r="F48" s="1" t="s">
        <v>28</v>
      </c>
      <c r="G48" s="1" t="s">
        <v>29</v>
      </c>
      <c r="H48" s="16">
        <v>45789.166666666701</v>
      </c>
      <c r="I48" s="16">
        <v>45870</v>
      </c>
      <c r="J48" s="1" t="s">
        <v>30</v>
      </c>
      <c r="K48" s="2" t="str">
        <f t="shared" si="1"/>
        <v>https://sig.aminerals.cl/imgdyn/rest/services/CL_MLP_PAO/CL_MLP_PAO_IF_Ortho_ALL/ImageServer/file?id=.\El_Mauro_Puerto_Punta_Chungo_Drone\25_05_12\CL_MLP_PAO_IF_Ortho_25_05_12_IIFF15-Campamento-Tipay-02.tiff&amp;rasterId=</v>
      </c>
      <c r="L48" s="1" t="s">
        <v>31</v>
      </c>
      <c r="M48" s="1" t="s">
        <v>32</v>
      </c>
      <c r="N48" s="1" t="s">
        <v>33</v>
      </c>
      <c r="O48" s="1" t="s">
        <v>34</v>
      </c>
      <c r="P48" s="3" t="str">
        <f t="shared" si="2"/>
        <v>12</v>
      </c>
      <c r="Q48" s="3" t="str">
        <f t="shared" si="3"/>
        <v>05</v>
      </c>
      <c r="R48" s="3" t="str">
        <f t="shared" si="4"/>
        <v>25</v>
      </c>
      <c r="S48" s="1" t="s">
        <v>50</v>
      </c>
      <c r="T48" s="1">
        <v>1</v>
      </c>
      <c r="U48" s="1" t="s">
        <v>36</v>
      </c>
      <c r="V48" s="1" t="str">
        <f t="shared" si="5"/>
        <v>IIFF15-Campamento-Tipay-02</v>
      </c>
      <c r="W48" s="1" t="str">
        <f t="shared" si="9"/>
        <v>IIFF15-Campamento-Tipay-02</v>
      </c>
      <c r="X48" s="4" t="b">
        <f t="shared" si="6"/>
        <v>1</v>
      </c>
      <c r="Y48" s="1" t="e">
        <f>VLOOKUP(D48,'Orden de Imagen'!$A$1:D191,4,FALSE())</f>
        <v>#N/A</v>
      </c>
      <c r="Z48" s="1" t="e">
        <f t="shared" si="7"/>
        <v>#N/A</v>
      </c>
    </row>
    <row r="49" spans="1:26" ht="15" customHeight="1" x14ac:dyDescent="0.25">
      <c r="A49" s="1">
        <v>51</v>
      </c>
      <c r="B49" s="1" t="s">
        <v>166</v>
      </c>
      <c r="C49" s="1" t="s">
        <v>167</v>
      </c>
      <c r="D49" s="1" t="str">
        <f t="shared" si="10"/>
        <v>CL_MLP_PAO_IF_Ortho_25_05_12_IIFF15-Campamento-Tipay-03</v>
      </c>
      <c r="E49" s="1" t="s">
        <v>168</v>
      </c>
      <c r="F49" s="1" t="s">
        <v>28</v>
      </c>
      <c r="G49" s="1" t="s">
        <v>29</v>
      </c>
      <c r="H49" s="16">
        <v>45789.166666666701</v>
      </c>
      <c r="I49" s="16">
        <v>45870</v>
      </c>
      <c r="J49" s="1" t="s">
        <v>30</v>
      </c>
      <c r="K49" s="2" t="str">
        <f t="shared" si="1"/>
        <v>https://sig.aminerals.cl/imgdyn/rest/services/CL_MLP_PAO/CL_MLP_PAO_IF_Ortho_ALL/ImageServer/file?id=.\El_Mauro_Puerto_Punta_Chungo_Drone\25_05_12\CL_MLP_PAO_IF_Ortho_25_05_12_IIFF15-Campamento-Tipay-03.tiff&amp;rasterId=</v>
      </c>
      <c r="L49" s="1" t="s">
        <v>31</v>
      </c>
      <c r="M49" s="1" t="s">
        <v>32</v>
      </c>
      <c r="N49" s="1" t="s">
        <v>33</v>
      </c>
      <c r="O49" s="1" t="s">
        <v>34</v>
      </c>
      <c r="P49" s="3" t="str">
        <f t="shared" si="2"/>
        <v>12</v>
      </c>
      <c r="Q49" s="3" t="str">
        <f t="shared" si="3"/>
        <v>05</v>
      </c>
      <c r="R49" s="3" t="str">
        <f t="shared" si="4"/>
        <v>25</v>
      </c>
      <c r="S49" s="1" t="s">
        <v>50</v>
      </c>
      <c r="T49" s="1">
        <v>1</v>
      </c>
      <c r="U49" s="1" t="s">
        <v>36</v>
      </c>
      <c r="V49" s="1" t="str">
        <f t="shared" si="5"/>
        <v>IIFF15-Campamento-Tipay-03</v>
      </c>
      <c r="W49" s="1" t="str">
        <f t="shared" si="9"/>
        <v>IIFF15-Campamento-Tipay-03</v>
      </c>
      <c r="X49" s="4" t="b">
        <f t="shared" si="6"/>
        <v>1</v>
      </c>
      <c r="Y49" s="1" t="e">
        <f>VLOOKUP(D49,'Orden de Imagen'!$A$1:D192,4,FALSE())</f>
        <v>#N/A</v>
      </c>
      <c r="Z49" s="1" t="e">
        <f t="shared" si="7"/>
        <v>#N/A</v>
      </c>
    </row>
    <row r="50" spans="1:26" ht="15" customHeight="1" x14ac:dyDescent="0.25">
      <c r="A50" s="1">
        <v>52</v>
      </c>
      <c r="B50" s="1" t="s">
        <v>169</v>
      </c>
      <c r="C50" s="1" t="s">
        <v>170</v>
      </c>
      <c r="D50" s="1" t="str">
        <f t="shared" si="10"/>
        <v>CL_MLP_PAO_IF_Ortho_25_05_12_IIFF15-Campamento-Tipay-04</v>
      </c>
      <c r="E50" s="1" t="s">
        <v>171</v>
      </c>
      <c r="F50" s="1" t="s">
        <v>28</v>
      </c>
      <c r="G50" s="1" t="s">
        <v>29</v>
      </c>
      <c r="H50" s="16">
        <v>45789.166666666701</v>
      </c>
      <c r="I50" s="16">
        <v>45870</v>
      </c>
      <c r="J50" s="1" t="s">
        <v>30</v>
      </c>
      <c r="K50" s="2" t="str">
        <f t="shared" si="1"/>
        <v>https://sig.aminerals.cl/imgdyn/rest/services/CL_MLP_PAO/CL_MLP_PAO_IF_Ortho_ALL/ImageServer/file?id=.\El_Mauro_Puerto_Punta_Chungo_Drone\25_05_12\CL_MLP_PAO_IF_Ortho_25_05_12_IIFF15-Campamento-Tipay-04.tiff&amp;rasterId=</v>
      </c>
      <c r="L50" s="1" t="s">
        <v>31</v>
      </c>
      <c r="M50" s="1" t="s">
        <v>32</v>
      </c>
      <c r="N50" s="1" t="s">
        <v>33</v>
      </c>
      <c r="O50" s="1" t="s">
        <v>34</v>
      </c>
      <c r="P50" s="3" t="str">
        <f t="shared" si="2"/>
        <v>12</v>
      </c>
      <c r="Q50" s="3" t="str">
        <f t="shared" si="3"/>
        <v>05</v>
      </c>
      <c r="R50" s="3" t="str">
        <f t="shared" si="4"/>
        <v>25</v>
      </c>
      <c r="S50" s="1" t="s">
        <v>50</v>
      </c>
      <c r="T50" s="1">
        <v>1</v>
      </c>
      <c r="U50" s="1" t="s">
        <v>36</v>
      </c>
      <c r="V50" s="1" t="str">
        <f t="shared" si="5"/>
        <v>IIFF15-Campamento-Tipay-04</v>
      </c>
      <c r="W50" s="1" t="str">
        <f t="shared" si="9"/>
        <v>IIFF15-Campamento-Tipay-04</v>
      </c>
      <c r="X50" s="4" t="b">
        <f t="shared" si="6"/>
        <v>1</v>
      </c>
      <c r="Y50" s="1" t="e">
        <f>VLOOKUP(D50,'Orden de Imagen'!$A$1:D193,4,FALSE())</f>
        <v>#N/A</v>
      </c>
      <c r="Z50" s="1" t="e">
        <f t="shared" si="7"/>
        <v>#N/A</v>
      </c>
    </row>
    <row r="51" spans="1:26" ht="15" customHeight="1" x14ac:dyDescent="0.25">
      <c r="A51" s="1">
        <v>53</v>
      </c>
      <c r="B51" s="1" t="s">
        <v>172</v>
      </c>
      <c r="C51" s="1" t="s">
        <v>173</v>
      </c>
      <c r="D51" s="1" t="str">
        <f t="shared" si="10"/>
        <v>CL_MLP_PAO_IF_Ortho_25_05_12_IIFF15-Campamento-Tipay-05</v>
      </c>
      <c r="E51" s="1" t="s">
        <v>174</v>
      </c>
      <c r="F51" s="1" t="s">
        <v>28</v>
      </c>
      <c r="G51" s="1" t="s">
        <v>29</v>
      </c>
      <c r="H51" s="16">
        <v>45789.166666666701</v>
      </c>
      <c r="I51" s="16">
        <v>45870</v>
      </c>
      <c r="J51" s="1" t="s">
        <v>30</v>
      </c>
      <c r="K51" s="2" t="str">
        <f t="shared" si="1"/>
        <v>https://sig.aminerals.cl/imgdyn/rest/services/CL_MLP_PAO/CL_MLP_PAO_IF_Ortho_ALL/ImageServer/file?id=.\El_Mauro_Puerto_Punta_Chungo_Drone\25_05_12\CL_MLP_PAO_IF_Ortho_25_05_12_IIFF15-Campamento-Tipay-05.tiff&amp;rasterId=</v>
      </c>
      <c r="L51" s="1" t="s">
        <v>31</v>
      </c>
      <c r="M51" s="1" t="s">
        <v>32</v>
      </c>
      <c r="N51" s="1" t="s">
        <v>33</v>
      </c>
      <c r="O51" s="1" t="s">
        <v>34</v>
      </c>
      <c r="P51" s="3" t="str">
        <f t="shared" si="2"/>
        <v>12</v>
      </c>
      <c r="Q51" s="3" t="str">
        <f t="shared" si="3"/>
        <v>05</v>
      </c>
      <c r="R51" s="3" t="str">
        <f t="shared" si="4"/>
        <v>25</v>
      </c>
      <c r="S51" s="1" t="s">
        <v>50</v>
      </c>
      <c r="T51" s="1">
        <v>1</v>
      </c>
      <c r="U51" s="1" t="s">
        <v>36</v>
      </c>
      <c r="V51" s="1" t="str">
        <f t="shared" si="5"/>
        <v>IIFF15-Campamento-Tipay-05</v>
      </c>
      <c r="W51" s="1" t="str">
        <f t="shared" si="9"/>
        <v>IIFF15-Campamento-Tipay-05</v>
      </c>
      <c r="X51" s="4" t="b">
        <f t="shared" si="6"/>
        <v>1</v>
      </c>
      <c r="Y51" s="1" t="e">
        <f>VLOOKUP(D51,'Orden de Imagen'!$A$1:D194,4,FALSE())</f>
        <v>#N/A</v>
      </c>
      <c r="Z51" s="1" t="e">
        <f t="shared" si="7"/>
        <v>#N/A</v>
      </c>
    </row>
    <row r="52" spans="1:26" ht="15" customHeight="1" x14ac:dyDescent="0.25">
      <c r="A52" s="1">
        <v>54</v>
      </c>
      <c r="B52" s="1" t="s">
        <v>175</v>
      </c>
      <c r="C52" s="1" t="s">
        <v>176</v>
      </c>
      <c r="D52" s="1" t="str">
        <f t="shared" si="10"/>
        <v>CL_MLP_PAO_IF_Ortho_25_05_12_IIFF15-Campamento-Tipay-06</v>
      </c>
      <c r="E52" s="1" t="s">
        <v>177</v>
      </c>
      <c r="F52" s="1" t="s">
        <v>28</v>
      </c>
      <c r="G52" s="1" t="s">
        <v>29</v>
      </c>
      <c r="H52" s="16">
        <v>45789.166666666701</v>
      </c>
      <c r="I52" s="16">
        <v>45870</v>
      </c>
      <c r="J52" s="1" t="s">
        <v>30</v>
      </c>
      <c r="K52" s="2" t="str">
        <f t="shared" si="1"/>
        <v>https://sig.aminerals.cl/imgdyn/rest/services/CL_MLP_PAO/CL_MLP_PAO_IF_Ortho_ALL/ImageServer/file?id=.\El_Mauro_Puerto_Punta_Chungo_Drone\25_05_12\CL_MLP_PAO_IF_Ortho_25_05_12_IIFF15-Campamento-Tipay-06.tiff&amp;rasterId=</v>
      </c>
      <c r="L52" s="1" t="s">
        <v>31</v>
      </c>
      <c r="M52" s="1" t="s">
        <v>32</v>
      </c>
      <c r="N52" s="1" t="s">
        <v>33</v>
      </c>
      <c r="O52" s="1" t="s">
        <v>34</v>
      </c>
      <c r="P52" s="3" t="str">
        <f t="shared" si="2"/>
        <v>12</v>
      </c>
      <c r="Q52" s="3" t="str">
        <f t="shared" si="3"/>
        <v>05</v>
      </c>
      <c r="R52" s="3" t="str">
        <f t="shared" si="4"/>
        <v>25</v>
      </c>
      <c r="S52" s="1" t="s">
        <v>50</v>
      </c>
      <c r="T52" s="1">
        <v>1</v>
      </c>
      <c r="U52" s="1" t="s">
        <v>36</v>
      </c>
      <c r="V52" s="1" t="str">
        <f t="shared" si="5"/>
        <v>IIFF15-Campamento-Tipay-06</v>
      </c>
      <c r="W52" s="1" t="str">
        <f t="shared" si="9"/>
        <v>IIFF15-Campamento-Tipay-06</v>
      </c>
      <c r="X52" s="4" t="b">
        <f t="shared" si="6"/>
        <v>1</v>
      </c>
      <c r="Y52" s="1" t="e">
        <f>VLOOKUP(D52,'Orden de Imagen'!$A$1:D195,4,FALSE())</f>
        <v>#N/A</v>
      </c>
      <c r="Z52" s="1" t="e">
        <f t="shared" si="7"/>
        <v>#N/A</v>
      </c>
    </row>
    <row r="53" spans="1:26" ht="15" customHeight="1" x14ac:dyDescent="0.25">
      <c r="A53" s="1">
        <v>55</v>
      </c>
      <c r="B53" s="1" t="s">
        <v>178</v>
      </c>
      <c r="C53" s="1" t="s">
        <v>179</v>
      </c>
      <c r="D53" s="1" t="str">
        <f t="shared" si="10"/>
        <v>CL_MLP_PAO_IF_Ortho_25_05_12_Monte-Aranda-84p2-a-82p3</v>
      </c>
      <c r="E53" s="1" t="s">
        <v>118</v>
      </c>
      <c r="F53" s="1" t="s">
        <v>28</v>
      </c>
      <c r="G53" s="1" t="s">
        <v>29</v>
      </c>
      <c r="H53" s="16">
        <v>45789.166666666701</v>
      </c>
      <c r="I53" s="16">
        <v>45877</v>
      </c>
      <c r="J53" s="1" t="s">
        <v>30</v>
      </c>
      <c r="K53" s="2" t="str">
        <f t="shared" si="1"/>
        <v>https://sig.aminerals.cl/imgdyn/rest/services/CL_MLP_PAO/CL_MLP_PAO_IF_Ortho_ALL/ImageServer/file?id=.\Chacay_El_Mauro_Drone\25_05_12\CL_MLP_PAO_IF_Ortho_25_05_12_Monte-Aranda-84p2-a-82p3.tiff&amp;rasterId=</v>
      </c>
      <c r="L53" s="1" t="s">
        <v>31</v>
      </c>
      <c r="M53" s="1" t="s">
        <v>32</v>
      </c>
      <c r="N53" s="1" t="s">
        <v>33</v>
      </c>
      <c r="O53" s="1" t="s">
        <v>34</v>
      </c>
      <c r="P53" s="3" t="str">
        <f t="shared" si="2"/>
        <v>12</v>
      </c>
      <c r="Q53" s="3" t="str">
        <f t="shared" si="3"/>
        <v>05</v>
      </c>
      <c r="R53" s="3" t="str">
        <f t="shared" si="4"/>
        <v>25</v>
      </c>
      <c r="S53" s="1" t="s">
        <v>40</v>
      </c>
      <c r="T53" s="1">
        <v>1</v>
      </c>
      <c r="U53" s="1" t="s">
        <v>36</v>
      </c>
      <c r="V53" s="1" t="str">
        <f t="shared" si="5"/>
        <v>Monte-Aranda-84p2-a-82p3</v>
      </c>
      <c r="W53" s="1" t="str">
        <f t="shared" si="9"/>
        <v>Monte-Aranda-84p2-a-82p3</v>
      </c>
      <c r="X53" s="4" t="b">
        <f t="shared" si="6"/>
        <v>1</v>
      </c>
      <c r="Y53" s="1" t="e">
        <f>VLOOKUP(D53,'Orden de Imagen'!$A$1:D196,4,FALSE())</f>
        <v>#N/A</v>
      </c>
      <c r="Z53" s="1" t="e">
        <f t="shared" si="7"/>
        <v>#N/A</v>
      </c>
    </row>
    <row r="54" spans="1:26" ht="15" customHeight="1" x14ac:dyDescent="0.25">
      <c r="A54" s="1">
        <v>56</v>
      </c>
      <c r="B54" s="1" t="s">
        <v>180</v>
      </c>
      <c r="C54" s="1" t="s">
        <v>181</v>
      </c>
      <c r="D54" s="1" t="str">
        <f t="shared" si="10"/>
        <v>CL_MLP_PAO_IF_Ortho_25_05_15_DME9_PA12_IIFF8</v>
      </c>
      <c r="E54" s="1" t="s">
        <v>182</v>
      </c>
      <c r="F54" s="1" t="s">
        <v>28</v>
      </c>
      <c r="G54" s="1" t="s">
        <v>29</v>
      </c>
      <c r="H54" s="16">
        <v>45792.166666666701</v>
      </c>
      <c r="I54" s="16">
        <v>45878</v>
      </c>
      <c r="J54" s="1" t="s">
        <v>30</v>
      </c>
      <c r="K54" s="2" t="str">
        <f t="shared" si="1"/>
        <v>https://sig.aminerals.cl/imgdyn/rest/services/CL_MLP_PAO/CL_MLP_PAO_IF_Ortho_ALL/ImageServer/file?id=.\Chacay_El_Mauro_Drone\25_05_15\CL_MLP_PAO_IF_Ortho_25_05_15_DME9_PA12_IIFF8.tiff&amp;rasterId=</v>
      </c>
      <c r="L54" s="1" t="s">
        <v>31</v>
      </c>
      <c r="M54" s="1" t="s">
        <v>32</v>
      </c>
      <c r="N54" s="1" t="s">
        <v>33</v>
      </c>
      <c r="O54" s="1" t="s">
        <v>34</v>
      </c>
      <c r="P54" s="3" t="str">
        <f t="shared" si="2"/>
        <v>15</v>
      </c>
      <c r="Q54" s="3" t="str">
        <f t="shared" si="3"/>
        <v>05</v>
      </c>
      <c r="R54" s="3" t="str">
        <f t="shared" si="4"/>
        <v>25</v>
      </c>
      <c r="S54" s="1" t="s">
        <v>40</v>
      </c>
      <c r="T54" s="1">
        <v>1</v>
      </c>
      <c r="U54" s="1" t="s">
        <v>36</v>
      </c>
      <c r="V54" s="1" t="str">
        <f t="shared" si="5"/>
        <v>DME9_PA12_IIFF8</v>
      </c>
      <c r="W54" s="1" t="str">
        <f t="shared" si="9"/>
        <v>DME9_PA12_IIFF8</v>
      </c>
      <c r="X54" s="4" t="b">
        <f t="shared" si="6"/>
        <v>1</v>
      </c>
      <c r="Y54" s="1" t="str">
        <f>VLOOKUP(D54,'Orden de Imagen'!$A$1:D197,4,FALSE())</f>
        <v>023</v>
      </c>
      <c r="Z54" s="1" t="str">
        <f t="shared" si="7"/>
        <v>023_25_05_15_DME9_PA12_IIFF8</v>
      </c>
    </row>
    <row r="55" spans="1:26" ht="15" customHeight="1" x14ac:dyDescent="0.25">
      <c r="A55" s="1">
        <v>57</v>
      </c>
      <c r="B55" s="1" t="s">
        <v>183</v>
      </c>
      <c r="C55" s="1" t="s">
        <v>184</v>
      </c>
      <c r="D55" s="1" t="str">
        <f t="shared" si="10"/>
        <v>CL_MLP_PAO_IF_Ortho_25_05_15_ED1_IIFF7_DME8</v>
      </c>
      <c r="E55" s="1" t="s">
        <v>185</v>
      </c>
      <c r="F55" s="1" t="s">
        <v>28</v>
      </c>
      <c r="G55" s="1" t="s">
        <v>29</v>
      </c>
      <c r="H55" s="16">
        <v>45792.166666666701</v>
      </c>
      <c r="I55" s="16">
        <v>45879</v>
      </c>
      <c r="J55" s="1" t="s">
        <v>30</v>
      </c>
      <c r="K55" s="2" t="str">
        <f t="shared" si="1"/>
        <v>https://sig.aminerals.cl/imgdyn/rest/services/CL_MLP_PAO/CL_MLP_PAO_IF_Ortho_ALL/ImageServer/file?id=.\Chacay_El_Mauro_Drone\25_05_15\CL_MLP_PAO_IF_Ortho_25_05_15_ED1_IIFF7_DME8.tiff&amp;rasterId=</v>
      </c>
      <c r="L55" s="1" t="s">
        <v>31</v>
      </c>
      <c r="M55" s="1" t="s">
        <v>32</v>
      </c>
      <c r="N55" s="1" t="s">
        <v>33</v>
      </c>
      <c r="O55" s="1" t="s">
        <v>34</v>
      </c>
      <c r="P55" s="3" t="str">
        <f t="shared" si="2"/>
        <v>15</v>
      </c>
      <c r="Q55" s="3" t="str">
        <f t="shared" si="3"/>
        <v>05</v>
      </c>
      <c r="R55" s="3" t="str">
        <f t="shared" si="4"/>
        <v>25</v>
      </c>
      <c r="S55" s="1" t="s">
        <v>40</v>
      </c>
      <c r="T55" s="1">
        <v>1</v>
      </c>
      <c r="U55" s="1" t="s">
        <v>36</v>
      </c>
      <c r="V55" s="1" t="str">
        <f t="shared" si="5"/>
        <v>ED1_IIFF7_DME8</v>
      </c>
      <c r="W55" s="1" t="str">
        <f t="shared" si="9"/>
        <v>ED1_IIFF7_DME8</v>
      </c>
      <c r="X55" s="4" t="b">
        <f t="shared" si="6"/>
        <v>1</v>
      </c>
      <c r="Y55" s="1" t="str">
        <f>VLOOKUP(D55,'Orden de Imagen'!$A$1:D198,4,FALSE())</f>
        <v>024</v>
      </c>
      <c r="Z55" s="1" t="str">
        <f t="shared" si="7"/>
        <v>024_25_05_15_ED1_IIFF7_DME8</v>
      </c>
    </row>
    <row r="56" spans="1:26" ht="15" customHeight="1" x14ac:dyDescent="0.25">
      <c r="A56" s="1">
        <v>58</v>
      </c>
      <c r="B56" s="1" t="s">
        <v>186</v>
      </c>
      <c r="C56" s="1" t="s">
        <v>187</v>
      </c>
      <c r="D56" s="1" t="str">
        <f t="shared" si="10"/>
        <v>CL_MLP_PAO_IF_Ortho_25_05_15_EM2_PA11_01</v>
      </c>
      <c r="E56" s="1" t="s">
        <v>188</v>
      </c>
      <c r="F56" s="1" t="s">
        <v>28</v>
      </c>
      <c r="G56" s="1" t="s">
        <v>29</v>
      </c>
      <c r="H56" s="16">
        <v>45792.166666666701</v>
      </c>
      <c r="I56" s="16">
        <v>45888</v>
      </c>
      <c r="J56" s="1" t="s">
        <v>30</v>
      </c>
      <c r="K56" s="2" t="str">
        <f t="shared" si="1"/>
        <v>https://sig.aminerals.cl/imgdyn/rest/services/CL_MLP_PAO/CL_MLP_PAO_IF_Ortho_ALL/ImageServer/file?id=.\Chacay_El_Mauro_Drone\25_05_15\CL_MLP_PAO_IF_Ortho_25_05_15_EM2_PA11_01.tiff&amp;rasterId=</v>
      </c>
      <c r="L56" s="1" t="s">
        <v>31</v>
      </c>
      <c r="M56" s="1" t="s">
        <v>32</v>
      </c>
      <c r="N56" s="1" t="s">
        <v>33</v>
      </c>
      <c r="O56" s="1" t="s">
        <v>34</v>
      </c>
      <c r="P56" s="3" t="str">
        <f t="shared" si="2"/>
        <v>15</v>
      </c>
      <c r="Q56" s="3" t="str">
        <f t="shared" si="3"/>
        <v>05</v>
      </c>
      <c r="R56" s="3" t="str">
        <f t="shared" si="4"/>
        <v>25</v>
      </c>
      <c r="S56" s="1" t="s">
        <v>40</v>
      </c>
      <c r="T56" s="1">
        <v>1</v>
      </c>
      <c r="U56" s="1" t="s">
        <v>36</v>
      </c>
      <c r="V56" s="1" t="str">
        <f t="shared" si="5"/>
        <v>EM2_PA11_01</v>
      </c>
      <c r="W56" s="1" t="str">
        <f t="shared" si="9"/>
        <v>EM2_PA11_01</v>
      </c>
      <c r="X56" s="4" t="b">
        <f t="shared" si="6"/>
        <v>1</v>
      </c>
      <c r="Y56" s="1" t="str">
        <f>VLOOKUP(D56,'Orden de Imagen'!$A$1:D199,4,FALSE())</f>
        <v>025</v>
      </c>
      <c r="Z56" s="1" t="str">
        <f t="shared" si="7"/>
        <v>025_25_05_15_EM2_PA11_01</v>
      </c>
    </row>
    <row r="57" spans="1:26" ht="15" customHeight="1" x14ac:dyDescent="0.25">
      <c r="A57" s="1">
        <v>59</v>
      </c>
      <c r="B57" s="1" t="s">
        <v>189</v>
      </c>
      <c r="C57" s="1" t="s">
        <v>190</v>
      </c>
      <c r="D57" s="1" t="str">
        <f t="shared" si="10"/>
        <v>CL_MLP_PAO_IF_Ortho_25_05_29_DME5A_DME17_a_NSTC_78p9</v>
      </c>
      <c r="E57" s="1" t="s">
        <v>191</v>
      </c>
      <c r="F57" s="1" t="s">
        <v>28</v>
      </c>
      <c r="G57" s="1" t="s">
        <v>29</v>
      </c>
      <c r="H57" s="16">
        <v>45806.166666666701</v>
      </c>
      <c r="I57" s="16">
        <v>45870</v>
      </c>
      <c r="J57" s="1" t="s">
        <v>30</v>
      </c>
      <c r="K57" s="2" t="str">
        <f t="shared" si="1"/>
        <v>https://sig.aminerals.cl/imgdyn/rest/services/CL_MLP_PAO/CL_MLP_PAO_IF_Ortho_ALL/ImageServer/file?id=.\El_Mauro_Puerto_Punta_Chungo_Drone\25_05_29\CL_MLP_PAO_IF_Ortho_25_05_29_DME5A_DME17_a_NSTC_78p9.tiff&amp;rasterId=</v>
      </c>
      <c r="L57" s="1" t="s">
        <v>31</v>
      </c>
      <c r="M57" s="1" t="s">
        <v>32</v>
      </c>
      <c r="N57" s="1" t="s">
        <v>33</v>
      </c>
      <c r="O57" s="1" t="s">
        <v>34</v>
      </c>
      <c r="P57" s="3" t="str">
        <f t="shared" si="2"/>
        <v>29</v>
      </c>
      <c r="Q57" s="3" t="str">
        <f t="shared" si="3"/>
        <v>05</v>
      </c>
      <c r="R57" s="3" t="str">
        <f t="shared" si="4"/>
        <v>25</v>
      </c>
      <c r="S57" s="1" t="s">
        <v>50</v>
      </c>
      <c r="T57" s="1">
        <v>1</v>
      </c>
      <c r="U57" s="1" t="s">
        <v>36</v>
      </c>
      <c r="V57" s="1" t="str">
        <f t="shared" si="5"/>
        <v>DME5A_DME17_a_NSTC_78p9</v>
      </c>
      <c r="W57" s="1" t="str">
        <f t="shared" si="9"/>
        <v>DME5A_DME17_a_NSTC_78p9</v>
      </c>
      <c r="X57" s="4" t="b">
        <f t="shared" si="6"/>
        <v>1</v>
      </c>
      <c r="Y57" s="1" t="str">
        <f>VLOOKUP(D57,'Orden de Imagen'!$A$1:D200,4,FALSE())</f>
        <v>026</v>
      </c>
      <c r="Z57" s="1" t="str">
        <f t="shared" si="7"/>
        <v>026_25_05_29_DME5A_DME17_a_NSTC_78p9</v>
      </c>
    </row>
    <row r="58" spans="1:26" ht="15" customHeight="1" x14ac:dyDescent="0.25">
      <c r="A58" s="1">
        <v>60</v>
      </c>
      <c r="B58" s="1" t="s">
        <v>192</v>
      </c>
      <c r="C58" s="1" t="s">
        <v>193</v>
      </c>
      <c r="D58" s="1" t="str">
        <f t="shared" si="10"/>
        <v>CL_MLP_PAO_IF_Ortho_25_06_02_ByPassDrenes_Estacion_Drenes_El_Mauro</v>
      </c>
      <c r="E58" s="1" t="s">
        <v>194</v>
      </c>
      <c r="F58" s="1" t="s">
        <v>28</v>
      </c>
      <c r="G58" s="1" t="s">
        <v>29</v>
      </c>
      <c r="H58" s="16">
        <v>45810.166666666701</v>
      </c>
      <c r="I58" s="16">
        <v>45870</v>
      </c>
      <c r="J58" s="1" t="s">
        <v>30</v>
      </c>
      <c r="K58" s="2" t="str">
        <f t="shared" si="1"/>
        <v>https://sig.aminerals.cl/imgdyn/rest/services/CL_MLP_PAO/CL_MLP_PAO_IF_Ortho_ALL/ImageServer/file?id=.\El_Mauro_Drone\25_06_02\CL_MLP_PAO_IF_Ortho_25_06_02_ByPassDrenes_Estacion_Drenes_El_Mauro.tiff&amp;rasterId=</v>
      </c>
      <c r="L58" s="1" t="s">
        <v>31</v>
      </c>
      <c r="M58" s="1" t="s">
        <v>32</v>
      </c>
      <c r="N58" s="1" t="s">
        <v>33</v>
      </c>
      <c r="O58" s="1" t="s">
        <v>34</v>
      </c>
      <c r="P58" s="3" t="str">
        <f t="shared" si="2"/>
        <v>02</v>
      </c>
      <c r="Q58" s="3" t="str">
        <f t="shared" si="3"/>
        <v>06</v>
      </c>
      <c r="R58" s="3" t="str">
        <f t="shared" si="4"/>
        <v>25</v>
      </c>
      <c r="S58" s="1" t="s">
        <v>87</v>
      </c>
      <c r="T58" s="1">
        <v>1</v>
      </c>
      <c r="U58" s="1" t="s">
        <v>36</v>
      </c>
      <c r="V58" s="1" t="str">
        <f t="shared" si="5"/>
        <v>ByPassDrenes_Estacion_Drenes_El_Mauro</v>
      </c>
      <c r="W58" s="1" t="str">
        <f t="shared" si="9"/>
        <v>ByPassDrenes_Estacion_Drenes_El_Mauro</v>
      </c>
      <c r="X58" s="4" t="b">
        <f t="shared" si="6"/>
        <v>1</v>
      </c>
      <c r="Y58" s="1" t="str">
        <f>VLOOKUP(D58,'Orden de Imagen'!$A$1:D201,4,FALSE())</f>
        <v>027</v>
      </c>
      <c r="Z58" s="1" t="str">
        <f t="shared" si="7"/>
        <v>027_25_06_02_ByPassDrenes_Estacion_Drenes_El_Mauro</v>
      </c>
    </row>
    <row r="59" spans="1:26" ht="15" customHeight="1" x14ac:dyDescent="0.25">
      <c r="A59" s="1">
        <v>61</v>
      </c>
      <c r="B59" s="1" t="s">
        <v>195</v>
      </c>
      <c r="C59" s="1" t="s">
        <v>196</v>
      </c>
      <c r="D59" s="1" t="str">
        <f t="shared" si="10"/>
        <v>CL_MLP_PAO_IF_Ortho_25_06_02_Estacion_Drenes_El_Mauro</v>
      </c>
      <c r="E59" s="1" t="s">
        <v>197</v>
      </c>
      <c r="F59" s="1" t="s">
        <v>28</v>
      </c>
      <c r="G59" s="1" t="s">
        <v>29</v>
      </c>
      <c r="H59" s="16">
        <v>45810.166666666701</v>
      </c>
      <c r="I59" s="16">
        <v>45880</v>
      </c>
      <c r="J59" s="1" t="s">
        <v>30</v>
      </c>
      <c r="K59" s="2" t="str">
        <f t="shared" si="1"/>
        <v>https://sig.aminerals.cl/imgdyn/rest/services/CL_MLP_PAO/CL_MLP_PAO_IF_Ortho_ALL/ImageServer/file?id=.\El_Mauro_Drone\25_06_02\CL_MLP_PAO_IF_Ortho_25_06_02_Estacion_Drenes_El_Mauro.tiff&amp;rasterId=</v>
      </c>
      <c r="L59" s="1" t="s">
        <v>31</v>
      </c>
      <c r="M59" s="1" t="s">
        <v>32</v>
      </c>
      <c r="N59" s="1" t="s">
        <v>33</v>
      </c>
      <c r="O59" s="1" t="s">
        <v>34</v>
      </c>
      <c r="P59" s="3" t="str">
        <f t="shared" si="2"/>
        <v>02</v>
      </c>
      <c r="Q59" s="3" t="str">
        <f t="shared" si="3"/>
        <v>06</v>
      </c>
      <c r="R59" s="3" t="str">
        <f t="shared" si="4"/>
        <v>25</v>
      </c>
      <c r="S59" s="1" t="s">
        <v>87</v>
      </c>
      <c r="T59" s="1">
        <v>1</v>
      </c>
      <c r="U59" s="1" t="s">
        <v>36</v>
      </c>
      <c r="V59" s="1" t="str">
        <f t="shared" si="5"/>
        <v>Estacion_Drenes_El_Mauro</v>
      </c>
      <c r="W59" s="1" t="str">
        <f t="shared" si="9"/>
        <v>Estacion_Drenes_El_Mauro</v>
      </c>
      <c r="X59" s="4" t="b">
        <f t="shared" si="6"/>
        <v>1</v>
      </c>
      <c r="Y59" s="1" t="str">
        <f>VLOOKUP(D59,'Orden de Imagen'!$A$1:D202,4,FALSE())</f>
        <v>028</v>
      </c>
      <c r="Z59" s="1" t="str">
        <f t="shared" si="7"/>
        <v>028_25_06_02_Estacion_Drenes_El_Mauro</v>
      </c>
    </row>
    <row r="60" spans="1:26" ht="15" customHeight="1" x14ac:dyDescent="0.25">
      <c r="A60" s="1">
        <v>62</v>
      </c>
      <c r="B60" s="1" t="s">
        <v>198</v>
      </c>
      <c r="C60" s="1" t="s">
        <v>199</v>
      </c>
      <c r="D60" s="1" t="str">
        <f t="shared" si="10"/>
        <v>CL_MLP_PAO_IF_Ortho_25_06_04_CaminoAcceso03_LasAnimas</v>
      </c>
      <c r="E60" s="1" t="s">
        <v>200</v>
      </c>
      <c r="F60" s="1" t="s">
        <v>28</v>
      </c>
      <c r="G60" s="1" t="s">
        <v>29</v>
      </c>
      <c r="H60" s="16">
        <v>45812.166666666701</v>
      </c>
      <c r="I60" s="16">
        <v>45881</v>
      </c>
      <c r="J60" s="1" t="s">
        <v>30</v>
      </c>
      <c r="K60" s="2" t="str">
        <f t="shared" si="1"/>
        <v>https://sig.aminerals.cl/imgdyn/rest/services/CL_MLP_PAO/CL_MLP_PAO_IF_Ortho_ALL/ImageServer/file?id=.\Chacay_El_Mauro_Drone\25_06_04\CL_MLP_PAO_IF_Ortho_25_06_04_CaminoAcceso03_LasAnimas.tiff&amp;rasterId=</v>
      </c>
      <c r="L60" s="1" t="s">
        <v>31</v>
      </c>
      <c r="M60" s="1" t="s">
        <v>32</v>
      </c>
      <c r="N60" s="1" t="s">
        <v>33</v>
      </c>
      <c r="O60" s="1" t="s">
        <v>34</v>
      </c>
      <c r="P60" s="3" t="str">
        <f t="shared" si="2"/>
        <v>04</v>
      </c>
      <c r="Q60" s="3" t="str">
        <f t="shared" si="3"/>
        <v>06</v>
      </c>
      <c r="R60" s="3" t="str">
        <f t="shared" si="4"/>
        <v>25</v>
      </c>
      <c r="S60" s="1" t="s">
        <v>40</v>
      </c>
      <c r="T60" s="1">
        <v>1</v>
      </c>
      <c r="U60" s="1" t="s">
        <v>36</v>
      </c>
      <c r="V60" s="1" t="str">
        <f t="shared" si="5"/>
        <v>CaminoAcceso03_LasAnimas</v>
      </c>
      <c r="W60" s="1" t="str">
        <f t="shared" si="9"/>
        <v>CaminoAcceso03_LasAnimas</v>
      </c>
      <c r="X60" s="4" t="b">
        <f t="shared" si="6"/>
        <v>1</v>
      </c>
      <c r="Y60" s="1" t="str">
        <f>VLOOKUP(D60,'Orden de Imagen'!$A$1:D203,4,FALSE())</f>
        <v>029</v>
      </c>
      <c r="Z60" s="1" t="str">
        <f t="shared" si="7"/>
        <v>029_25_06_04_CaminoAcceso03_LasAnimas</v>
      </c>
    </row>
    <row r="61" spans="1:26" ht="15" customHeight="1" x14ac:dyDescent="0.25">
      <c r="A61" s="1">
        <v>63</v>
      </c>
      <c r="B61" s="1" t="s">
        <v>201</v>
      </c>
      <c r="C61" s="1" t="s">
        <v>202</v>
      </c>
      <c r="D61" s="1" t="str">
        <f t="shared" si="10"/>
        <v>CL_MLP_PAO_IF_Ortho_25_06_04_EM3</v>
      </c>
      <c r="E61" s="1" t="s">
        <v>203</v>
      </c>
      <c r="F61" s="1" t="s">
        <v>28</v>
      </c>
      <c r="G61" s="1" t="s">
        <v>29</v>
      </c>
      <c r="H61" s="16">
        <v>45812.166666666701</v>
      </c>
      <c r="I61" s="16">
        <v>45870</v>
      </c>
      <c r="J61" s="1" t="s">
        <v>30</v>
      </c>
      <c r="K61" s="2" t="str">
        <f t="shared" si="1"/>
        <v>https://sig.aminerals.cl/imgdyn/rest/services/CL_MLP_PAO/CL_MLP_PAO_IF_Ortho_ALL/ImageServer/file?id=.\Chacay_El_Mauro_Drone\25_06_04\CL_MLP_PAO_IF_Ortho_25_06_04_EM3.tiff&amp;rasterId=</v>
      </c>
      <c r="L61" s="1" t="s">
        <v>31</v>
      </c>
      <c r="M61" s="1" t="s">
        <v>32</v>
      </c>
      <c r="N61" s="1" t="s">
        <v>33</v>
      </c>
      <c r="O61" s="1" t="s">
        <v>34</v>
      </c>
      <c r="P61" s="3" t="str">
        <f t="shared" si="2"/>
        <v>04</v>
      </c>
      <c r="Q61" s="3" t="str">
        <f t="shared" si="3"/>
        <v>06</v>
      </c>
      <c r="R61" s="3" t="str">
        <f t="shared" si="4"/>
        <v>25</v>
      </c>
      <c r="S61" s="1" t="s">
        <v>40</v>
      </c>
      <c r="T61" s="1">
        <v>1</v>
      </c>
      <c r="U61" s="1" t="s">
        <v>36</v>
      </c>
      <c r="V61" s="1" t="str">
        <f t="shared" si="5"/>
        <v>EM3</v>
      </c>
      <c r="W61" s="1" t="str">
        <f t="shared" si="9"/>
        <v>EM3</v>
      </c>
      <c r="X61" s="4" t="b">
        <f t="shared" si="6"/>
        <v>1</v>
      </c>
      <c r="Y61" s="1" t="str">
        <f>VLOOKUP(D61,'Orden de Imagen'!$A$1:D204,4,FALSE())</f>
        <v>030</v>
      </c>
      <c r="Z61" s="1" t="str">
        <f t="shared" si="7"/>
        <v>030_25_06_04_EM3</v>
      </c>
    </row>
    <row r="62" spans="1:26" ht="15" customHeight="1" x14ac:dyDescent="0.25">
      <c r="A62" s="1">
        <v>64</v>
      </c>
      <c r="B62" s="1" t="s">
        <v>204</v>
      </c>
      <c r="C62" s="1" t="s">
        <v>205</v>
      </c>
      <c r="D62" s="1" t="str">
        <f t="shared" si="10"/>
        <v>CL_MLP_PAO_IF_Ortho_25_06_05_33-kv-74p7-a-75p5</v>
      </c>
      <c r="E62" s="1" t="s">
        <v>206</v>
      </c>
      <c r="F62" s="1" t="s">
        <v>28</v>
      </c>
      <c r="G62" s="1" t="s">
        <v>29</v>
      </c>
      <c r="H62" s="16">
        <v>45813.166666666701</v>
      </c>
      <c r="I62" s="16">
        <v>45870</v>
      </c>
      <c r="J62" s="1" t="s">
        <v>30</v>
      </c>
      <c r="K62" s="2" t="str">
        <f t="shared" si="1"/>
        <v>https://sig.aminerals.cl/imgdyn/rest/services/CL_MLP_PAO/CL_MLP_PAO_IF_Ortho_ALL/ImageServer/file?id=.\El_Mauro_Drone\25_06_05\CL_MLP_PAO_IF_Ortho_25_06_05_33-kv-74p7-a-75p5.tiff&amp;rasterId=</v>
      </c>
      <c r="L62" s="1" t="s">
        <v>31</v>
      </c>
      <c r="M62" s="1" t="s">
        <v>32</v>
      </c>
      <c r="N62" s="1" t="s">
        <v>33</v>
      </c>
      <c r="O62" s="1" t="s">
        <v>34</v>
      </c>
      <c r="P62" s="3" t="str">
        <f t="shared" si="2"/>
        <v>05</v>
      </c>
      <c r="Q62" s="3" t="str">
        <f t="shared" si="3"/>
        <v>06</v>
      </c>
      <c r="R62" s="3" t="str">
        <f t="shared" si="4"/>
        <v>25</v>
      </c>
      <c r="S62" s="1" t="s">
        <v>87</v>
      </c>
      <c r="T62" s="1">
        <v>1</v>
      </c>
      <c r="U62" s="1" t="s">
        <v>36</v>
      </c>
      <c r="V62" s="1" t="str">
        <f t="shared" si="5"/>
        <v>33-kv-74p7-a-75p5</v>
      </c>
      <c r="W62" s="1" t="str">
        <f t="shared" si="9"/>
        <v>33-kv-74p7-a-75p5</v>
      </c>
      <c r="X62" s="4" t="b">
        <f t="shared" si="6"/>
        <v>1</v>
      </c>
      <c r="Y62" s="1" t="str">
        <f>VLOOKUP(D62,'Orden de Imagen'!$A$1:D205,4,FALSE())</f>
        <v>031</v>
      </c>
      <c r="Z62" s="1" t="str">
        <f t="shared" si="7"/>
        <v>031_25_06_05_33-kv-74p7-a-75p5</v>
      </c>
    </row>
    <row r="63" spans="1:26" ht="15" customHeight="1" x14ac:dyDescent="0.25">
      <c r="A63" s="1">
        <v>65</v>
      </c>
      <c r="B63" s="1" t="s">
        <v>207</v>
      </c>
      <c r="C63" s="1" t="s">
        <v>208</v>
      </c>
      <c r="D63" s="1" t="str">
        <f t="shared" si="10"/>
        <v>CL_MLP_PAO_IF_Ortho_25_06_05_33-kV-NSTC-km-75p5-a-76p4</v>
      </c>
      <c r="E63" s="1" t="s">
        <v>209</v>
      </c>
      <c r="F63" s="1" t="s">
        <v>28</v>
      </c>
      <c r="G63" s="1" t="s">
        <v>29</v>
      </c>
      <c r="H63" s="16">
        <v>45813.166666666701</v>
      </c>
      <c r="I63" s="16">
        <v>45870</v>
      </c>
      <c r="J63" s="1" t="s">
        <v>30</v>
      </c>
      <c r="K63" s="2" t="str">
        <f t="shared" si="1"/>
        <v>https://sig.aminerals.cl/imgdyn/rest/services/CL_MLP_PAO/CL_MLP_PAO_IF_Ortho_ALL/ImageServer/file?id=.\El_Mauro_Puerto_Punta_Chungo_Drone\25_06_05\CL_MLP_PAO_IF_Ortho_25_06_05_33-kV-NSTC-km-75p5-a-76p4.tiff&amp;rasterId=</v>
      </c>
      <c r="L63" s="1" t="s">
        <v>31</v>
      </c>
      <c r="M63" s="1" t="s">
        <v>32</v>
      </c>
      <c r="N63" s="1" t="s">
        <v>33</v>
      </c>
      <c r="O63" s="1" t="s">
        <v>34</v>
      </c>
      <c r="P63" s="3" t="str">
        <f t="shared" si="2"/>
        <v>05</v>
      </c>
      <c r="Q63" s="3" t="str">
        <f t="shared" si="3"/>
        <v>06</v>
      </c>
      <c r="R63" s="3" t="str">
        <f t="shared" si="4"/>
        <v>25</v>
      </c>
      <c r="S63" s="1" t="s">
        <v>50</v>
      </c>
      <c r="T63" s="1">
        <v>1</v>
      </c>
      <c r="U63" s="1" t="s">
        <v>36</v>
      </c>
      <c r="V63" s="1" t="str">
        <f t="shared" si="5"/>
        <v>33-kV-NSTC-km-75p5-a-76p4</v>
      </c>
      <c r="W63" s="1" t="str">
        <f t="shared" si="9"/>
        <v>33-kV-NSTC-km-75p5-a-76p4</v>
      </c>
      <c r="X63" s="4" t="b">
        <f t="shared" si="6"/>
        <v>1</v>
      </c>
      <c r="Y63" s="1" t="str">
        <f>VLOOKUP(D63,'Orden de Imagen'!$A$1:D206,4,FALSE())</f>
        <v>032</v>
      </c>
      <c r="Z63" s="1" t="str">
        <f t="shared" si="7"/>
        <v>032_25_06_05_33-kV-NSTC-km-75p5-a-76p4</v>
      </c>
    </row>
    <row r="64" spans="1:26" ht="15" customHeight="1" x14ac:dyDescent="0.25">
      <c r="A64" s="1">
        <v>66</v>
      </c>
      <c r="B64" s="1" t="s">
        <v>210</v>
      </c>
      <c r="C64" s="1" t="s">
        <v>211</v>
      </c>
      <c r="D64" s="1" t="str">
        <f t="shared" si="10"/>
        <v>CL_MLP_PAO_IF_Ortho_25_06_09_EB2</v>
      </c>
      <c r="E64" s="1" t="s">
        <v>71</v>
      </c>
      <c r="F64" s="1" t="s">
        <v>28</v>
      </c>
      <c r="G64" s="1" t="s">
        <v>29</v>
      </c>
      <c r="H64" s="16">
        <v>45817.166666666701</v>
      </c>
      <c r="I64" s="16">
        <v>45870</v>
      </c>
      <c r="J64" s="1" t="s">
        <v>30</v>
      </c>
      <c r="K64" s="2" t="str">
        <f t="shared" si="1"/>
        <v>https://sig.aminerals.cl/imgdyn/rest/services/CL_MLP_PAO/CL_MLP_PAO_IF_Ortho_ALL/ImageServer/file?id=.\El_Mauro_Puerto_Punta_Chungo_Drone\25_06_09\CL_MLP_PAO_IF_Ortho_25_06_09_EB2.tiff&amp;rasterId=</v>
      </c>
      <c r="L64" s="1" t="s">
        <v>31</v>
      </c>
      <c r="M64" s="1" t="s">
        <v>32</v>
      </c>
      <c r="N64" s="1" t="s">
        <v>33</v>
      </c>
      <c r="O64" s="1" t="s">
        <v>34</v>
      </c>
      <c r="P64" s="3" t="str">
        <f t="shared" si="2"/>
        <v>09</v>
      </c>
      <c r="Q64" s="3" t="str">
        <f t="shared" si="3"/>
        <v>06</v>
      </c>
      <c r="R64" s="3" t="str">
        <f t="shared" si="4"/>
        <v>25</v>
      </c>
      <c r="S64" s="1" t="s">
        <v>50</v>
      </c>
      <c r="T64" s="1">
        <v>1</v>
      </c>
      <c r="U64" s="1" t="s">
        <v>36</v>
      </c>
      <c r="V64" s="1" t="str">
        <f t="shared" si="5"/>
        <v>EB2</v>
      </c>
      <c r="W64" s="1" t="str">
        <f t="shared" si="9"/>
        <v>EB2</v>
      </c>
      <c r="X64" s="4" t="b">
        <f t="shared" si="6"/>
        <v>1</v>
      </c>
      <c r="Y64" s="1" t="str">
        <f>VLOOKUP(D64,'Orden de Imagen'!$A$1:D207,4,FALSE())</f>
        <v>033</v>
      </c>
      <c r="Z64" s="1" t="str">
        <f t="shared" si="7"/>
        <v>033_25_06_09_EB2</v>
      </c>
    </row>
    <row r="65" spans="1:26" ht="15" customHeight="1" x14ac:dyDescent="0.25">
      <c r="A65" s="1">
        <v>67</v>
      </c>
      <c r="B65" s="1" t="s">
        <v>212</v>
      </c>
      <c r="C65" s="1" t="s">
        <v>213</v>
      </c>
      <c r="D65" s="1" t="str">
        <f t="shared" si="10"/>
        <v>CL_MLP_PAO_IF_Ortho_25_06_09_EV2</v>
      </c>
      <c r="E65" s="1" t="s">
        <v>74</v>
      </c>
      <c r="F65" s="1" t="s">
        <v>28</v>
      </c>
      <c r="G65" s="1" t="s">
        <v>29</v>
      </c>
      <c r="H65" s="16">
        <v>45817.166666666701</v>
      </c>
      <c r="I65" s="16">
        <v>45870</v>
      </c>
      <c r="J65" s="1" t="s">
        <v>30</v>
      </c>
      <c r="K65" s="2" t="str">
        <f t="shared" si="1"/>
        <v>https://sig.aminerals.cl/imgdyn/rest/services/CL_MLP_PAO/CL_MLP_PAO_IF_Ortho_ALL/ImageServer/file?id=.\El_Mauro_Puerto_Punta_Chungo_Drone\25_06_09\CL_MLP_PAO_IF_Ortho_25_06_09_EV2.tiff&amp;rasterId=</v>
      </c>
      <c r="L65" s="1" t="s">
        <v>31</v>
      </c>
      <c r="M65" s="1" t="s">
        <v>32</v>
      </c>
      <c r="N65" s="1" t="s">
        <v>33</v>
      </c>
      <c r="O65" s="1" t="s">
        <v>34</v>
      </c>
      <c r="P65" s="3" t="str">
        <f t="shared" si="2"/>
        <v>09</v>
      </c>
      <c r="Q65" s="3" t="str">
        <f t="shared" si="3"/>
        <v>06</v>
      </c>
      <c r="R65" s="3" t="str">
        <f t="shared" si="4"/>
        <v>25</v>
      </c>
      <c r="S65" s="1" t="s">
        <v>50</v>
      </c>
      <c r="T65" s="1">
        <v>1</v>
      </c>
      <c r="U65" s="1" t="s">
        <v>36</v>
      </c>
      <c r="V65" s="1" t="str">
        <f t="shared" si="5"/>
        <v>EV2</v>
      </c>
      <c r="W65" s="1" t="str">
        <f t="shared" si="9"/>
        <v>EV2</v>
      </c>
      <c r="X65" s="4" t="b">
        <f t="shared" si="6"/>
        <v>1</v>
      </c>
      <c r="Y65" s="1" t="str">
        <f>VLOOKUP(D65,'Orden de Imagen'!$A$1:D208,4,FALSE())</f>
        <v>034</v>
      </c>
      <c r="Z65" s="1" t="str">
        <f t="shared" si="7"/>
        <v>034_25_06_09_EV2</v>
      </c>
    </row>
    <row r="66" spans="1:26" ht="15" customHeight="1" x14ac:dyDescent="0.25">
      <c r="A66" s="1">
        <v>68</v>
      </c>
      <c r="B66" s="1" t="s">
        <v>214</v>
      </c>
      <c r="C66" s="1" t="s">
        <v>215</v>
      </c>
      <c r="D66" s="1" t="str">
        <f t="shared" ref="D66:D77" si="11">CONCATENATE(L66,"_",M66,"_",G66,"_",N66,"_",O66,"_",R66,"_",Q66,"_",P66,"_",E66)</f>
        <v>CL_MLP_PAO_IF_Ortho_25_06_09_EV2_a_NSTC_Km_87p1</v>
      </c>
      <c r="E66" s="1" t="s">
        <v>216</v>
      </c>
      <c r="F66" s="1" t="s">
        <v>28</v>
      </c>
      <c r="G66" s="1" t="s">
        <v>29</v>
      </c>
      <c r="H66" s="16">
        <v>45817.166666666701</v>
      </c>
      <c r="I66" s="16">
        <v>45870</v>
      </c>
      <c r="J66" s="1" t="s">
        <v>30</v>
      </c>
      <c r="K66" s="2" t="str">
        <f t="shared" ref="K66:K129" si="12">CONCATENATE("https://sig.aminerals.cl/imgdyn/rest/services/CL_MLP_PAO/",U66,"/","ImageServer/file?id=.\",S66,"\",R66,"_",Q66,"_",P66,"\",C66,"&amp;rasterId=")</f>
        <v>https://sig.aminerals.cl/imgdyn/rest/services/CL_MLP_PAO/CL_MLP_PAO_IF_Ortho_ALL/ImageServer/file?id=.\El_Mauro_Puerto_Punta_Chungo_Drone\25_06_09\CL_MLP_PAO_IF_Ortho_25_06_09_EV2_a_NSTC_Km_87p1.tiff&amp;rasterId=</v>
      </c>
      <c r="L66" s="1" t="s">
        <v>31</v>
      </c>
      <c r="M66" s="1" t="s">
        <v>32</v>
      </c>
      <c r="N66" s="1" t="s">
        <v>33</v>
      </c>
      <c r="O66" s="1" t="s">
        <v>34</v>
      </c>
      <c r="P66" s="3" t="str">
        <f t="shared" ref="P66:P129" si="13">TEXT(H66,"dd")</f>
        <v>09</v>
      </c>
      <c r="Q66" s="3" t="str">
        <f t="shared" ref="Q66:Q129" si="14">TEXT(H66,"MM")</f>
        <v>06</v>
      </c>
      <c r="R66" s="3" t="str">
        <f t="shared" ref="R66:R129" si="15">TEXT(H66,"YY")</f>
        <v>25</v>
      </c>
      <c r="S66" s="1" t="s">
        <v>50</v>
      </c>
      <c r="T66" s="1">
        <v>1</v>
      </c>
      <c r="U66" s="1" t="s">
        <v>36</v>
      </c>
      <c r="V66" s="1" t="str">
        <f t="shared" ref="V66:V129" si="16">RIGHT(D66,LEN(D66)-29)</f>
        <v>EV2_a_NSTC_Km_87p1</v>
      </c>
      <c r="W66" s="1" t="str">
        <f t="shared" si="9"/>
        <v>EV2_a_NSTC_Km_87p1</v>
      </c>
      <c r="X66" s="4" t="b">
        <f t="shared" ref="X66:X129" si="17">V66=W66</f>
        <v>1</v>
      </c>
      <c r="Y66" s="1" t="str">
        <f>VLOOKUP(D66,'Orden de Imagen'!$A$1:D209,4,FALSE())</f>
        <v>035</v>
      </c>
      <c r="Z66" s="1" t="str">
        <f t="shared" ref="Z66:Z129" si="18">CONCATENATE(Y66,"_",R66,"_",Q66,"_",P66,"_",E66)</f>
        <v>035_25_06_09_EV2_a_NSTC_Km_87p1</v>
      </c>
    </row>
    <row r="67" spans="1:26" ht="15" customHeight="1" x14ac:dyDescent="0.25">
      <c r="A67" s="1">
        <v>69</v>
      </c>
      <c r="B67" s="1" t="s">
        <v>217</v>
      </c>
      <c r="C67" s="1" t="s">
        <v>218</v>
      </c>
      <c r="D67" s="1" t="str">
        <f t="shared" si="11"/>
        <v>CL_MLP_PAO_IF_Ortho_25_06_09_Tramo_EV2_a_EB2</v>
      </c>
      <c r="E67" s="1" t="s">
        <v>219</v>
      </c>
      <c r="F67" s="1" t="s">
        <v>28</v>
      </c>
      <c r="G67" s="1" t="s">
        <v>29</v>
      </c>
      <c r="H67" s="16">
        <v>45817.166666666701</v>
      </c>
      <c r="I67" s="16">
        <v>45888</v>
      </c>
      <c r="J67" s="1" t="s">
        <v>30</v>
      </c>
      <c r="K67" s="2" t="str">
        <f t="shared" si="12"/>
        <v>https://sig.aminerals.cl/imgdyn/rest/services/CL_MLP_PAO/CL_MLP_PAO_IF_Ortho_ALL/ImageServer/file?id=.\El_Mauro_Puerto_Punta_Chungo_Drone\25_06_09\CL_MLP_PAO_IF_Ortho_25_06_09_Tramo_EV2_a_EB2.tiff&amp;rasterId=</v>
      </c>
      <c r="L67" s="1" t="s">
        <v>31</v>
      </c>
      <c r="M67" s="1" t="s">
        <v>32</v>
      </c>
      <c r="N67" s="1" t="s">
        <v>33</v>
      </c>
      <c r="O67" s="1" t="s">
        <v>34</v>
      </c>
      <c r="P67" s="3" t="str">
        <f t="shared" si="13"/>
        <v>09</v>
      </c>
      <c r="Q67" s="3" t="str">
        <f t="shared" si="14"/>
        <v>06</v>
      </c>
      <c r="R67" s="3" t="str">
        <f t="shared" si="15"/>
        <v>25</v>
      </c>
      <c r="S67" s="1" t="s">
        <v>50</v>
      </c>
      <c r="T67" s="1">
        <v>1</v>
      </c>
      <c r="U67" s="1" t="s">
        <v>36</v>
      </c>
      <c r="V67" s="1" t="str">
        <f t="shared" si="16"/>
        <v>Tramo_EV2_a_EB2</v>
      </c>
      <c r="W67" s="1" t="str">
        <f t="shared" si="9"/>
        <v>Tramo_EV2_a_EB2</v>
      </c>
      <c r="X67" s="4" t="b">
        <f t="shared" si="17"/>
        <v>1</v>
      </c>
      <c r="Y67" s="1" t="str">
        <f>VLOOKUP(D67,'Orden de Imagen'!$A$1:D210,4,FALSE())</f>
        <v>036</v>
      </c>
      <c r="Z67" s="1" t="str">
        <f t="shared" si="18"/>
        <v>036_25_06_09_Tramo_EV2_a_EB2</v>
      </c>
    </row>
    <row r="68" spans="1:26" ht="15" customHeight="1" x14ac:dyDescent="0.25">
      <c r="A68" s="1">
        <v>70</v>
      </c>
      <c r="B68" s="1" t="s">
        <v>220</v>
      </c>
      <c r="C68" s="1" t="s">
        <v>221</v>
      </c>
      <c r="D68" s="1" t="str">
        <f t="shared" si="11"/>
        <v>CL_MLP_PAO_IF_Ortho_25_06_11_Subestacion_El_Mauro</v>
      </c>
      <c r="E68" s="1" t="s">
        <v>222</v>
      </c>
      <c r="F68" s="1" t="s">
        <v>28</v>
      </c>
      <c r="G68" s="1" t="s">
        <v>29</v>
      </c>
      <c r="H68" s="16">
        <v>45819.166666666701</v>
      </c>
      <c r="I68" s="16">
        <v>45882</v>
      </c>
      <c r="J68" s="1" t="s">
        <v>30</v>
      </c>
      <c r="K68" s="2" t="str">
        <f t="shared" si="12"/>
        <v>https://sig.aminerals.cl/imgdyn/rest/services/CL_MLP_PAO/CL_MLP_PAO_IF_Ortho_ALL/ImageServer/file?id=.\Chacay_El_Mauro_Drone\25_06_11\CL_MLP_PAO_IF_Ortho_25_06_11_Subestacion_El_Mauro.tiff&amp;rasterId=</v>
      </c>
      <c r="L68" s="1" t="s">
        <v>31</v>
      </c>
      <c r="M68" s="1" t="s">
        <v>32</v>
      </c>
      <c r="N68" s="1" t="s">
        <v>33</v>
      </c>
      <c r="O68" s="1" t="s">
        <v>34</v>
      </c>
      <c r="P68" s="3" t="str">
        <f t="shared" si="13"/>
        <v>11</v>
      </c>
      <c r="Q68" s="3" t="str">
        <f t="shared" si="14"/>
        <v>06</v>
      </c>
      <c r="R68" s="3" t="str">
        <f t="shared" si="15"/>
        <v>25</v>
      </c>
      <c r="S68" s="1" t="s">
        <v>40</v>
      </c>
      <c r="T68" s="1">
        <v>1</v>
      </c>
      <c r="U68" s="1" t="s">
        <v>36</v>
      </c>
      <c r="V68" s="1" t="str">
        <f t="shared" si="16"/>
        <v>Subestacion_El_Mauro</v>
      </c>
      <c r="W68" s="1" t="str">
        <f t="shared" si="9"/>
        <v>Subestacion_El_Mauro</v>
      </c>
      <c r="X68" s="4" t="b">
        <f t="shared" si="17"/>
        <v>1</v>
      </c>
      <c r="Y68" s="1" t="str">
        <f>VLOOKUP(D68,'Orden de Imagen'!$A$1:D211,4,FALSE())</f>
        <v>037</v>
      </c>
      <c r="Z68" s="1" t="str">
        <f t="shared" si="18"/>
        <v>037_25_06_11_Subestacion_El_Mauro</v>
      </c>
    </row>
    <row r="69" spans="1:26" ht="15" customHeight="1" x14ac:dyDescent="0.25">
      <c r="A69" s="1">
        <v>71</v>
      </c>
      <c r="B69" s="1" t="s">
        <v>223</v>
      </c>
      <c r="C69" s="1" t="s">
        <v>224</v>
      </c>
      <c r="D69" s="1" t="str">
        <f t="shared" si="11"/>
        <v>CL_MLP_PAO_IF_Ortho_25_06_18_NSTC_Km_36p5_a_37p7</v>
      </c>
      <c r="E69" s="1" t="s">
        <v>225</v>
      </c>
      <c r="F69" s="1" t="s">
        <v>28</v>
      </c>
      <c r="G69" s="1" t="s">
        <v>29</v>
      </c>
      <c r="H69" s="16">
        <v>45826.166666666701</v>
      </c>
      <c r="I69" s="16">
        <v>45883</v>
      </c>
      <c r="J69" s="1" t="s">
        <v>30</v>
      </c>
      <c r="K69" s="2" t="str">
        <f t="shared" si="12"/>
        <v>https://sig.aminerals.cl/imgdyn/rest/services/CL_MLP_PAO/CL_MLP_PAO_IF_Ortho_ALL/ImageServer/file?id=.\Chacay_El_Mauro_Drone\25_06_18\CL_MLP_PAO_IF_Ortho_25_06_18_NSTC_Km_36p5_a_37p7.tiff&amp;rasterId=</v>
      </c>
      <c r="L69" s="1" t="s">
        <v>31</v>
      </c>
      <c r="M69" s="1" t="s">
        <v>32</v>
      </c>
      <c r="N69" s="1" t="s">
        <v>33</v>
      </c>
      <c r="O69" s="1" t="s">
        <v>34</v>
      </c>
      <c r="P69" s="3" t="str">
        <f t="shared" si="13"/>
        <v>18</v>
      </c>
      <c r="Q69" s="3" t="str">
        <f t="shared" si="14"/>
        <v>06</v>
      </c>
      <c r="R69" s="3" t="str">
        <f t="shared" si="15"/>
        <v>25</v>
      </c>
      <c r="S69" s="1" t="s">
        <v>40</v>
      </c>
      <c r="T69" s="1">
        <v>1</v>
      </c>
      <c r="U69" s="1" t="s">
        <v>36</v>
      </c>
      <c r="V69" s="1" t="str">
        <f t="shared" si="16"/>
        <v>NSTC_Km_36p5_a_37p7</v>
      </c>
      <c r="W69" s="1" t="str">
        <f t="shared" si="9"/>
        <v>NSTC_Km_36p5_a_37p7</v>
      </c>
      <c r="X69" s="4" t="b">
        <f t="shared" si="17"/>
        <v>1</v>
      </c>
      <c r="Y69" s="1" t="str">
        <f>VLOOKUP(D69,'Orden de Imagen'!$A$1:D212,4,FALSE())</f>
        <v>038</v>
      </c>
      <c r="Z69" s="1" t="str">
        <f t="shared" si="18"/>
        <v>038_25_06_18_NSTC_Km_36p5_a_37p7</v>
      </c>
    </row>
    <row r="70" spans="1:26" ht="15" customHeight="1" x14ac:dyDescent="0.25">
      <c r="A70" s="1">
        <v>72</v>
      </c>
      <c r="B70" s="1" t="s">
        <v>226</v>
      </c>
      <c r="C70" s="1" t="s">
        <v>227</v>
      </c>
      <c r="D70" s="1" t="str">
        <f t="shared" si="11"/>
        <v>CL_MLP_PAO_IF_Ortho_25_06_18_NSTC_Km_37p7_a_39</v>
      </c>
      <c r="E70" s="1" t="s">
        <v>228</v>
      </c>
      <c r="F70" s="1" t="s">
        <v>28</v>
      </c>
      <c r="G70" s="1" t="s">
        <v>29</v>
      </c>
      <c r="H70" s="16">
        <v>45826.166666666701</v>
      </c>
      <c r="I70" s="16">
        <v>45884</v>
      </c>
      <c r="J70" s="1" t="s">
        <v>30</v>
      </c>
      <c r="K70" s="2" t="str">
        <f t="shared" si="12"/>
        <v>https://sig.aminerals.cl/imgdyn/rest/services/CL_MLP_PAO/CL_MLP_PAO_IF_Ortho_ALL/ImageServer/file?id=.\Chacay_El_Mauro_Drone\25_06_18\CL_MLP_PAO_IF_Ortho_25_06_18_NSTC_Km_37p7_a_39.tiff&amp;rasterId=</v>
      </c>
      <c r="L70" s="1" t="s">
        <v>31</v>
      </c>
      <c r="M70" s="1" t="s">
        <v>32</v>
      </c>
      <c r="N70" s="1" t="s">
        <v>33</v>
      </c>
      <c r="O70" s="1" t="s">
        <v>34</v>
      </c>
      <c r="P70" s="3" t="str">
        <f t="shared" si="13"/>
        <v>18</v>
      </c>
      <c r="Q70" s="3" t="str">
        <f t="shared" si="14"/>
        <v>06</v>
      </c>
      <c r="R70" s="3" t="str">
        <f t="shared" si="15"/>
        <v>25</v>
      </c>
      <c r="S70" s="1" t="s">
        <v>40</v>
      </c>
      <c r="T70" s="1">
        <v>1</v>
      </c>
      <c r="U70" s="1" t="s">
        <v>36</v>
      </c>
      <c r="V70" s="1" t="str">
        <f t="shared" si="16"/>
        <v>NSTC_Km_37p7_a_39</v>
      </c>
      <c r="W70" s="1" t="str">
        <f t="shared" si="9"/>
        <v>NSTC_Km_37p7_a_39</v>
      </c>
      <c r="X70" s="4" t="b">
        <f t="shared" si="17"/>
        <v>1</v>
      </c>
      <c r="Y70" s="1" t="str">
        <f>VLOOKUP(D70,'Orden de Imagen'!$A$1:D213,4,FALSE())</f>
        <v>039</v>
      </c>
      <c r="Z70" s="1" t="str">
        <f t="shared" si="18"/>
        <v>039_25_06_18_NSTC_Km_37p7_a_39</v>
      </c>
    </row>
    <row r="71" spans="1:26" ht="15" customHeight="1" x14ac:dyDescent="0.25">
      <c r="A71" s="1">
        <v>73</v>
      </c>
      <c r="B71" s="1" t="s">
        <v>229</v>
      </c>
      <c r="C71" s="1" t="s">
        <v>230</v>
      </c>
      <c r="D71" s="1" t="str">
        <f t="shared" si="11"/>
        <v>CL_MLP_PAO_IF_Ortho_25_06_18_NSTC_Km_40p4_a_PA10</v>
      </c>
      <c r="E71" s="1" t="s">
        <v>231</v>
      </c>
      <c r="F71" s="1" t="s">
        <v>28</v>
      </c>
      <c r="G71" s="1" t="s">
        <v>29</v>
      </c>
      <c r="H71" s="16">
        <v>45826.166666666701</v>
      </c>
      <c r="I71" s="16">
        <v>45885</v>
      </c>
      <c r="J71" s="1" t="s">
        <v>30</v>
      </c>
      <c r="K71" s="2" t="str">
        <f t="shared" si="12"/>
        <v>https://sig.aminerals.cl/imgdyn/rest/services/CL_MLP_PAO/CL_MLP_PAO_IF_Ortho_ALL/ImageServer/file?id=.\Chacay_El_Mauro_Drone\25_06_18\CL_MLP_PAO_IF_Ortho_25_06_18_NSTC_Km_40p4_a_PA10.tiff&amp;rasterId=</v>
      </c>
      <c r="L71" s="1" t="s">
        <v>31</v>
      </c>
      <c r="M71" s="1" t="s">
        <v>32</v>
      </c>
      <c r="N71" s="1" t="s">
        <v>33</v>
      </c>
      <c r="O71" s="1" t="s">
        <v>34</v>
      </c>
      <c r="P71" s="3" t="str">
        <f t="shared" si="13"/>
        <v>18</v>
      </c>
      <c r="Q71" s="3" t="str">
        <f t="shared" si="14"/>
        <v>06</v>
      </c>
      <c r="R71" s="3" t="str">
        <f t="shared" si="15"/>
        <v>25</v>
      </c>
      <c r="S71" s="1" t="s">
        <v>40</v>
      </c>
      <c r="T71" s="1">
        <v>1</v>
      </c>
      <c r="U71" s="1" t="s">
        <v>36</v>
      </c>
      <c r="V71" s="1" t="str">
        <f t="shared" si="16"/>
        <v>NSTC_Km_40p4_a_PA10</v>
      </c>
      <c r="W71" s="1" t="str">
        <f t="shared" si="9"/>
        <v>NSTC_Km_40p4_a_PA10</v>
      </c>
      <c r="X71" s="4" t="b">
        <f t="shared" si="17"/>
        <v>1</v>
      </c>
      <c r="Y71" s="1" t="str">
        <f>VLOOKUP(D71,'Orden de Imagen'!$A$1:D214,4,FALSE())</f>
        <v>040</v>
      </c>
      <c r="Z71" s="1" t="str">
        <f t="shared" si="18"/>
        <v>040_25_06_18_NSTC_Km_40p4_a_PA10</v>
      </c>
    </row>
    <row r="72" spans="1:26" ht="15" customHeight="1" x14ac:dyDescent="0.25">
      <c r="A72" s="1">
        <v>74</v>
      </c>
      <c r="B72" s="1" t="s">
        <v>232</v>
      </c>
      <c r="C72" s="1" t="s">
        <v>233</v>
      </c>
      <c r="D72" s="1" t="str">
        <f t="shared" si="11"/>
        <v>CL_MLP_PAO_IF_Ortho_25_06_18_NSTC-Km_39_a_40p4f</v>
      </c>
      <c r="E72" s="1" t="s">
        <v>234</v>
      </c>
      <c r="F72" s="1" t="s">
        <v>28</v>
      </c>
      <c r="G72" s="1" t="s">
        <v>29</v>
      </c>
      <c r="H72" s="16">
        <v>45826.166666666701</v>
      </c>
      <c r="I72" s="16">
        <v>45888</v>
      </c>
      <c r="J72" s="1" t="s">
        <v>30</v>
      </c>
      <c r="K72" s="2" t="str">
        <f t="shared" si="12"/>
        <v>https://sig.aminerals.cl/imgdyn/rest/services/CL_MLP_PAO/CL_MLP_PAO_IF_Ortho_ALL/ImageServer/file?id=.\Chacay_El_Mauro_Drone\25_06_18\CL_MLP_PAO_IF_Ortho_25_06_18_NSTC-Km_39_a_40p4f.tiff&amp;rasterId=</v>
      </c>
      <c r="L72" s="1" t="s">
        <v>31</v>
      </c>
      <c r="M72" s="1" t="s">
        <v>32</v>
      </c>
      <c r="N72" s="1" t="s">
        <v>33</v>
      </c>
      <c r="O72" s="1" t="s">
        <v>34</v>
      </c>
      <c r="P72" s="3" t="str">
        <f t="shared" si="13"/>
        <v>18</v>
      </c>
      <c r="Q72" s="3" t="str">
        <f t="shared" si="14"/>
        <v>06</v>
      </c>
      <c r="R72" s="3" t="str">
        <f t="shared" si="15"/>
        <v>25</v>
      </c>
      <c r="S72" s="1" t="s">
        <v>40</v>
      </c>
      <c r="T72" s="1">
        <v>1</v>
      </c>
      <c r="U72" s="1" t="s">
        <v>36</v>
      </c>
      <c r="V72" s="1" t="str">
        <f t="shared" si="16"/>
        <v>NSTC-Km_39_a_40p4f</v>
      </c>
      <c r="W72" s="1" t="str">
        <f t="shared" si="9"/>
        <v>NSTC-Km_39_a_40p4f</v>
      </c>
      <c r="X72" s="4" t="b">
        <f t="shared" si="17"/>
        <v>1</v>
      </c>
      <c r="Y72" s="1" t="str">
        <f>VLOOKUP(D72,'Orden de Imagen'!$A$1:D215,4,FALSE())</f>
        <v>041</v>
      </c>
      <c r="Z72" s="1" t="str">
        <f t="shared" si="18"/>
        <v>041_25_06_18_NSTC-Km_39_a_40p4f</v>
      </c>
    </row>
    <row r="73" spans="1:26" ht="15" customHeight="1" x14ac:dyDescent="0.25">
      <c r="A73" s="1">
        <v>75</v>
      </c>
      <c r="B73" s="1" t="s">
        <v>235</v>
      </c>
      <c r="C73" s="1" t="s">
        <v>236</v>
      </c>
      <c r="D73" s="1" t="str">
        <f t="shared" si="11"/>
        <v>CL_MLP_PAO_IF_Ortho_25_06_23_NSTC_Km_121p5_a_123p5f</v>
      </c>
      <c r="E73" s="1" t="s">
        <v>237</v>
      </c>
      <c r="F73" s="1" t="s">
        <v>28</v>
      </c>
      <c r="G73" s="1" t="s">
        <v>29</v>
      </c>
      <c r="H73" s="16">
        <v>45831.166666666701</v>
      </c>
      <c r="I73" s="16">
        <v>45870</v>
      </c>
      <c r="J73" s="1" t="s">
        <v>30</v>
      </c>
      <c r="K73" s="2" t="str">
        <f t="shared" si="12"/>
        <v>https://sig.aminerals.cl/imgdyn/rest/services/CL_MLP_PAO/CL_MLP_PAO_IF_Ortho_ALL/ImageServer/file?id=.\El_Mauro_Puerto_Punta_Chungo_Drone\25_06_23\CL_MLP_PAO_IF_Ortho_25_06_23_NSTC_Km_121p5_a_123p5f.tiff&amp;rasterId=</v>
      </c>
      <c r="L73" s="1" t="s">
        <v>31</v>
      </c>
      <c r="M73" s="1" t="s">
        <v>32</v>
      </c>
      <c r="N73" s="1" t="s">
        <v>33</v>
      </c>
      <c r="O73" s="1" t="s">
        <v>34</v>
      </c>
      <c r="P73" s="3" t="str">
        <f t="shared" si="13"/>
        <v>23</v>
      </c>
      <c r="Q73" s="3" t="str">
        <f t="shared" si="14"/>
        <v>06</v>
      </c>
      <c r="R73" s="3" t="str">
        <f t="shared" si="15"/>
        <v>25</v>
      </c>
      <c r="S73" s="1" t="s">
        <v>50</v>
      </c>
      <c r="T73" s="1">
        <v>1</v>
      </c>
      <c r="U73" s="1" t="s">
        <v>36</v>
      </c>
      <c r="V73" s="1" t="str">
        <f t="shared" si="16"/>
        <v>NSTC_Km_121p5_a_123p5f</v>
      </c>
      <c r="W73" s="1" t="str">
        <f t="shared" si="9"/>
        <v>NSTC_Km_121p5_a_123p5f</v>
      </c>
      <c r="X73" s="4" t="b">
        <f t="shared" si="17"/>
        <v>1</v>
      </c>
      <c r="Y73" s="1" t="str">
        <f>VLOOKUP(D73,'Orden de Imagen'!$A$1:D216,4,FALSE())</f>
        <v>042</v>
      </c>
      <c r="Z73" s="1" t="str">
        <f t="shared" si="18"/>
        <v>042_25_06_23_NSTC_Km_121p5_a_123p5f</v>
      </c>
    </row>
    <row r="74" spans="1:26" ht="15" customHeight="1" x14ac:dyDescent="0.25">
      <c r="A74" s="1">
        <v>76</v>
      </c>
      <c r="B74" s="1" t="s">
        <v>238</v>
      </c>
      <c r="C74" s="1" t="s">
        <v>239</v>
      </c>
      <c r="D74" s="1" t="str">
        <f t="shared" si="11"/>
        <v>CL_MLP_PAO_IF_Ortho_25_06_23_NSTC_Km_123p5_a_124p7f</v>
      </c>
      <c r="E74" s="1" t="s">
        <v>240</v>
      </c>
      <c r="F74" s="1" t="s">
        <v>28</v>
      </c>
      <c r="G74" s="1" t="s">
        <v>29</v>
      </c>
      <c r="H74" s="16">
        <v>45831.166666666701</v>
      </c>
      <c r="I74" s="16">
        <v>45870</v>
      </c>
      <c r="J74" s="1" t="s">
        <v>30</v>
      </c>
      <c r="K74" s="2" t="str">
        <f t="shared" si="12"/>
        <v>https://sig.aminerals.cl/imgdyn/rest/services/CL_MLP_PAO/CL_MLP_PAO_IF_Ortho_ALL/ImageServer/file?id=.\El_Mauro_Puerto_Punta_Chungo_Drone\25_06_23\CL_MLP_PAO_IF_Ortho_25_06_23_NSTC_Km_123p5_a_124p7f.tiff&amp;rasterId=</v>
      </c>
      <c r="L74" s="1" t="s">
        <v>31</v>
      </c>
      <c r="M74" s="1" t="s">
        <v>32</v>
      </c>
      <c r="N74" s="1" t="s">
        <v>33</v>
      </c>
      <c r="O74" s="1" t="s">
        <v>34</v>
      </c>
      <c r="P74" s="3" t="str">
        <f t="shared" si="13"/>
        <v>23</v>
      </c>
      <c r="Q74" s="3" t="str">
        <f t="shared" si="14"/>
        <v>06</v>
      </c>
      <c r="R74" s="3" t="str">
        <f t="shared" si="15"/>
        <v>25</v>
      </c>
      <c r="S74" s="1" t="s">
        <v>50</v>
      </c>
      <c r="T74" s="1">
        <v>1</v>
      </c>
      <c r="U74" s="1" t="s">
        <v>36</v>
      </c>
      <c r="V74" s="1" t="str">
        <f t="shared" si="16"/>
        <v>NSTC_Km_123p5_a_124p7f</v>
      </c>
      <c r="W74" s="1" t="str">
        <f t="shared" si="9"/>
        <v>NSTC_Km_123p5_a_124p7f</v>
      </c>
      <c r="X74" s="4" t="b">
        <f t="shared" si="17"/>
        <v>1</v>
      </c>
      <c r="Y74" s="1" t="str">
        <f>VLOOKUP(D74,'Orden de Imagen'!$A$1:D217,4,FALSE())</f>
        <v>043</v>
      </c>
      <c r="Z74" s="1" t="str">
        <f t="shared" si="18"/>
        <v>043_25_06_23_NSTC_Km_123p5_a_124p7f</v>
      </c>
    </row>
    <row r="75" spans="1:26" ht="15" customHeight="1" x14ac:dyDescent="0.25">
      <c r="A75" s="1">
        <v>77</v>
      </c>
      <c r="B75" s="1" t="s">
        <v>241</v>
      </c>
      <c r="C75" s="1" t="s">
        <v>242</v>
      </c>
      <c r="D75" s="1" t="str">
        <f t="shared" si="11"/>
        <v>CL_MLP_PAO_IF_Ortho_25_06_26_EV2</v>
      </c>
      <c r="E75" s="1" t="s">
        <v>74</v>
      </c>
      <c r="F75" s="1" t="s">
        <v>28</v>
      </c>
      <c r="G75" s="1" t="s">
        <v>29</v>
      </c>
      <c r="H75" s="16">
        <v>45834.166666666701</v>
      </c>
      <c r="I75" s="16">
        <v>45870</v>
      </c>
      <c r="J75" s="1" t="s">
        <v>30</v>
      </c>
      <c r="K75" s="2" t="str">
        <f t="shared" si="12"/>
        <v>https://sig.aminerals.cl/imgdyn/rest/services/CL_MLP_PAO/CL_MLP_PAO_IF_Ortho_ALL/ImageServer/file?id=.\El_Mauro_Puerto_Punta_Chungo_Drone\25_06_26\CL_MLP_PAO_IF_Ortho_25_06_26_EV2.tiff&amp;rasterId=</v>
      </c>
      <c r="L75" s="1" t="s">
        <v>31</v>
      </c>
      <c r="M75" s="1" t="s">
        <v>32</v>
      </c>
      <c r="N75" s="1" t="s">
        <v>33</v>
      </c>
      <c r="O75" s="1" t="s">
        <v>34</v>
      </c>
      <c r="P75" s="3" t="str">
        <f t="shared" si="13"/>
        <v>26</v>
      </c>
      <c r="Q75" s="3" t="str">
        <f t="shared" si="14"/>
        <v>06</v>
      </c>
      <c r="R75" s="3" t="str">
        <f t="shared" si="15"/>
        <v>25</v>
      </c>
      <c r="S75" s="1" t="s">
        <v>50</v>
      </c>
      <c r="T75" s="1">
        <v>1</v>
      </c>
      <c r="U75" s="1" t="s">
        <v>36</v>
      </c>
      <c r="V75" s="1" t="str">
        <f t="shared" si="16"/>
        <v>EV2</v>
      </c>
      <c r="W75" s="1" t="str">
        <f t="shared" si="9"/>
        <v>EV2</v>
      </c>
      <c r="X75" s="4" t="b">
        <f t="shared" si="17"/>
        <v>1</v>
      </c>
      <c r="Y75" s="1" t="str">
        <f>VLOOKUP(D75,'Orden de Imagen'!$A$1:D218,4,FALSE())</f>
        <v>044</v>
      </c>
      <c r="Z75" s="1" t="str">
        <f t="shared" si="18"/>
        <v>044_25_06_26_EV2</v>
      </c>
    </row>
    <row r="76" spans="1:26" ht="15" customHeight="1" x14ac:dyDescent="0.25">
      <c r="A76" s="1">
        <v>78</v>
      </c>
      <c r="B76" s="1" t="s">
        <v>243</v>
      </c>
      <c r="C76" s="1" t="s">
        <v>244</v>
      </c>
      <c r="D76" s="1" t="str">
        <f t="shared" si="11"/>
        <v>CL_MLP_PAO_IF_Ortho_25_06_26_Monte_Aranda_82p3_a_80p7</v>
      </c>
      <c r="E76" s="1" t="s">
        <v>117</v>
      </c>
      <c r="F76" s="1" t="s">
        <v>28</v>
      </c>
      <c r="G76" s="1" t="s">
        <v>29</v>
      </c>
      <c r="H76" s="16">
        <v>45834.166666666701</v>
      </c>
      <c r="I76" s="16">
        <v>45870</v>
      </c>
      <c r="J76" s="1" t="s">
        <v>30</v>
      </c>
      <c r="K76" s="2" t="str">
        <f t="shared" si="12"/>
        <v>https://sig.aminerals.cl/imgdyn/rest/services/CL_MLP_PAO/CL_MLP_PAO_IF_Ortho_ALL/ImageServer/file?id=.\El_Mauro_Puerto_Punta_Chungo_Drone\25_06_26\CL_MLP_PAO_IF_Ortho_25_06_26_Monte_Aranda_82p3_a_80p7.tiff&amp;rasterId=</v>
      </c>
      <c r="L76" s="1" t="s">
        <v>31</v>
      </c>
      <c r="M76" s="1" t="s">
        <v>32</v>
      </c>
      <c r="N76" s="1" t="s">
        <v>33</v>
      </c>
      <c r="O76" s="1" t="s">
        <v>34</v>
      </c>
      <c r="P76" s="3" t="str">
        <f t="shared" si="13"/>
        <v>26</v>
      </c>
      <c r="Q76" s="3" t="str">
        <f t="shared" si="14"/>
        <v>06</v>
      </c>
      <c r="R76" s="3" t="str">
        <f t="shared" si="15"/>
        <v>25</v>
      </c>
      <c r="S76" s="1" t="s">
        <v>50</v>
      </c>
      <c r="T76" s="1">
        <v>1</v>
      </c>
      <c r="U76" s="1" t="s">
        <v>36</v>
      </c>
      <c r="V76" s="1" t="str">
        <f t="shared" si="16"/>
        <v>Monte_Aranda_82p3_a_80p7</v>
      </c>
      <c r="W76" s="1" t="str">
        <f t="shared" si="9"/>
        <v>Monte_Aranda_82p3_a_80p7</v>
      </c>
      <c r="X76" s="4" t="b">
        <f t="shared" si="17"/>
        <v>1</v>
      </c>
      <c r="Y76" s="1" t="str">
        <f>VLOOKUP(D76,'Orden de Imagen'!$A$1:D219,4,FALSE())</f>
        <v>045</v>
      </c>
      <c r="Z76" s="1" t="str">
        <f t="shared" si="18"/>
        <v>045_25_06_26_Monte_Aranda_82p3_a_80p7</v>
      </c>
    </row>
    <row r="77" spans="1:26" ht="15" customHeight="1" x14ac:dyDescent="0.25">
      <c r="A77" s="1">
        <v>79</v>
      </c>
      <c r="B77" s="1" t="s">
        <v>245</v>
      </c>
      <c r="C77" s="1" t="s">
        <v>246</v>
      </c>
      <c r="D77" s="1" t="str">
        <f t="shared" si="11"/>
        <v>CL_MLP_PAO_IF_Ortho_25_06_26_Monte_Aranda_84p2_a_82p3</v>
      </c>
      <c r="E77" s="1" t="s">
        <v>247</v>
      </c>
      <c r="F77" s="1" t="s">
        <v>28</v>
      </c>
      <c r="G77" s="1" t="s">
        <v>29</v>
      </c>
      <c r="H77" s="16">
        <v>45834.166666666701</v>
      </c>
      <c r="I77" s="16">
        <v>45870</v>
      </c>
      <c r="J77" s="1" t="s">
        <v>30</v>
      </c>
      <c r="K77" s="2" t="str">
        <f t="shared" si="12"/>
        <v>https://sig.aminerals.cl/imgdyn/rest/services/CL_MLP_PAO/CL_MLP_PAO_IF_Ortho_ALL/ImageServer/file?id=.\El_Mauro_Puerto_Punta_Chungo_Drone\25_06_26\CL_MLP_PAO_IF_Ortho_25_06_26_Monte_Aranda_84p2_a_82p3.tiff&amp;rasterId=</v>
      </c>
      <c r="L77" s="1" t="s">
        <v>31</v>
      </c>
      <c r="M77" s="1" t="s">
        <v>32</v>
      </c>
      <c r="N77" s="1" t="s">
        <v>33</v>
      </c>
      <c r="O77" s="1" t="s">
        <v>34</v>
      </c>
      <c r="P77" s="3" t="str">
        <f t="shared" si="13"/>
        <v>26</v>
      </c>
      <c r="Q77" s="3" t="str">
        <f t="shared" si="14"/>
        <v>06</v>
      </c>
      <c r="R77" s="3" t="str">
        <f t="shared" si="15"/>
        <v>25</v>
      </c>
      <c r="S77" s="1" t="s">
        <v>50</v>
      </c>
      <c r="T77" s="1">
        <v>1</v>
      </c>
      <c r="U77" s="1" t="s">
        <v>36</v>
      </c>
      <c r="V77" s="1" t="str">
        <f t="shared" si="16"/>
        <v>Monte_Aranda_84p2_a_82p3</v>
      </c>
      <c r="W77" s="1" t="str">
        <f t="shared" si="9"/>
        <v>Monte_Aranda_84p2_a_82p3</v>
      </c>
      <c r="X77" s="4" t="b">
        <f t="shared" si="17"/>
        <v>1</v>
      </c>
      <c r="Y77" s="1" t="str">
        <f>VLOOKUP(D77,'Orden de Imagen'!$A$1:D220,4,FALSE())</f>
        <v>046</v>
      </c>
      <c r="Z77" s="1" t="str">
        <f t="shared" si="18"/>
        <v>046_25_06_26_Monte_Aranda_84p2_a_82p3</v>
      </c>
    </row>
    <row r="78" spans="1:26" ht="15" customHeight="1" x14ac:dyDescent="0.25">
      <c r="A78" s="1">
        <v>79</v>
      </c>
      <c r="C78" s="1" t="s">
        <v>248</v>
      </c>
      <c r="D78" s="1" t="s">
        <v>249</v>
      </c>
      <c r="E78" s="1" t="s">
        <v>219</v>
      </c>
      <c r="F78" s="1" t="s">
        <v>28</v>
      </c>
      <c r="G78" s="1" t="s">
        <v>29</v>
      </c>
      <c r="H78" s="16">
        <v>45834.166666666701</v>
      </c>
      <c r="I78" s="16">
        <v>45870</v>
      </c>
      <c r="J78" s="1" t="s">
        <v>30</v>
      </c>
      <c r="K78" s="2" t="str">
        <f t="shared" si="12"/>
        <v>https://sig.aminerals.cl/imgdyn/rest/services/CL_MLP_PAO/CL_MLP_PAO_IF_Ortho_ALL/ImageServer/file?id=.\El_Mauro_Puerto_Punta_Chungo_Drone\25_06_26\CL_MLP_PAO_IF_Ortho_25_06_26_Tramo_EV2_a_EB2.tiff&amp;rasterId=</v>
      </c>
      <c r="L78" s="1" t="s">
        <v>31</v>
      </c>
      <c r="M78" s="1" t="s">
        <v>32</v>
      </c>
      <c r="N78" s="1" t="s">
        <v>33</v>
      </c>
      <c r="O78" s="1" t="s">
        <v>34</v>
      </c>
      <c r="P78" s="3" t="str">
        <f t="shared" si="13"/>
        <v>26</v>
      </c>
      <c r="Q78" s="3" t="str">
        <f t="shared" si="14"/>
        <v>06</v>
      </c>
      <c r="R78" s="3" t="str">
        <f t="shared" si="15"/>
        <v>25</v>
      </c>
      <c r="S78" s="1" t="s">
        <v>50</v>
      </c>
      <c r="T78" s="1">
        <v>1</v>
      </c>
      <c r="U78" s="1" t="s">
        <v>36</v>
      </c>
      <c r="V78" s="1" t="str">
        <f t="shared" si="16"/>
        <v>Tramo_EV2_a_EB2</v>
      </c>
      <c r="W78" s="1" t="str">
        <f t="shared" si="9"/>
        <v>Tramo_EV2_a_EB2</v>
      </c>
      <c r="X78" s="4" t="b">
        <f t="shared" si="17"/>
        <v>1</v>
      </c>
      <c r="Y78" s="1" t="str">
        <f>VLOOKUP(D78,'Orden de Imagen'!$A$1:D221,4,FALSE())</f>
        <v>047</v>
      </c>
      <c r="Z78" s="1" t="str">
        <f t="shared" si="18"/>
        <v>047_25_06_26_Tramo_EV2_a_EB2</v>
      </c>
    </row>
    <row r="79" spans="1:26" ht="15" customHeight="1" x14ac:dyDescent="0.25">
      <c r="A79" s="1">
        <v>80</v>
      </c>
      <c r="B79" s="1" t="s">
        <v>250</v>
      </c>
      <c r="C79" s="1" t="s">
        <v>251</v>
      </c>
      <c r="D79" s="1" t="str">
        <f t="shared" ref="D79:D142" si="19">CONCATENATE(L79,"_",M79,"_",G79,"_",N79,"_",O79,"_",R79,"_",Q79,"_",P79,"_",E79)</f>
        <v>CL_MLP_PAO_IF_Ortho_25_07_02_DME9_PA12_IIFF8_2</v>
      </c>
      <c r="E79" s="1" t="s">
        <v>252</v>
      </c>
      <c r="F79" s="1" t="s">
        <v>28</v>
      </c>
      <c r="G79" s="1" t="s">
        <v>29</v>
      </c>
      <c r="H79" s="16">
        <v>45840.166666666701</v>
      </c>
      <c r="I79" s="16">
        <v>45887</v>
      </c>
      <c r="J79" s="1" t="s">
        <v>30</v>
      </c>
      <c r="K79" s="2" t="str">
        <f t="shared" si="12"/>
        <v>https://sig.aminerals.cl/imgdyn/rest/services/CL_MLP_PAO/CL_MLP_PAO_IF_Ortho_ALL/ImageServer/file?id=.\Chacay_El_Mauro_Drone\25_07_02\CL_MLP_PAO_IF_Ortho_25_07_02_DME9_PA12_IIFF8_2.tiff&amp;rasterId=</v>
      </c>
      <c r="L79" s="1" t="s">
        <v>31</v>
      </c>
      <c r="M79" s="1" t="s">
        <v>32</v>
      </c>
      <c r="N79" s="1" t="s">
        <v>33</v>
      </c>
      <c r="O79" s="1" t="s">
        <v>34</v>
      </c>
      <c r="P79" s="3" t="str">
        <f t="shared" si="13"/>
        <v>02</v>
      </c>
      <c r="Q79" s="3" t="str">
        <f t="shared" si="14"/>
        <v>07</v>
      </c>
      <c r="R79" s="3" t="str">
        <f t="shared" si="15"/>
        <v>25</v>
      </c>
      <c r="S79" s="1" t="s">
        <v>40</v>
      </c>
      <c r="T79" s="1">
        <v>1</v>
      </c>
      <c r="U79" s="1" t="s">
        <v>36</v>
      </c>
      <c r="V79" s="1" t="str">
        <f t="shared" si="16"/>
        <v>DME9_PA12_IIFF8_2</v>
      </c>
      <c r="W79" s="1" t="str">
        <f t="shared" si="9"/>
        <v>DME9_PA12_IIFF8_2</v>
      </c>
      <c r="X79" s="4" t="b">
        <f t="shared" si="17"/>
        <v>1</v>
      </c>
      <c r="Y79" s="1" t="str">
        <f>VLOOKUP(D79,'Orden de Imagen'!$A$1:D222,4,FALSE())</f>
        <v>048</v>
      </c>
      <c r="Z79" s="1" t="str">
        <f t="shared" si="18"/>
        <v>048_25_07_02_DME9_PA12_IIFF8_2</v>
      </c>
    </row>
    <row r="80" spans="1:26" ht="15" customHeight="1" x14ac:dyDescent="0.25">
      <c r="A80" s="1">
        <v>81</v>
      </c>
      <c r="B80" s="1" t="s">
        <v>253</v>
      </c>
      <c r="C80" s="1" t="s">
        <v>254</v>
      </c>
      <c r="D80" s="1" t="str">
        <f t="shared" si="19"/>
        <v>CL_MLP_PAO_IF_Ortho_25_07_02_EM2_PA10_PA11_2</v>
      </c>
      <c r="E80" s="1" t="s">
        <v>255</v>
      </c>
      <c r="F80" s="1" t="s">
        <v>28</v>
      </c>
      <c r="G80" s="1" t="s">
        <v>29</v>
      </c>
      <c r="H80" s="16">
        <v>45840.166666666701</v>
      </c>
      <c r="I80" s="16">
        <v>45888</v>
      </c>
      <c r="J80" s="1" t="s">
        <v>30</v>
      </c>
      <c r="K80" s="2" t="str">
        <f t="shared" si="12"/>
        <v>https://sig.aminerals.cl/imgdyn/rest/services/CL_MLP_PAO/CL_MLP_PAO_IF_Ortho_ALL/ImageServer/file?id=.\Chacay_El_Mauro_Drone\25_07_02\CL_MLP_PAO_IF_Ortho_25_07_02_EM2_PA10_PA11_2.tiff&amp;rasterId=</v>
      </c>
      <c r="L80" s="1" t="s">
        <v>31</v>
      </c>
      <c r="M80" s="1" t="s">
        <v>32</v>
      </c>
      <c r="N80" s="1" t="s">
        <v>33</v>
      </c>
      <c r="O80" s="1" t="s">
        <v>34</v>
      </c>
      <c r="P80" s="3" t="str">
        <f t="shared" si="13"/>
        <v>02</v>
      </c>
      <c r="Q80" s="3" t="str">
        <f t="shared" si="14"/>
        <v>07</v>
      </c>
      <c r="R80" s="3" t="str">
        <f t="shared" si="15"/>
        <v>25</v>
      </c>
      <c r="S80" s="1" t="s">
        <v>40</v>
      </c>
      <c r="T80" s="1">
        <v>1</v>
      </c>
      <c r="U80" s="1" t="s">
        <v>36</v>
      </c>
      <c r="V80" s="1" t="str">
        <f t="shared" si="16"/>
        <v>EM2_PA10_PA11_2</v>
      </c>
      <c r="W80" s="1" t="str">
        <f t="shared" si="9"/>
        <v>EM2_PA10_PA11_2</v>
      </c>
      <c r="X80" s="4" t="b">
        <f t="shared" si="17"/>
        <v>1</v>
      </c>
      <c r="Y80" s="1" t="str">
        <f>VLOOKUP(D80,'Orden de Imagen'!$A$1:D223,4,FALSE())</f>
        <v>049</v>
      </c>
      <c r="Z80" s="1" t="str">
        <f t="shared" si="18"/>
        <v>049_25_07_02_EM2_PA10_PA11_2</v>
      </c>
    </row>
    <row r="81" spans="1:26" ht="15" customHeight="1" x14ac:dyDescent="0.25">
      <c r="A81" s="1">
        <v>82</v>
      </c>
      <c r="B81" s="1" t="s">
        <v>256</v>
      </c>
      <c r="C81" s="1" t="s">
        <v>257</v>
      </c>
      <c r="D81" s="1" t="str">
        <f t="shared" si="19"/>
        <v>CL_MLP_PAO_IF_Ortho_25_07_03_EV1</v>
      </c>
      <c r="E81" s="1" t="s">
        <v>258</v>
      </c>
      <c r="F81" s="1" t="s">
        <v>28</v>
      </c>
      <c r="G81" s="1" t="s">
        <v>29</v>
      </c>
      <c r="H81" s="16">
        <v>45841.166666666701</v>
      </c>
      <c r="I81" s="16">
        <v>45888</v>
      </c>
      <c r="J81" s="1" t="s">
        <v>30</v>
      </c>
      <c r="K81" s="2" t="str">
        <f t="shared" si="12"/>
        <v>https://sig.aminerals.cl/imgdyn/rest/services/CL_MLP_PAO/CL_MLP_PAO_IF_Ortho_ALL/ImageServer/file?id=.\Chacay_El_Mauro_Drone\25_07_03\CL_MLP_PAO_IF_Ortho_25_07_03_EV1.tiff&amp;rasterId=</v>
      </c>
      <c r="L81" s="1" t="s">
        <v>31</v>
      </c>
      <c r="M81" s="1" t="s">
        <v>32</v>
      </c>
      <c r="N81" s="1" t="s">
        <v>33</v>
      </c>
      <c r="O81" s="1" t="s">
        <v>34</v>
      </c>
      <c r="P81" s="3" t="str">
        <f t="shared" si="13"/>
        <v>03</v>
      </c>
      <c r="Q81" s="3" t="str">
        <f t="shared" si="14"/>
        <v>07</v>
      </c>
      <c r="R81" s="3" t="str">
        <f t="shared" si="15"/>
        <v>25</v>
      </c>
      <c r="S81" s="1" t="s">
        <v>40</v>
      </c>
      <c r="T81" s="1">
        <v>1</v>
      </c>
      <c r="U81" s="1" t="s">
        <v>36</v>
      </c>
      <c r="V81" s="1" t="str">
        <f t="shared" si="16"/>
        <v>EV1</v>
      </c>
      <c r="W81" s="1" t="str">
        <f t="shared" si="9"/>
        <v>EV1</v>
      </c>
      <c r="X81" s="4" t="b">
        <f t="shared" si="17"/>
        <v>1</v>
      </c>
      <c r="Y81" s="1" t="str">
        <f>VLOOKUP(D81,'Orden de Imagen'!$A$1:D224,4,FALSE())</f>
        <v>050</v>
      </c>
      <c r="Z81" s="1" t="str">
        <f t="shared" si="18"/>
        <v>050_25_07_03_EV1</v>
      </c>
    </row>
    <row r="82" spans="1:26" ht="15" customHeight="1" x14ac:dyDescent="0.25">
      <c r="A82" s="1">
        <v>83</v>
      </c>
      <c r="B82" s="1" t="s">
        <v>259</v>
      </c>
      <c r="C82" s="1" t="s">
        <v>260</v>
      </c>
      <c r="D82" s="1" t="str">
        <f t="shared" si="19"/>
        <v>CL_MLP_PAO_IF_Ortho_25_07_03_IIFF4_PA4</v>
      </c>
      <c r="E82" s="1" t="s">
        <v>261</v>
      </c>
      <c r="F82" s="1" t="s">
        <v>28</v>
      </c>
      <c r="G82" s="1" t="s">
        <v>29</v>
      </c>
      <c r="H82" s="16">
        <v>45841.166666666701</v>
      </c>
      <c r="I82" s="16">
        <v>45888</v>
      </c>
      <c r="J82" s="1" t="s">
        <v>30</v>
      </c>
      <c r="K82" s="2" t="str">
        <f t="shared" si="12"/>
        <v>https://sig.aminerals.cl/imgdyn/rest/services/CL_MLP_PAO/CL_MLP_PAO_IF_Ortho_ALL/ImageServer/file?id=.\Chacay_El_Mauro_Drone\25_07_03\CL_MLP_PAO_IF_Ortho_25_07_03_IIFF4_PA4.tiff&amp;rasterId=</v>
      </c>
      <c r="L82" s="1" t="s">
        <v>31</v>
      </c>
      <c r="M82" s="1" t="s">
        <v>32</v>
      </c>
      <c r="N82" s="1" t="s">
        <v>33</v>
      </c>
      <c r="O82" s="1" t="s">
        <v>34</v>
      </c>
      <c r="P82" s="3" t="str">
        <f t="shared" si="13"/>
        <v>03</v>
      </c>
      <c r="Q82" s="3" t="str">
        <f t="shared" si="14"/>
        <v>07</v>
      </c>
      <c r="R82" s="3" t="str">
        <f t="shared" si="15"/>
        <v>25</v>
      </c>
      <c r="S82" s="1" t="s">
        <v>40</v>
      </c>
      <c r="T82" s="1">
        <v>1</v>
      </c>
      <c r="U82" s="1" t="s">
        <v>36</v>
      </c>
      <c r="V82" s="1" t="str">
        <f t="shared" si="16"/>
        <v>IIFF4_PA4</v>
      </c>
      <c r="W82" s="1" t="str">
        <f t="shared" si="9"/>
        <v>IIFF4_PA4</v>
      </c>
      <c r="X82" s="4" t="b">
        <f t="shared" si="17"/>
        <v>1</v>
      </c>
      <c r="Y82" s="1" t="str">
        <f>VLOOKUP(D82,'Orden de Imagen'!$A$1:D225,4,FALSE())</f>
        <v>051</v>
      </c>
      <c r="Z82" s="1" t="str">
        <f t="shared" si="18"/>
        <v>051_25_07_03_IIFF4_PA4</v>
      </c>
    </row>
    <row r="83" spans="1:26" ht="15" customHeight="1" x14ac:dyDescent="0.25">
      <c r="A83" s="1">
        <v>84</v>
      </c>
      <c r="B83" s="1" t="s">
        <v>262</v>
      </c>
      <c r="C83" s="1" t="s">
        <v>263</v>
      </c>
      <c r="D83" s="1" t="str">
        <f t="shared" si="19"/>
        <v>CL_MLP_PAO_IF_Ortho_25_07_03_NSTC_Km_16p1_a_DME4</v>
      </c>
      <c r="E83" s="1" t="s">
        <v>264</v>
      </c>
      <c r="F83" s="1" t="s">
        <v>28</v>
      </c>
      <c r="G83" s="1" t="s">
        <v>29</v>
      </c>
      <c r="H83" s="16">
        <v>45841.166666666701</v>
      </c>
      <c r="I83" s="16">
        <v>45888</v>
      </c>
      <c r="J83" s="1" t="s">
        <v>30</v>
      </c>
      <c r="K83" s="2" t="str">
        <f t="shared" si="12"/>
        <v>https://sig.aminerals.cl/imgdyn/rest/services/CL_MLP_PAO/CL_MLP_PAO_IF_Ortho_ALL/ImageServer/file?id=.\Chacay_El_Mauro_Drone\25_07_03\CL_MLP_PAO_IF_Ortho_25_07_03_NSTC_Km_16p1_a_DME4.tiff&amp;rasterId=</v>
      </c>
      <c r="L83" s="1" t="s">
        <v>31</v>
      </c>
      <c r="M83" s="1" t="s">
        <v>32</v>
      </c>
      <c r="N83" s="1" t="s">
        <v>33</v>
      </c>
      <c r="O83" s="1" t="s">
        <v>34</v>
      </c>
      <c r="P83" s="3" t="str">
        <f t="shared" si="13"/>
        <v>03</v>
      </c>
      <c r="Q83" s="3" t="str">
        <f t="shared" si="14"/>
        <v>07</v>
      </c>
      <c r="R83" s="3" t="str">
        <f t="shared" si="15"/>
        <v>25</v>
      </c>
      <c r="S83" s="1" t="s">
        <v>40</v>
      </c>
      <c r="T83" s="1">
        <v>1</v>
      </c>
      <c r="U83" s="1" t="s">
        <v>36</v>
      </c>
      <c r="V83" s="1" t="str">
        <f t="shared" si="16"/>
        <v>NSTC_Km_16p1_a_DME4</v>
      </c>
      <c r="W83" s="1" t="str">
        <f t="shared" si="9"/>
        <v>NSTC_Km_16p1_a_DME4</v>
      </c>
      <c r="X83" s="4" t="b">
        <f t="shared" si="17"/>
        <v>1</v>
      </c>
      <c r="Y83" s="1" t="str">
        <f>VLOOKUP(D83,'Orden de Imagen'!$A$1:D226,4,FALSE())</f>
        <v>052</v>
      </c>
      <c r="Z83" s="1" t="str">
        <f t="shared" si="18"/>
        <v>052_25_07_03_NSTC_Km_16p1_a_DME4</v>
      </c>
    </row>
    <row r="84" spans="1:26" ht="15" customHeight="1" x14ac:dyDescent="0.25">
      <c r="A84" s="1">
        <v>85</v>
      </c>
      <c r="B84" s="1" t="s">
        <v>265</v>
      </c>
      <c r="C84" s="1" t="s">
        <v>266</v>
      </c>
      <c r="D84" s="1" t="str">
        <f t="shared" si="19"/>
        <v>CL_MLP_PAO_IF_Ortho_25_07_09_NSTC_Km_100_a_101</v>
      </c>
      <c r="E84" s="1" t="s">
        <v>267</v>
      </c>
      <c r="F84" s="1" t="s">
        <v>28</v>
      </c>
      <c r="G84" s="1" t="s">
        <v>29</v>
      </c>
      <c r="H84" s="16">
        <v>45847.166666666701</v>
      </c>
      <c r="I84" s="16">
        <v>45888</v>
      </c>
      <c r="J84" s="1" t="s">
        <v>30</v>
      </c>
      <c r="K84" s="2" t="str">
        <f t="shared" si="12"/>
        <v>https://sig.aminerals.cl/imgdyn/rest/services/CL_MLP_PAO/CL_MLP_PAO_IF_Ortho_ALL/ImageServer/file?id=.\El_Mauro_Puerto_Punta_Chungo_Drone\25_07_09\CL_MLP_PAO_IF_Ortho_25_07_09_NSTC_Km_100_a_101.tiff&amp;rasterId=</v>
      </c>
      <c r="L84" s="1" t="s">
        <v>31</v>
      </c>
      <c r="M84" s="1" t="s">
        <v>32</v>
      </c>
      <c r="N84" s="1" t="s">
        <v>33</v>
      </c>
      <c r="O84" s="1" t="s">
        <v>34</v>
      </c>
      <c r="P84" s="3" t="str">
        <f t="shared" si="13"/>
        <v>09</v>
      </c>
      <c r="Q84" s="3" t="str">
        <f t="shared" si="14"/>
        <v>07</v>
      </c>
      <c r="R84" s="3" t="str">
        <f t="shared" si="15"/>
        <v>25</v>
      </c>
      <c r="S84" s="1" t="s">
        <v>50</v>
      </c>
      <c r="T84" s="1">
        <v>1</v>
      </c>
      <c r="U84" s="1" t="s">
        <v>36</v>
      </c>
      <c r="V84" s="1" t="str">
        <f t="shared" si="16"/>
        <v>NSTC_Km_100_a_101</v>
      </c>
      <c r="W84" s="1" t="str">
        <f t="shared" si="9"/>
        <v>NSTC_Km_100_a_101</v>
      </c>
      <c r="X84" s="4" t="b">
        <f t="shared" si="17"/>
        <v>1</v>
      </c>
      <c r="Y84" s="1" t="str">
        <f>VLOOKUP(D84,'Orden de Imagen'!$A$1:D227,4,FALSE())</f>
        <v>053</v>
      </c>
      <c r="Z84" s="1" t="str">
        <f t="shared" si="18"/>
        <v>053_25_07_09_NSTC_Km_100_a_101</v>
      </c>
    </row>
    <row r="85" spans="1:26" ht="15" customHeight="1" x14ac:dyDescent="0.25">
      <c r="A85" s="1">
        <v>86</v>
      </c>
      <c r="B85" s="1" t="s">
        <v>268</v>
      </c>
      <c r="C85" s="1" t="s">
        <v>269</v>
      </c>
      <c r="D85" s="1" t="str">
        <f t="shared" si="19"/>
        <v>CL_MLP_PAO_IF_Ortho_25_07_15_NSTC_Km_101_a_102f</v>
      </c>
      <c r="E85" s="1" t="s">
        <v>270</v>
      </c>
      <c r="F85" s="1" t="s">
        <v>28</v>
      </c>
      <c r="G85" s="1" t="s">
        <v>29</v>
      </c>
      <c r="H85" s="16">
        <v>45853.166666666701</v>
      </c>
      <c r="I85" s="16">
        <v>45870</v>
      </c>
      <c r="J85" s="1" t="s">
        <v>30</v>
      </c>
      <c r="K85" s="2" t="str">
        <f t="shared" si="12"/>
        <v>https://sig.aminerals.cl/imgdyn/rest/services/CL_MLP_PAO/CL_MLP_PAO_IF_Ortho_ALL/ImageServer/file?id=.\El_Mauro_Puerto_Punta_Chungo_Drone\25_07_15\CL_MLP_PAO_IF_Ortho_25_07_15_NSTC_Km_101_a_102f.tiff&amp;rasterId=</v>
      </c>
      <c r="L85" s="1" t="s">
        <v>31</v>
      </c>
      <c r="M85" s="1" t="s">
        <v>32</v>
      </c>
      <c r="N85" s="1" t="s">
        <v>33</v>
      </c>
      <c r="O85" s="1" t="s">
        <v>34</v>
      </c>
      <c r="P85" s="3" t="str">
        <f t="shared" si="13"/>
        <v>15</v>
      </c>
      <c r="Q85" s="3" t="str">
        <f t="shared" si="14"/>
        <v>07</v>
      </c>
      <c r="R85" s="3" t="str">
        <f t="shared" si="15"/>
        <v>25</v>
      </c>
      <c r="S85" s="1" t="s">
        <v>50</v>
      </c>
      <c r="T85" s="1">
        <v>1</v>
      </c>
      <c r="U85" s="1" t="s">
        <v>36</v>
      </c>
      <c r="V85" s="1" t="str">
        <f t="shared" si="16"/>
        <v>NSTC_Km_101_a_102f</v>
      </c>
      <c r="W85" s="1" t="str">
        <f t="shared" si="9"/>
        <v>NSTC_Km_101_a_102f</v>
      </c>
      <c r="X85" s="4" t="b">
        <f t="shared" si="17"/>
        <v>1</v>
      </c>
      <c r="Y85" s="1" t="str">
        <f>VLOOKUP(D85,'Orden de Imagen'!$A$1:D228,4,FALSE())</f>
        <v>054</v>
      </c>
      <c r="Z85" s="1" t="str">
        <f t="shared" si="18"/>
        <v>054_25_07_15_NSTC_Km_101_a_102f</v>
      </c>
    </row>
    <row r="86" spans="1:26" ht="15" customHeight="1" x14ac:dyDescent="0.25">
      <c r="A86" s="1">
        <v>87</v>
      </c>
      <c r="B86" s="1" t="s">
        <v>271</v>
      </c>
      <c r="C86" s="1" t="s">
        <v>272</v>
      </c>
      <c r="D86" s="1" t="str">
        <f t="shared" si="19"/>
        <v>CL_MLP_PAO_IF_Ortho_25_07_15_NSTC_Km_102_a_103p2f</v>
      </c>
      <c r="E86" s="1" t="s">
        <v>273</v>
      </c>
      <c r="F86" s="1" t="s">
        <v>28</v>
      </c>
      <c r="G86" s="1" t="s">
        <v>29</v>
      </c>
      <c r="H86" s="16">
        <v>45853.166666666701</v>
      </c>
      <c r="I86" s="16">
        <v>45870</v>
      </c>
      <c r="J86" s="1" t="s">
        <v>30</v>
      </c>
      <c r="K86" s="2" t="str">
        <f t="shared" si="12"/>
        <v>https://sig.aminerals.cl/imgdyn/rest/services/CL_MLP_PAO/CL_MLP_PAO_IF_Ortho_ALL/ImageServer/file?id=.\El_Mauro_Puerto_Punta_Chungo_Drone\25_07_15\CL_MLP_PAO_IF_Ortho_25_07_15_NSTC_Km_102_a_103p2f.tiff&amp;rasterId=</v>
      </c>
      <c r="L86" s="1" t="s">
        <v>31</v>
      </c>
      <c r="M86" s="1" t="s">
        <v>32</v>
      </c>
      <c r="N86" s="1" t="s">
        <v>33</v>
      </c>
      <c r="O86" s="1" t="s">
        <v>34</v>
      </c>
      <c r="P86" s="3" t="str">
        <f t="shared" si="13"/>
        <v>15</v>
      </c>
      <c r="Q86" s="3" t="str">
        <f t="shared" si="14"/>
        <v>07</v>
      </c>
      <c r="R86" s="3" t="str">
        <f t="shared" si="15"/>
        <v>25</v>
      </c>
      <c r="S86" s="1" t="s">
        <v>50</v>
      </c>
      <c r="T86" s="1">
        <v>1</v>
      </c>
      <c r="U86" s="1" t="s">
        <v>36</v>
      </c>
      <c r="V86" s="1" t="str">
        <f t="shared" si="16"/>
        <v>NSTC_Km_102_a_103p2f</v>
      </c>
      <c r="W86" s="1" t="str">
        <f t="shared" si="9"/>
        <v>NSTC_Km_102_a_103p2f</v>
      </c>
      <c r="X86" s="4" t="b">
        <f t="shared" si="17"/>
        <v>1</v>
      </c>
      <c r="Y86" s="1" t="str">
        <f>VLOOKUP(D86,'Orden de Imagen'!$A$1:D229,4,FALSE())</f>
        <v>055</v>
      </c>
      <c r="Z86" s="1" t="str">
        <f t="shared" si="18"/>
        <v>055_25_07_15_NSTC_Km_102_a_103p2f</v>
      </c>
    </row>
    <row r="87" spans="1:26" ht="15" customHeight="1" x14ac:dyDescent="0.25">
      <c r="A87" s="1">
        <v>88</v>
      </c>
      <c r="B87" s="1" t="s">
        <v>274</v>
      </c>
      <c r="C87" s="1" t="s">
        <v>275</v>
      </c>
      <c r="D87" s="1" t="str">
        <f t="shared" si="19"/>
        <v>CL_MLP_PAO_IF_Ortho_25_07_15_Oreja_16_NSTC_103p3_a_103p8_2f</v>
      </c>
      <c r="E87" s="1" t="s">
        <v>276</v>
      </c>
      <c r="F87" s="1" t="s">
        <v>28</v>
      </c>
      <c r="G87" s="1" t="s">
        <v>29</v>
      </c>
      <c r="H87" s="16">
        <v>45853.166666666701</v>
      </c>
      <c r="I87" s="16">
        <v>45870</v>
      </c>
      <c r="J87" s="1" t="s">
        <v>30</v>
      </c>
      <c r="K87" s="2" t="str">
        <f t="shared" si="12"/>
        <v>https://sig.aminerals.cl/imgdyn/rest/services/CL_MLP_PAO/CL_MLP_PAO_IF_Ortho_ALL/ImageServer/file?id=.\El_Mauro_Puerto_Punta_Chungo_Drone\25_07_15\CL_MLP_PAO_IF_Ortho_25_07_15_Oreja_16_NSTC_103p3_a_103p8_2f.tiff&amp;rasterId=</v>
      </c>
      <c r="L87" s="1" t="s">
        <v>31</v>
      </c>
      <c r="M87" s="1" t="s">
        <v>32</v>
      </c>
      <c r="N87" s="1" t="s">
        <v>33</v>
      </c>
      <c r="O87" s="1" t="s">
        <v>34</v>
      </c>
      <c r="P87" s="3" t="str">
        <f t="shared" si="13"/>
        <v>15</v>
      </c>
      <c r="Q87" s="3" t="str">
        <f t="shared" si="14"/>
        <v>07</v>
      </c>
      <c r="R87" s="3" t="str">
        <f t="shared" si="15"/>
        <v>25</v>
      </c>
      <c r="S87" s="1" t="s">
        <v>50</v>
      </c>
      <c r="T87" s="1">
        <v>1</v>
      </c>
      <c r="U87" s="1" t="s">
        <v>36</v>
      </c>
      <c r="V87" s="1" t="str">
        <f t="shared" si="16"/>
        <v>Oreja_16_NSTC_103p3_a_103p8_2f</v>
      </c>
      <c r="W87" s="1" t="str">
        <f t="shared" si="9"/>
        <v>Oreja_16_NSTC_103p3_a_103p8_2f</v>
      </c>
      <c r="X87" s="4" t="b">
        <f t="shared" si="17"/>
        <v>1</v>
      </c>
      <c r="Y87" s="1" t="str">
        <f>VLOOKUP(D87,'Orden de Imagen'!$A$1:D230,4,FALSE())</f>
        <v>056</v>
      </c>
      <c r="Z87" s="1" t="str">
        <f t="shared" si="18"/>
        <v>056_25_07_15_Oreja_16_NSTC_103p3_a_103p8_2f</v>
      </c>
    </row>
    <row r="88" spans="1:26" ht="15" customHeight="1" x14ac:dyDescent="0.25">
      <c r="A88" s="1">
        <v>89</v>
      </c>
      <c r="B88" s="1" t="s">
        <v>277</v>
      </c>
      <c r="C88" s="1" t="s">
        <v>278</v>
      </c>
      <c r="D88" s="1" t="str">
        <f t="shared" si="19"/>
        <v>CL_MLP_PAO_IF_Ortho_25_07_15_Oreja_17_NSTC_103p7_a_104p9_2f</v>
      </c>
      <c r="E88" s="1" t="s">
        <v>279</v>
      </c>
      <c r="F88" s="1" t="s">
        <v>28</v>
      </c>
      <c r="G88" s="1" t="s">
        <v>29</v>
      </c>
      <c r="H88" s="16">
        <v>45853.166666666701</v>
      </c>
      <c r="I88" s="16">
        <v>45870</v>
      </c>
      <c r="J88" s="1" t="s">
        <v>30</v>
      </c>
      <c r="K88" s="2" t="str">
        <f t="shared" si="12"/>
        <v>https://sig.aminerals.cl/imgdyn/rest/services/CL_MLP_PAO/CL_MLP_PAO_IF_Ortho_ALL/ImageServer/file?id=.\El_Mauro_Puerto_Punta_Chungo_Drone\25_07_15\CL_MLP_PAO_IF_Ortho_25_07_15_Oreja_17_NSTC_103p7_a_104p9_2f.tiff&amp;rasterId=</v>
      </c>
      <c r="L88" s="1" t="s">
        <v>31</v>
      </c>
      <c r="M88" s="1" t="s">
        <v>32</v>
      </c>
      <c r="N88" s="1" t="s">
        <v>33</v>
      </c>
      <c r="O88" s="1" t="s">
        <v>34</v>
      </c>
      <c r="P88" s="3" t="str">
        <f t="shared" si="13"/>
        <v>15</v>
      </c>
      <c r="Q88" s="3" t="str">
        <f t="shared" si="14"/>
        <v>07</v>
      </c>
      <c r="R88" s="3" t="str">
        <f t="shared" si="15"/>
        <v>25</v>
      </c>
      <c r="S88" s="1" t="s">
        <v>50</v>
      </c>
      <c r="T88" s="1">
        <v>1</v>
      </c>
      <c r="U88" s="1" t="s">
        <v>36</v>
      </c>
      <c r="V88" s="1" t="str">
        <f t="shared" si="16"/>
        <v>Oreja_17_NSTC_103p7_a_104p9_2f</v>
      </c>
      <c r="W88" s="1" t="str">
        <f t="shared" si="9"/>
        <v>Oreja_17_NSTC_103p7_a_104p9_2f</v>
      </c>
      <c r="X88" s="4" t="b">
        <f t="shared" si="17"/>
        <v>1</v>
      </c>
      <c r="Y88" s="1" t="str">
        <f>VLOOKUP(D88,'Orden de Imagen'!$A$1:D231,4,FALSE())</f>
        <v>057</v>
      </c>
      <c r="Z88" s="1" t="str">
        <f t="shared" si="18"/>
        <v>057_25_07_15_Oreja_17_NSTC_103p7_a_104p9_2f</v>
      </c>
    </row>
    <row r="89" spans="1:26" ht="15" customHeight="1" x14ac:dyDescent="0.25">
      <c r="A89" s="1">
        <v>90</v>
      </c>
      <c r="B89" s="1" t="s">
        <v>280</v>
      </c>
      <c r="C89" s="1" t="s">
        <v>281</v>
      </c>
      <c r="D89" s="1" t="str">
        <f t="shared" si="19"/>
        <v>CL_MLP_PAO_IF_Ortho_25_07_16_NSTC_Km_105p6_a_107f</v>
      </c>
      <c r="E89" s="1" t="s">
        <v>282</v>
      </c>
      <c r="F89" s="1" t="s">
        <v>28</v>
      </c>
      <c r="G89" s="1" t="s">
        <v>29</v>
      </c>
      <c r="H89" s="16">
        <v>45854.166666666701</v>
      </c>
      <c r="I89" s="16">
        <v>45870</v>
      </c>
      <c r="J89" s="1" t="s">
        <v>30</v>
      </c>
      <c r="K89" s="2" t="str">
        <f t="shared" si="12"/>
        <v>https://sig.aminerals.cl/imgdyn/rest/services/CL_MLP_PAO/CL_MLP_PAO_IF_Ortho_ALL/ImageServer/file?id=.\El_Mauro_Puerto_Punta_Chungo_Drone\25_07_16\CL_MLP_PAO_IF_Ortho_25_07_16_NSTC_Km_105p6_a_107f.tiff&amp;rasterId=</v>
      </c>
      <c r="L89" s="1" t="s">
        <v>31</v>
      </c>
      <c r="M89" s="1" t="s">
        <v>32</v>
      </c>
      <c r="N89" s="1" t="s">
        <v>33</v>
      </c>
      <c r="O89" s="1" t="s">
        <v>34</v>
      </c>
      <c r="P89" s="3" t="str">
        <f t="shared" si="13"/>
        <v>16</v>
      </c>
      <c r="Q89" s="3" t="str">
        <f t="shared" si="14"/>
        <v>07</v>
      </c>
      <c r="R89" s="3" t="str">
        <f t="shared" si="15"/>
        <v>25</v>
      </c>
      <c r="S89" s="1" t="s">
        <v>50</v>
      </c>
      <c r="T89" s="1">
        <v>1</v>
      </c>
      <c r="U89" s="1" t="s">
        <v>36</v>
      </c>
      <c r="V89" s="1" t="str">
        <f t="shared" si="16"/>
        <v>NSTC_Km_105p6_a_107f</v>
      </c>
      <c r="W89" s="1" t="str">
        <f t="shared" si="9"/>
        <v>NSTC_Km_105p6_a_107f</v>
      </c>
      <c r="X89" s="4" t="b">
        <f t="shared" si="17"/>
        <v>1</v>
      </c>
      <c r="Y89" s="1" t="str">
        <f>VLOOKUP(D89,'Orden de Imagen'!$A$1:D232,4,FALSE())</f>
        <v>058</v>
      </c>
      <c r="Z89" s="1" t="str">
        <f t="shared" si="18"/>
        <v>058_25_07_16_NSTC_Km_105p6_a_107f</v>
      </c>
    </row>
    <row r="90" spans="1:26" ht="15" customHeight="1" x14ac:dyDescent="0.25">
      <c r="A90" s="1">
        <v>91</v>
      </c>
      <c r="B90" s="1" t="s">
        <v>283</v>
      </c>
      <c r="C90" s="1" t="s">
        <v>284</v>
      </c>
      <c r="D90" s="1" t="str">
        <f t="shared" si="19"/>
        <v>CL_MLP_PAO_IF_Ortho_25_07_16_NSTC_Km_99_a_100f</v>
      </c>
      <c r="E90" s="1" t="s">
        <v>285</v>
      </c>
      <c r="F90" s="1" t="s">
        <v>28</v>
      </c>
      <c r="G90" s="1" t="s">
        <v>29</v>
      </c>
      <c r="H90" s="16">
        <v>45854.166666666701</v>
      </c>
      <c r="I90" s="16">
        <v>45870</v>
      </c>
      <c r="J90" s="1" t="s">
        <v>30</v>
      </c>
      <c r="K90" s="2" t="str">
        <f t="shared" si="12"/>
        <v>https://sig.aminerals.cl/imgdyn/rest/services/CL_MLP_PAO/CL_MLP_PAO_IF_Ortho_ALL/ImageServer/file?id=.\El_Mauro_Puerto_Punta_Chungo_Drone\25_07_16\CL_MLP_PAO_IF_Ortho_25_07_16_NSTC_Km_99_a_100f.tiff&amp;rasterId=</v>
      </c>
      <c r="L90" s="1" t="s">
        <v>31</v>
      </c>
      <c r="M90" s="1" t="s">
        <v>32</v>
      </c>
      <c r="N90" s="1" t="s">
        <v>33</v>
      </c>
      <c r="O90" s="1" t="s">
        <v>34</v>
      </c>
      <c r="P90" s="3" t="str">
        <f t="shared" si="13"/>
        <v>16</v>
      </c>
      <c r="Q90" s="3" t="str">
        <f t="shared" si="14"/>
        <v>07</v>
      </c>
      <c r="R90" s="3" t="str">
        <f t="shared" si="15"/>
        <v>25</v>
      </c>
      <c r="S90" s="1" t="s">
        <v>50</v>
      </c>
      <c r="T90" s="1">
        <v>1</v>
      </c>
      <c r="U90" s="1" t="s">
        <v>36</v>
      </c>
      <c r="V90" s="1" t="str">
        <f t="shared" si="16"/>
        <v>NSTC_Km_99_a_100f</v>
      </c>
      <c r="W90" s="1" t="str">
        <f t="shared" si="9"/>
        <v>NSTC_Km_99_a_100f</v>
      </c>
      <c r="X90" s="4" t="b">
        <f t="shared" si="17"/>
        <v>1</v>
      </c>
      <c r="Y90" s="1" t="str">
        <f>VLOOKUP(D90,'Orden de Imagen'!$A$1:D233,4,FALSE())</f>
        <v>059</v>
      </c>
      <c r="Z90" s="1" t="str">
        <f t="shared" si="18"/>
        <v>059_25_07_16_NSTC_Km_99_a_100f</v>
      </c>
    </row>
    <row r="91" spans="1:26" ht="15" customHeight="1" x14ac:dyDescent="0.25">
      <c r="A91" s="1">
        <v>92</v>
      </c>
      <c r="B91" s="1" t="s">
        <v>286</v>
      </c>
      <c r="C91" s="1" t="s">
        <v>287</v>
      </c>
      <c r="D91" s="1" t="str">
        <f t="shared" si="19"/>
        <v>CL_MLP_PAO_IF_Ortho_25_07_16_Oreja_18_NSTC_104p9_a_105p6_2f</v>
      </c>
      <c r="E91" s="1" t="s">
        <v>288</v>
      </c>
      <c r="F91" s="1" t="s">
        <v>28</v>
      </c>
      <c r="G91" s="1" t="s">
        <v>29</v>
      </c>
      <c r="H91" s="16">
        <v>45854.166666666701</v>
      </c>
      <c r="I91" s="16">
        <v>45870</v>
      </c>
      <c r="J91" s="1" t="s">
        <v>30</v>
      </c>
      <c r="K91" s="2" t="str">
        <f t="shared" si="12"/>
        <v>https://sig.aminerals.cl/imgdyn/rest/services/CL_MLP_PAO/CL_MLP_PAO_IF_Ortho_ALL/ImageServer/file?id=.\El_Mauro_Puerto_Punta_Chungo_Drone\25_07_16\CL_MLP_PAO_IF_Ortho_25_07_16_Oreja_18_NSTC_104p9_a_105p6_2f.tiff&amp;rasterId=</v>
      </c>
      <c r="L91" s="1" t="s">
        <v>31</v>
      </c>
      <c r="M91" s="1" t="s">
        <v>32</v>
      </c>
      <c r="N91" s="1" t="s">
        <v>33</v>
      </c>
      <c r="O91" s="1" t="s">
        <v>34</v>
      </c>
      <c r="P91" s="3" t="str">
        <f t="shared" si="13"/>
        <v>16</v>
      </c>
      <c r="Q91" s="3" t="str">
        <f t="shared" si="14"/>
        <v>07</v>
      </c>
      <c r="R91" s="3" t="str">
        <f t="shared" si="15"/>
        <v>25</v>
      </c>
      <c r="S91" s="1" t="s">
        <v>50</v>
      </c>
      <c r="T91" s="1">
        <v>1</v>
      </c>
      <c r="U91" s="1" t="s">
        <v>36</v>
      </c>
      <c r="V91" s="1" t="str">
        <f t="shared" si="16"/>
        <v>Oreja_18_NSTC_104p9_a_105p6_2f</v>
      </c>
      <c r="W91" s="1" t="str">
        <f t="shared" si="9"/>
        <v>Oreja_18_NSTC_104p9_a_105p6_2f</v>
      </c>
      <c r="X91" s="4" t="b">
        <f t="shared" si="17"/>
        <v>1</v>
      </c>
      <c r="Y91" s="1" t="str">
        <f>VLOOKUP(D91,'Orden de Imagen'!$A$1:D234,4,FALSE())</f>
        <v>060</v>
      </c>
      <c r="Z91" s="1" t="str">
        <f t="shared" si="18"/>
        <v>060_25_07_16_Oreja_18_NSTC_104p9_a_105p6_2f</v>
      </c>
    </row>
    <row r="92" spans="1:26" ht="15" customHeight="1" x14ac:dyDescent="0.25">
      <c r="A92" s="1">
        <v>93</v>
      </c>
      <c r="B92" s="1" t="s">
        <v>289</v>
      </c>
      <c r="C92" s="1" t="s">
        <v>290</v>
      </c>
      <c r="D92" s="1" t="str">
        <f t="shared" si="19"/>
        <v>CL_MLP_PAO_IF_Ortho_25_07_22_NSTC_Km_107_a_108</v>
      </c>
      <c r="E92" s="1" t="s">
        <v>291</v>
      </c>
      <c r="F92" s="1" t="s">
        <v>28</v>
      </c>
      <c r="G92" s="1" t="s">
        <v>29</v>
      </c>
      <c r="H92" s="16">
        <v>45860.166666666701</v>
      </c>
      <c r="I92" s="16">
        <v>45870</v>
      </c>
      <c r="J92" s="1" t="s">
        <v>30</v>
      </c>
      <c r="K92" s="2" t="str">
        <f t="shared" si="12"/>
        <v>https://sig.aminerals.cl/imgdyn/rest/services/CL_MLP_PAO/CL_MLP_PAO_IF_Ortho_ALL/ImageServer/file?id=.\El_Mauro_Puerto_Punta_Chungo_Drone\25_07_22\CL_MLP_PAO_IF_Ortho_25_07_22_NSTC_Km_107_a_108.tiff&amp;rasterId=</v>
      </c>
      <c r="L92" s="1" t="s">
        <v>31</v>
      </c>
      <c r="M92" s="1" t="s">
        <v>32</v>
      </c>
      <c r="N92" s="1" t="s">
        <v>33</v>
      </c>
      <c r="O92" s="1" t="s">
        <v>34</v>
      </c>
      <c r="P92" s="3" t="str">
        <f t="shared" si="13"/>
        <v>22</v>
      </c>
      <c r="Q92" s="3" t="str">
        <f t="shared" si="14"/>
        <v>07</v>
      </c>
      <c r="R92" s="3" t="str">
        <f t="shared" si="15"/>
        <v>25</v>
      </c>
      <c r="S92" s="1" t="s">
        <v>50</v>
      </c>
      <c r="T92" s="1">
        <v>1</v>
      </c>
      <c r="U92" s="1" t="s">
        <v>36</v>
      </c>
      <c r="V92" s="1" t="str">
        <f t="shared" si="16"/>
        <v>NSTC_Km_107_a_108</v>
      </c>
      <c r="W92" s="1" t="str">
        <f t="shared" si="9"/>
        <v>NSTC_Km_107_a_108</v>
      </c>
      <c r="X92" s="4" t="b">
        <f t="shared" si="17"/>
        <v>1</v>
      </c>
      <c r="Y92" s="1" t="str">
        <f>VLOOKUP(D92,'Orden de Imagen'!$A$1:D235,4,FALSE())</f>
        <v>061</v>
      </c>
      <c r="Z92" s="1" t="str">
        <f t="shared" si="18"/>
        <v>061_25_07_22_NSTC_Km_107_a_108</v>
      </c>
    </row>
    <row r="93" spans="1:26" ht="15" customHeight="1" x14ac:dyDescent="0.25">
      <c r="A93" s="1">
        <v>94</v>
      </c>
      <c r="B93" s="1" t="s">
        <v>292</v>
      </c>
      <c r="C93" s="1" t="s">
        <v>293</v>
      </c>
      <c r="D93" s="1" t="str">
        <f t="shared" si="19"/>
        <v>CL_MLP_PAO_IF_Ortho_25_07_22_NSTC_Km_108_a_109p1</v>
      </c>
      <c r="E93" s="1" t="s">
        <v>294</v>
      </c>
      <c r="F93" s="1" t="s">
        <v>28</v>
      </c>
      <c r="G93" s="1" t="s">
        <v>29</v>
      </c>
      <c r="H93" s="16">
        <v>45860.166666666701</v>
      </c>
      <c r="I93" s="16">
        <v>45870</v>
      </c>
      <c r="J93" s="1" t="s">
        <v>30</v>
      </c>
      <c r="K93" s="2" t="str">
        <f t="shared" si="12"/>
        <v>https://sig.aminerals.cl/imgdyn/rest/services/CL_MLP_PAO/CL_MLP_PAO_IF_Ortho_ALL/ImageServer/file?id=.\El_Mauro_Puerto_Punta_Chungo_Drone\25_07_22\CL_MLP_PAO_IF_Ortho_25_07_22_NSTC_Km_108_a_109p1.tiff&amp;rasterId=</v>
      </c>
      <c r="L93" s="1" t="s">
        <v>31</v>
      </c>
      <c r="M93" s="1" t="s">
        <v>32</v>
      </c>
      <c r="N93" s="1" t="s">
        <v>33</v>
      </c>
      <c r="O93" s="1" t="s">
        <v>34</v>
      </c>
      <c r="P93" s="3" t="str">
        <f t="shared" si="13"/>
        <v>22</v>
      </c>
      <c r="Q93" s="3" t="str">
        <f t="shared" si="14"/>
        <v>07</v>
      </c>
      <c r="R93" s="3" t="str">
        <f t="shared" si="15"/>
        <v>25</v>
      </c>
      <c r="S93" s="1" t="s">
        <v>50</v>
      </c>
      <c r="T93" s="1">
        <v>1</v>
      </c>
      <c r="U93" s="1" t="s">
        <v>36</v>
      </c>
      <c r="V93" s="1" t="str">
        <f t="shared" si="16"/>
        <v>NSTC_Km_108_a_109p1</v>
      </c>
      <c r="W93" s="1" t="str">
        <f t="shared" si="9"/>
        <v>NSTC_Km_108_a_109p1</v>
      </c>
      <c r="X93" s="4" t="b">
        <f t="shared" si="17"/>
        <v>1</v>
      </c>
      <c r="Y93" s="1" t="str">
        <f>VLOOKUP(D93,'Orden de Imagen'!$A$1:D236,4,FALSE())</f>
        <v>062</v>
      </c>
      <c r="Z93" s="1" t="str">
        <f t="shared" si="18"/>
        <v>062_25_07_22_NSTC_Km_108_a_109p1</v>
      </c>
    </row>
    <row r="94" spans="1:26" ht="15" customHeight="1" x14ac:dyDescent="0.25">
      <c r="A94" s="1">
        <v>95</v>
      </c>
      <c r="B94" s="1" t="s">
        <v>295</v>
      </c>
      <c r="C94" s="1" t="s">
        <v>296</v>
      </c>
      <c r="D94" s="1" t="str">
        <f t="shared" si="19"/>
        <v>CL_MLP_PAO_IF_Ortho_25_07_22_NSTC_Km_109p1_a_110</v>
      </c>
      <c r="E94" s="1" t="s">
        <v>297</v>
      </c>
      <c r="F94" s="1" t="s">
        <v>28</v>
      </c>
      <c r="G94" s="1" t="s">
        <v>29</v>
      </c>
      <c r="H94" s="16">
        <v>45860.166666666701</v>
      </c>
      <c r="I94" s="16">
        <v>45870</v>
      </c>
      <c r="J94" s="1" t="s">
        <v>30</v>
      </c>
      <c r="K94" s="2" t="str">
        <f t="shared" si="12"/>
        <v>https://sig.aminerals.cl/imgdyn/rest/services/CL_MLP_PAO/CL_MLP_PAO_IF_Ortho_ALL/ImageServer/file?id=.\El_Mauro_Puerto_Punta_Chungo_Drone\25_07_22\CL_MLP_PAO_IF_Ortho_25_07_22_NSTC_Km_109p1_a_110.tiff&amp;rasterId=</v>
      </c>
      <c r="L94" s="1" t="s">
        <v>31</v>
      </c>
      <c r="M94" s="1" t="s">
        <v>32</v>
      </c>
      <c r="N94" s="1" t="s">
        <v>33</v>
      </c>
      <c r="O94" s="1" t="s">
        <v>34</v>
      </c>
      <c r="P94" s="3" t="str">
        <f t="shared" si="13"/>
        <v>22</v>
      </c>
      <c r="Q94" s="3" t="str">
        <f t="shared" si="14"/>
        <v>07</v>
      </c>
      <c r="R94" s="3" t="str">
        <f t="shared" si="15"/>
        <v>25</v>
      </c>
      <c r="S94" s="1" t="s">
        <v>50</v>
      </c>
      <c r="T94" s="1">
        <v>1</v>
      </c>
      <c r="U94" s="1" t="s">
        <v>36</v>
      </c>
      <c r="V94" s="1" t="str">
        <f t="shared" si="16"/>
        <v>NSTC_Km_109p1_a_110</v>
      </c>
      <c r="W94" s="1" t="str">
        <f t="shared" si="9"/>
        <v>NSTC_Km_109p1_a_110</v>
      </c>
      <c r="X94" s="4" t="b">
        <f t="shared" si="17"/>
        <v>1</v>
      </c>
      <c r="Y94" s="1" t="str">
        <f>VLOOKUP(D94,'Orden de Imagen'!$A$1:D237,4,FALSE())</f>
        <v>063</v>
      </c>
      <c r="Z94" s="1" t="str">
        <f t="shared" si="18"/>
        <v>063_25_07_22_NSTC_Km_109p1_a_110</v>
      </c>
    </row>
    <row r="95" spans="1:26" ht="15" customHeight="1" x14ac:dyDescent="0.25">
      <c r="A95" s="1">
        <v>96</v>
      </c>
      <c r="B95" s="1" t="s">
        <v>298</v>
      </c>
      <c r="C95" s="1" t="s">
        <v>299</v>
      </c>
      <c r="D95" s="1" t="str">
        <f t="shared" si="19"/>
        <v>CL_MLP_PAO_IF_Ortho_25_07_22_NSTC_Km_110_a_111</v>
      </c>
      <c r="E95" s="1" t="s">
        <v>300</v>
      </c>
      <c r="F95" s="1" t="s">
        <v>28</v>
      </c>
      <c r="G95" s="1" t="s">
        <v>29</v>
      </c>
      <c r="H95" s="16">
        <v>45860.166666666701</v>
      </c>
      <c r="I95" s="16">
        <v>45870</v>
      </c>
      <c r="J95" s="1" t="s">
        <v>30</v>
      </c>
      <c r="K95" s="2" t="str">
        <f t="shared" si="12"/>
        <v>https://sig.aminerals.cl/imgdyn/rest/services/CL_MLP_PAO/CL_MLP_PAO_IF_Ortho_ALL/ImageServer/file?id=.\El_Mauro_Puerto_Punta_Chungo_Drone\25_07_22\CL_MLP_PAO_IF_Ortho_25_07_22_NSTC_Km_110_a_111.tiff&amp;rasterId=</v>
      </c>
      <c r="L95" s="1" t="s">
        <v>31</v>
      </c>
      <c r="M95" s="1" t="s">
        <v>32</v>
      </c>
      <c r="N95" s="1" t="s">
        <v>33</v>
      </c>
      <c r="O95" s="1" t="s">
        <v>34</v>
      </c>
      <c r="P95" s="3" t="str">
        <f t="shared" si="13"/>
        <v>22</v>
      </c>
      <c r="Q95" s="3" t="str">
        <f t="shared" si="14"/>
        <v>07</v>
      </c>
      <c r="R95" s="3" t="str">
        <f t="shared" si="15"/>
        <v>25</v>
      </c>
      <c r="S95" s="1" t="s">
        <v>50</v>
      </c>
      <c r="T95" s="1">
        <v>1</v>
      </c>
      <c r="U95" s="1" t="s">
        <v>36</v>
      </c>
      <c r="V95" s="1" t="str">
        <f t="shared" si="16"/>
        <v>NSTC_Km_110_a_111</v>
      </c>
      <c r="W95" s="1" t="str">
        <f t="shared" ref="W95:W158" si="20">E95</f>
        <v>NSTC_Km_110_a_111</v>
      </c>
      <c r="X95" s="4" t="b">
        <f t="shared" si="17"/>
        <v>1</v>
      </c>
      <c r="Y95" s="1" t="str">
        <f>VLOOKUP(D95,'Orden de Imagen'!$A$1:D238,4,FALSE())</f>
        <v>064</v>
      </c>
      <c r="Z95" s="1" t="str">
        <f t="shared" si="18"/>
        <v>064_25_07_22_NSTC_Km_110_a_111</v>
      </c>
    </row>
    <row r="96" spans="1:26" ht="15" customHeight="1" x14ac:dyDescent="0.25">
      <c r="A96" s="1">
        <v>97</v>
      </c>
      <c r="B96" s="1" t="s">
        <v>301</v>
      </c>
      <c r="C96" s="1" t="s">
        <v>302</v>
      </c>
      <c r="D96" s="1" t="str">
        <f t="shared" si="19"/>
        <v>CL_MLP_PAO_IF_Ortho_25_07_22_NSTC_Km_111_a_112</v>
      </c>
      <c r="E96" s="1" t="s">
        <v>303</v>
      </c>
      <c r="F96" s="1" t="s">
        <v>28</v>
      </c>
      <c r="G96" s="1" t="s">
        <v>29</v>
      </c>
      <c r="H96" s="16">
        <v>45860.166666666701</v>
      </c>
      <c r="I96" s="16">
        <v>45870</v>
      </c>
      <c r="J96" s="1" t="s">
        <v>30</v>
      </c>
      <c r="K96" s="2" t="str">
        <f t="shared" si="12"/>
        <v>https://sig.aminerals.cl/imgdyn/rest/services/CL_MLP_PAO/CL_MLP_PAO_IF_Ortho_ALL/ImageServer/file?id=.\El_Mauro_Puerto_Punta_Chungo_Drone\25_07_22\CL_MLP_PAO_IF_Ortho_25_07_22_NSTC_Km_111_a_112.tiff&amp;rasterId=</v>
      </c>
      <c r="L96" s="1" t="s">
        <v>31</v>
      </c>
      <c r="M96" s="1" t="s">
        <v>32</v>
      </c>
      <c r="N96" s="1" t="s">
        <v>33</v>
      </c>
      <c r="O96" s="1" t="s">
        <v>34</v>
      </c>
      <c r="P96" s="3" t="str">
        <f t="shared" si="13"/>
        <v>22</v>
      </c>
      <c r="Q96" s="3" t="str">
        <f t="shared" si="14"/>
        <v>07</v>
      </c>
      <c r="R96" s="3" t="str">
        <f t="shared" si="15"/>
        <v>25</v>
      </c>
      <c r="S96" s="1" t="s">
        <v>50</v>
      </c>
      <c r="T96" s="1">
        <v>1</v>
      </c>
      <c r="U96" s="1" t="s">
        <v>36</v>
      </c>
      <c r="V96" s="1" t="str">
        <f t="shared" si="16"/>
        <v>NSTC_Km_111_a_112</v>
      </c>
      <c r="W96" s="1" t="str">
        <f t="shared" si="20"/>
        <v>NSTC_Km_111_a_112</v>
      </c>
      <c r="X96" s="4" t="b">
        <f t="shared" si="17"/>
        <v>1</v>
      </c>
      <c r="Y96" s="1" t="str">
        <f>VLOOKUP(D96,'Orden de Imagen'!$A$1:D239,4,FALSE())</f>
        <v>065</v>
      </c>
      <c r="Z96" s="1" t="str">
        <f t="shared" si="18"/>
        <v>065_25_07_22_NSTC_Km_111_a_112</v>
      </c>
    </row>
    <row r="97" spans="1:26" ht="15" customHeight="1" x14ac:dyDescent="0.25">
      <c r="A97" s="1">
        <v>98</v>
      </c>
      <c r="B97" s="1" t="s">
        <v>304</v>
      </c>
      <c r="C97" s="1" t="s">
        <v>305</v>
      </c>
      <c r="D97" s="1" t="str">
        <f t="shared" si="19"/>
        <v>CL_MLP_PAO_IF_Ortho_25_08_12_Linea_33_kV_NorteElMauro_Area11_11</v>
      </c>
      <c r="E97" s="1" t="s">
        <v>306</v>
      </c>
      <c r="F97" s="1" t="s">
        <v>28</v>
      </c>
      <c r="G97" s="1" t="s">
        <v>29</v>
      </c>
      <c r="H97" s="16">
        <v>45881.166666666701</v>
      </c>
      <c r="I97" s="16">
        <v>45792</v>
      </c>
      <c r="J97" s="1" t="s">
        <v>30</v>
      </c>
      <c r="K97" s="2" t="str">
        <f t="shared" si="12"/>
        <v>https://sig.aminerals.cl/imgdyn/rest/services/CL_MLP_PAO/CL_MLP_PAO_IF_Ortho_ALL/ImageServer/file?id=.\El_Mauro_Drone\25_08_12\CL_MLP_PAO_IF_Ortho_25_08_12_Linea_33_kV_NorteElMauro_Area11_11.tiff&amp;rasterId=</v>
      </c>
      <c r="L97" s="1" t="s">
        <v>31</v>
      </c>
      <c r="M97" s="1" t="s">
        <v>32</v>
      </c>
      <c r="N97" s="1" t="s">
        <v>33</v>
      </c>
      <c r="O97" s="1" t="s">
        <v>34</v>
      </c>
      <c r="P97" s="3" t="str">
        <f t="shared" si="13"/>
        <v>12</v>
      </c>
      <c r="Q97" s="3" t="str">
        <f t="shared" si="14"/>
        <v>08</v>
      </c>
      <c r="R97" s="3" t="str">
        <f t="shared" si="15"/>
        <v>25</v>
      </c>
      <c r="S97" s="1" t="s">
        <v>87</v>
      </c>
      <c r="T97" s="1">
        <v>1</v>
      </c>
      <c r="U97" s="1" t="s">
        <v>36</v>
      </c>
      <c r="V97" s="1" t="str">
        <f t="shared" si="16"/>
        <v>Linea_33_kV_NorteElMauro_Area11_11</v>
      </c>
      <c r="W97" s="1" t="str">
        <f t="shared" si="20"/>
        <v>Linea_33_kV_NorteElMauro_Area11_11</v>
      </c>
      <c r="X97" s="4" t="b">
        <f t="shared" si="17"/>
        <v>1</v>
      </c>
      <c r="Y97" s="1" t="str">
        <f>VLOOKUP(D97,'Orden de Imagen'!$A$1:D240,4,FALSE())</f>
        <v>066</v>
      </c>
      <c r="Z97" s="1" t="str">
        <f t="shared" si="18"/>
        <v>066_25_08_12_Linea_33_kV_NorteElMauro_Area11_11</v>
      </c>
    </row>
    <row r="98" spans="1:26" ht="15" customHeight="1" x14ac:dyDescent="0.25">
      <c r="A98" s="1">
        <v>99</v>
      </c>
      <c r="B98" s="1" t="s">
        <v>307</v>
      </c>
      <c r="C98" s="1" t="s">
        <v>308</v>
      </c>
      <c r="D98" s="1" t="str">
        <f t="shared" si="19"/>
        <v>CL_MLP_PAO_IF_Ortho_25_08_12_Linea_33_kV_NorteElMauro_Area12_12</v>
      </c>
      <c r="E98" s="1" t="s">
        <v>309</v>
      </c>
      <c r="F98" s="1" t="s">
        <v>28</v>
      </c>
      <c r="G98" s="1" t="s">
        <v>29</v>
      </c>
      <c r="H98" s="16">
        <v>45881.166666666701</v>
      </c>
      <c r="I98" s="16">
        <v>45792</v>
      </c>
      <c r="J98" s="1" t="s">
        <v>30</v>
      </c>
      <c r="K98" s="2" t="str">
        <f t="shared" si="12"/>
        <v>https://sig.aminerals.cl/imgdyn/rest/services/CL_MLP_PAO/CL_MLP_PAO_IF_Ortho_ALL/ImageServer/file?id=.\El_Mauro_Drone\25_08_12\CL_MLP_PAO_IF_Ortho_25_08_12_Linea_33_kV_NorteElMauro_Area12_12.tiff&amp;rasterId=</v>
      </c>
      <c r="L98" s="1" t="s">
        <v>31</v>
      </c>
      <c r="M98" s="1" t="s">
        <v>32</v>
      </c>
      <c r="N98" s="1" t="s">
        <v>33</v>
      </c>
      <c r="O98" s="1" t="s">
        <v>34</v>
      </c>
      <c r="P98" s="3" t="str">
        <f t="shared" si="13"/>
        <v>12</v>
      </c>
      <c r="Q98" s="3" t="str">
        <f t="shared" si="14"/>
        <v>08</v>
      </c>
      <c r="R98" s="3" t="str">
        <f t="shared" si="15"/>
        <v>25</v>
      </c>
      <c r="S98" s="1" t="s">
        <v>87</v>
      </c>
      <c r="T98" s="1">
        <v>1</v>
      </c>
      <c r="U98" s="1" t="s">
        <v>36</v>
      </c>
      <c r="V98" s="1" t="str">
        <f t="shared" si="16"/>
        <v>Linea_33_kV_NorteElMauro_Area12_12</v>
      </c>
      <c r="W98" s="1" t="str">
        <f t="shared" si="20"/>
        <v>Linea_33_kV_NorteElMauro_Area12_12</v>
      </c>
      <c r="X98" s="4" t="b">
        <f t="shared" si="17"/>
        <v>1</v>
      </c>
      <c r="Y98" s="1" t="str">
        <f>VLOOKUP(D98,'Orden de Imagen'!$A$1:D241,4,FALSE())</f>
        <v>067</v>
      </c>
      <c r="Z98" s="1" t="str">
        <f t="shared" si="18"/>
        <v>067_25_08_12_Linea_33_kV_NorteElMauro_Area12_12</v>
      </c>
    </row>
    <row r="99" spans="1:26" ht="15" customHeight="1" x14ac:dyDescent="0.25">
      <c r="A99" s="1">
        <v>100</v>
      </c>
      <c r="B99" s="1" t="s">
        <v>310</v>
      </c>
      <c r="C99" s="1" t="s">
        <v>311</v>
      </c>
      <c r="D99" s="1" t="str">
        <f t="shared" si="19"/>
        <v>CL_MLP_PAO_IF_Ortho_25_08_13_Linea_33_kV_NorteElMauro_Area10_10</v>
      </c>
      <c r="E99" s="1" t="s">
        <v>312</v>
      </c>
      <c r="F99" s="1" t="s">
        <v>28</v>
      </c>
      <c r="G99" s="1" t="s">
        <v>29</v>
      </c>
      <c r="H99" s="16">
        <v>45882.166666666701</v>
      </c>
      <c r="I99" s="16">
        <v>45887</v>
      </c>
      <c r="J99" s="1" t="s">
        <v>30</v>
      </c>
      <c r="K99" s="2" t="str">
        <f t="shared" si="12"/>
        <v>https://sig.aminerals.cl/imgdyn/rest/services/CL_MLP_PAO/CL_MLP_PAO_IF_Ortho_ALL/ImageServer/file?id=.\El_Mauro_Drone\25_08_13\CL_MLP_PAO_IF_Ortho_25_08_13_Linea_33_kV_NorteElMauro_Area10_10.tiff&amp;rasterId=</v>
      </c>
      <c r="L99" s="1" t="s">
        <v>31</v>
      </c>
      <c r="M99" s="1" t="s">
        <v>32</v>
      </c>
      <c r="N99" s="1" t="s">
        <v>33</v>
      </c>
      <c r="O99" s="1" t="s">
        <v>34</v>
      </c>
      <c r="P99" s="3" t="str">
        <f t="shared" si="13"/>
        <v>13</v>
      </c>
      <c r="Q99" s="3" t="str">
        <f t="shared" si="14"/>
        <v>08</v>
      </c>
      <c r="R99" s="3" t="str">
        <f t="shared" si="15"/>
        <v>25</v>
      </c>
      <c r="S99" s="1" t="s">
        <v>87</v>
      </c>
      <c r="T99" s="1">
        <v>1</v>
      </c>
      <c r="U99" s="1" t="s">
        <v>36</v>
      </c>
      <c r="V99" s="1" t="str">
        <f t="shared" si="16"/>
        <v>Linea_33_kV_NorteElMauro_Area10_10</v>
      </c>
      <c r="W99" s="1" t="str">
        <f t="shared" si="20"/>
        <v>Linea_33_kV_NorteElMauro_Area10_10</v>
      </c>
      <c r="X99" s="4" t="b">
        <f t="shared" si="17"/>
        <v>1</v>
      </c>
      <c r="Y99" s="1" t="str">
        <f>VLOOKUP(D99,'Orden de Imagen'!$A$1:D242,4,FALSE())</f>
        <v>068</v>
      </c>
      <c r="Z99" s="1" t="str">
        <f t="shared" si="18"/>
        <v>068_25_08_13_Linea_33_kV_NorteElMauro_Area10_10</v>
      </c>
    </row>
    <row r="100" spans="1:26" ht="15" customHeight="1" x14ac:dyDescent="0.25">
      <c r="A100" s="1">
        <v>101</v>
      </c>
      <c r="B100" s="1" t="s">
        <v>313</v>
      </c>
      <c r="C100" s="1" t="s">
        <v>314</v>
      </c>
      <c r="D100" s="1" t="str">
        <f t="shared" si="19"/>
        <v>CL_MLP_PAO_IF_Ortho_25_08_13_Linea_33_kV_NorteElMauro_Area9_9</v>
      </c>
      <c r="E100" s="1" t="s">
        <v>315</v>
      </c>
      <c r="F100" s="1" t="s">
        <v>28</v>
      </c>
      <c r="G100" s="1" t="s">
        <v>29</v>
      </c>
      <c r="H100" s="16">
        <v>45882.166666666701</v>
      </c>
      <c r="I100" s="16">
        <v>45887</v>
      </c>
      <c r="J100" s="1" t="s">
        <v>30</v>
      </c>
      <c r="K100" s="2" t="str">
        <f t="shared" si="12"/>
        <v>https://sig.aminerals.cl/imgdyn/rest/services/CL_MLP_PAO/CL_MLP_PAO_IF_Ortho_ALL/ImageServer/file?id=.\El_Mauro_Drone\25_08_13\CL_MLP_PAO_IF_Ortho_25_08_13_Linea_33_kV_NorteElMauro_Area9_9.tiff&amp;rasterId=</v>
      </c>
      <c r="L100" s="1" t="s">
        <v>31</v>
      </c>
      <c r="M100" s="1" t="s">
        <v>32</v>
      </c>
      <c r="N100" s="1" t="s">
        <v>33</v>
      </c>
      <c r="O100" s="1" t="s">
        <v>34</v>
      </c>
      <c r="P100" s="3" t="str">
        <f t="shared" si="13"/>
        <v>13</v>
      </c>
      <c r="Q100" s="3" t="str">
        <f t="shared" si="14"/>
        <v>08</v>
      </c>
      <c r="R100" s="3" t="str">
        <f t="shared" si="15"/>
        <v>25</v>
      </c>
      <c r="S100" s="1" t="s">
        <v>87</v>
      </c>
      <c r="T100" s="1">
        <v>1</v>
      </c>
      <c r="U100" s="1" t="s">
        <v>36</v>
      </c>
      <c r="V100" s="1" t="str">
        <f t="shared" si="16"/>
        <v>Linea_33_kV_NorteElMauro_Area9_9</v>
      </c>
      <c r="W100" s="1" t="str">
        <f t="shared" si="20"/>
        <v>Linea_33_kV_NorteElMauro_Area9_9</v>
      </c>
      <c r="X100" s="4" t="b">
        <f t="shared" si="17"/>
        <v>1</v>
      </c>
      <c r="Y100" s="1" t="str">
        <f>VLOOKUP(D100,'Orden de Imagen'!$A$1:D243,4,FALSE())</f>
        <v>069</v>
      </c>
      <c r="Z100" s="1" t="str">
        <f t="shared" si="18"/>
        <v>069_25_08_13_Linea_33_kV_NorteElMauro_Area9_9</v>
      </c>
    </row>
    <row r="101" spans="1:26" ht="15" customHeight="1" x14ac:dyDescent="0.25">
      <c r="A101" s="1">
        <v>102</v>
      </c>
      <c r="B101" s="1" t="s">
        <v>316</v>
      </c>
      <c r="C101" s="1" t="s">
        <v>317</v>
      </c>
      <c r="D101" s="1" t="str">
        <f t="shared" si="19"/>
        <v>CL_MLP_PAO_IF_Ortho_25_08_20_Linea_33_kV_NorteElMauro_Area7_7</v>
      </c>
      <c r="E101" s="1" t="s">
        <v>318</v>
      </c>
      <c r="F101" s="1" t="s">
        <v>28</v>
      </c>
      <c r="G101" s="1" t="s">
        <v>29</v>
      </c>
      <c r="H101" s="16">
        <v>45889.166666666701</v>
      </c>
      <c r="I101" s="16">
        <v>45887</v>
      </c>
      <c r="J101" s="1" t="s">
        <v>30</v>
      </c>
      <c r="K101" s="2" t="str">
        <f t="shared" si="12"/>
        <v>https://sig.aminerals.cl/imgdyn/rest/services/CL_MLP_PAO/CL_MLP_PAO_IF_Ortho_ALL/ImageServer/file?id=.\El_Mauro_Drone\25_08_20\CL_MLP_PAO_IF_Ortho_25_08_20_Linea_33_kV_NorteElMauro_Area7_7.tiff&amp;rasterId=</v>
      </c>
      <c r="L101" s="1" t="s">
        <v>31</v>
      </c>
      <c r="M101" s="1" t="s">
        <v>32</v>
      </c>
      <c r="N101" s="1" t="s">
        <v>33</v>
      </c>
      <c r="O101" s="1" t="s">
        <v>34</v>
      </c>
      <c r="P101" s="3" t="str">
        <f t="shared" si="13"/>
        <v>20</v>
      </c>
      <c r="Q101" s="3" t="str">
        <f t="shared" si="14"/>
        <v>08</v>
      </c>
      <c r="R101" s="3" t="str">
        <f t="shared" si="15"/>
        <v>25</v>
      </c>
      <c r="S101" s="1" t="s">
        <v>87</v>
      </c>
      <c r="T101" s="1">
        <v>1</v>
      </c>
      <c r="U101" s="1" t="s">
        <v>36</v>
      </c>
      <c r="V101" s="1" t="str">
        <f t="shared" si="16"/>
        <v>Linea_33_kV_NorteElMauro_Area7_7</v>
      </c>
      <c r="W101" s="1" t="str">
        <f t="shared" si="20"/>
        <v>Linea_33_kV_NorteElMauro_Area7_7</v>
      </c>
      <c r="X101" s="4" t="b">
        <f t="shared" si="17"/>
        <v>1</v>
      </c>
      <c r="Y101" s="1" t="str">
        <f>VLOOKUP(D101,'Orden de Imagen'!$A$1:D244,4,FALSE())</f>
        <v>070</v>
      </c>
      <c r="Z101" s="1" t="str">
        <f t="shared" si="18"/>
        <v>070_25_08_20_Linea_33_kV_NorteElMauro_Area7_7</v>
      </c>
    </row>
    <row r="102" spans="1:26" ht="15" customHeight="1" x14ac:dyDescent="0.25">
      <c r="A102" s="1">
        <v>103</v>
      </c>
      <c r="B102" s="1" t="s">
        <v>319</v>
      </c>
      <c r="C102" s="1" t="s">
        <v>320</v>
      </c>
      <c r="D102" s="1" t="str">
        <f t="shared" si="19"/>
        <v>CL_MLP_PAO_IF_Ortho_25_08_20_Linea_33_kV_NorteElMauro_Area8_8</v>
      </c>
      <c r="E102" s="1" t="s">
        <v>321</v>
      </c>
      <c r="F102" s="1" t="s">
        <v>28</v>
      </c>
      <c r="G102" s="1" t="s">
        <v>29</v>
      </c>
      <c r="H102" s="16">
        <v>45889.166666666701</v>
      </c>
      <c r="I102" s="16">
        <v>45887</v>
      </c>
      <c r="J102" s="1" t="s">
        <v>30</v>
      </c>
      <c r="K102" s="2" t="str">
        <f t="shared" si="12"/>
        <v>https://sig.aminerals.cl/imgdyn/rest/services/CL_MLP_PAO/CL_MLP_PAO_IF_Ortho_ALL/ImageServer/file?id=.\El_Mauro_Drone\25_08_20\CL_MLP_PAO_IF_Ortho_25_08_20_Linea_33_kV_NorteElMauro_Area8_8.tiff&amp;rasterId=</v>
      </c>
      <c r="L102" s="1" t="s">
        <v>31</v>
      </c>
      <c r="M102" s="1" t="s">
        <v>32</v>
      </c>
      <c r="N102" s="1" t="s">
        <v>33</v>
      </c>
      <c r="O102" s="1" t="s">
        <v>34</v>
      </c>
      <c r="P102" s="3" t="str">
        <f t="shared" si="13"/>
        <v>20</v>
      </c>
      <c r="Q102" s="3" t="str">
        <f t="shared" si="14"/>
        <v>08</v>
      </c>
      <c r="R102" s="3" t="str">
        <f t="shared" si="15"/>
        <v>25</v>
      </c>
      <c r="S102" s="1" t="s">
        <v>87</v>
      </c>
      <c r="T102" s="1">
        <v>1</v>
      </c>
      <c r="U102" s="1" t="s">
        <v>36</v>
      </c>
      <c r="V102" s="1" t="str">
        <f t="shared" si="16"/>
        <v>Linea_33_kV_NorteElMauro_Area8_8</v>
      </c>
      <c r="W102" s="1" t="str">
        <f t="shared" si="20"/>
        <v>Linea_33_kV_NorteElMauro_Area8_8</v>
      </c>
      <c r="X102" s="4" t="b">
        <f t="shared" si="17"/>
        <v>1</v>
      </c>
      <c r="Y102" s="1" t="str">
        <f>VLOOKUP(D102,'Orden de Imagen'!$A$1:D245,4,FALSE())</f>
        <v>071</v>
      </c>
      <c r="Z102" s="1" t="str">
        <f t="shared" si="18"/>
        <v>071_25_08_20_Linea_33_kV_NorteElMauro_Area8_8</v>
      </c>
    </row>
    <row r="103" spans="1:26" ht="15" customHeight="1" x14ac:dyDescent="0.25">
      <c r="A103" s="1">
        <v>104</v>
      </c>
      <c r="B103" s="1" t="s">
        <v>322</v>
      </c>
      <c r="C103" s="1" t="str">
        <f>CONCATENATE(L103,"_",M103,"_",G103,"_",N103,"_",O103,"_",R103,"_",Q103,"_",P103,"_",E103,".tif")</f>
        <v>CL_MLP_PAO_IF_Ortho_25_08_26_Linea_33_kV_NorteElMauro_Area5_5.tif</v>
      </c>
      <c r="D103" s="1" t="str">
        <f t="shared" si="19"/>
        <v>CL_MLP_PAO_IF_Ortho_25_08_26_Linea_33_kV_NorteElMauro_Area5_5</v>
      </c>
      <c r="E103" s="1" t="s">
        <v>323</v>
      </c>
      <c r="F103" s="1" t="s">
        <v>28</v>
      </c>
      <c r="G103" s="1" t="s">
        <v>29</v>
      </c>
      <c r="H103" s="16">
        <v>45895.166666666701</v>
      </c>
      <c r="I103" s="16">
        <v>45897</v>
      </c>
      <c r="J103" s="1" t="s">
        <v>30</v>
      </c>
      <c r="K103" s="2" t="str">
        <f t="shared" si="12"/>
        <v>https://sig.aminerals.cl/imgdyn/rest/services/CL_MLP_PAO/CL_MLP_PAO_IF_Ortho_ALL/ImageServer/file?id=.\El_Mauro_Drone\25_08_26\CL_MLP_PAO_IF_Ortho_25_08_26_Linea_33_kV_NorteElMauro_Area5_5.tif&amp;rasterId=</v>
      </c>
      <c r="L103" s="1" t="s">
        <v>31</v>
      </c>
      <c r="M103" s="1" t="s">
        <v>32</v>
      </c>
      <c r="N103" s="1" t="s">
        <v>33</v>
      </c>
      <c r="O103" s="1" t="s">
        <v>34</v>
      </c>
      <c r="P103" s="3" t="str">
        <f t="shared" si="13"/>
        <v>26</v>
      </c>
      <c r="Q103" s="3" t="str">
        <f t="shared" si="14"/>
        <v>08</v>
      </c>
      <c r="R103" s="3" t="str">
        <f t="shared" si="15"/>
        <v>25</v>
      </c>
      <c r="S103" s="1" t="s">
        <v>87</v>
      </c>
      <c r="T103" s="1">
        <v>1</v>
      </c>
      <c r="U103" s="1" t="s">
        <v>36</v>
      </c>
      <c r="V103" s="1" t="str">
        <f t="shared" si="16"/>
        <v>Linea_33_kV_NorteElMauro_Area5_5</v>
      </c>
      <c r="W103" s="1" t="str">
        <f t="shared" si="20"/>
        <v>Linea_33_kV_NorteElMauro_Area5_5</v>
      </c>
      <c r="X103" s="4" t="b">
        <f t="shared" si="17"/>
        <v>1</v>
      </c>
      <c r="Y103" s="1" t="str">
        <f>VLOOKUP(D103,'Orden de Imagen'!$A$1:D246,4,FALSE())</f>
        <v>072</v>
      </c>
      <c r="Z103" s="1" t="str">
        <f t="shared" si="18"/>
        <v>072_25_08_26_Linea_33_kV_NorteElMauro_Area5_5</v>
      </c>
    </row>
    <row r="104" spans="1:26" ht="15" customHeight="1" x14ac:dyDescent="0.25">
      <c r="A104" s="1">
        <v>105</v>
      </c>
      <c r="B104" s="1" t="s">
        <v>324</v>
      </c>
      <c r="C104" s="1" t="str">
        <f>CONCATENATE(L104,"_",M104,"_",G104,"_",N104,"_",O104,"_",R104,"_",Q104,"_",P104,"_",E104,".tif")</f>
        <v>CL_MLP_PAO_IF_Ortho_25_08_26_Linea_33_kV_NorteElMauro_Area6_6.tif</v>
      </c>
      <c r="D104" s="1" t="str">
        <f t="shared" si="19"/>
        <v>CL_MLP_PAO_IF_Ortho_25_08_26_Linea_33_kV_NorteElMauro_Area6_6</v>
      </c>
      <c r="E104" s="1" t="s">
        <v>325</v>
      </c>
      <c r="F104" s="1" t="s">
        <v>28</v>
      </c>
      <c r="G104" s="1" t="s">
        <v>29</v>
      </c>
      <c r="H104" s="16">
        <v>45895.166666666701</v>
      </c>
      <c r="I104" s="16">
        <v>45897</v>
      </c>
      <c r="J104" s="1" t="s">
        <v>30</v>
      </c>
      <c r="K104" s="2" t="str">
        <f t="shared" si="12"/>
        <v>https://sig.aminerals.cl/imgdyn/rest/services/CL_MLP_PAO/CL_MLP_PAO_IF_Ortho_ALL/ImageServer/file?id=.\El_Mauro_Drone\25_08_26\CL_MLP_PAO_IF_Ortho_25_08_26_Linea_33_kV_NorteElMauro_Area6_6.tif&amp;rasterId=</v>
      </c>
      <c r="L104" s="1" t="s">
        <v>31</v>
      </c>
      <c r="M104" s="1" t="s">
        <v>32</v>
      </c>
      <c r="N104" s="1" t="s">
        <v>33</v>
      </c>
      <c r="O104" s="1" t="s">
        <v>34</v>
      </c>
      <c r="P104" s="3" t="str">
        <f t="shared" si="13"/>
        <v>26</v>
      </c>
      <c r="Q104" s="3" t="str">
        <f t="shared" si="14"/>
        <v>08</v>
      </c>
      <c r="R104" s="3" t="str">
        <f t="shared" si="15"/>
        <v>25</v>
      </c>
      <c r="S104" s="1" t="s">
        <v>87</v>
      </c>
      <c r="T104" s="1">
        <v>1</v>
      </c>
      <c r="U104" s="1" t="s">
        <v>36</v>
      </c>
      <c r="V104" s="1" t="str">
        <f t="shared" si="16"/>
        <v>Linea_33_kV_NorteElMauro_Area6_6</v>
      </c>
      <c r="W104" s="1" t="str">
        <f t="shared" si="20"/>
        <v>Linea_33_kV_NorteElMauro_Area6_6</v>
      </c>
      <c r="X104" s="4" t="b">
        <f t="shared" si="17"/>
        <v>1</v>
      </c>
      <c r="Y104" s="1" t="str">
        <f>VLOOKUP(D104,'Orden de Imagen'!$A$1:D247,4,FALSE())</f>
        <v>073</v>
      </c>
      <c r="Z104" s="1" t="str">
        <f t="shared" si="18"/>
        <v>073_25_08_26_Linea_33_kV_NorteElMauro_Area6_6</v>
      </c>
    </row>
    <row r="105" spans="1:26" ht="15" customHeight="1" x14ac:dyDescent="0.25">
      <c r="A105" s="1">
        <v>106</v>
      </c>
      <c r="B105" s="1" t="s">
        <v>326</v>
      </c>
      <c r="C105" s="1" t="str">
        <f>CONCATENATE(L105,"_",M105,"_",G105,"_",N105,"_",O105,"_",R105,"_",Q105,"_",P105,"_",E105,".tif")</f>
        <v>CL_MLP_PAO_IF_Ortho_25_08_28_Linea_33_kV_NorteElMauro_Area3_3.tif</v>
      </c>
      <c r="D105" s="1" t="str">
        <f t="shared" si="19"/>
        <v>CL_MLP_PAO_IF_Ortho_25_08_28_Linea_33_kV_NorteElMauro_Area3_3</v>
      </c>
      <c r="E105" s="1" t="s">
        <v>327</v>
      </c>
      <c r="F105" s="1" t="s">
        <v>28</v>
      </c>
      <c r="G105" s="1" t="s">
        <v>29</v>
      </c>
      <c r="H105" s="16">
        <v>45897.166666666701</v>
      </c>
      <c r="I105" s="16">
        <v>45897</v>
      </c>
      <c r="J105" s="1" t="s">
        <v>30</v>
      </c>
      <c r="K105" s="2" t="str">
        <f t="shared" si="12"/>
        <v>https://sig.aminerals.cl/imgdyn/rest/services/CL_MLP_PAO/CL_MLP_PAO_IF_Ortho_ALL/ImageServer/file?id=.\El_Mauro_Drone\25_08_28\CL_MLP_PAO_IF_Ortho_25_08_28_Linea_33_kV_NorteElMauro_Area3_3.tif&amp;rasterId=</v>
      </c>
      <c r="L105" s="1" t="s">
        <v>31</v>
      </c>
      <c r="M105" s="1" t="s">
        <v>32</v>
      </c>
      <c r="N105" s="1" t="s">
        <v>33</v>
      </c>
      <c r="O105" s="1" t="s">
        <v>34</v>
      </c>
      <c r="P105" s="3" t="str">
        <f t="shared" si="13"/>
        <v>28</v>
      </c>
      <c r="Q105" s="3" t="str">
        <f t="shared" si="14"/>
        <v>08</v>
      </c>
      <c r="R105" s="3" t="str">
        <f t="shared" si="15"/>
        <v>25</v>
      </c>
      <c r="S105" s="1" t="s">
        <v>87</v>
      </c>
      <c r="T105" s="1">
        <v>1</v>
      </c>
      <c r="U105" s="1" t="s">
        <v>36</v>
      </c>
      <c r="V105" s="1" t="str">
        <f t="shared" si="16"/>
        <v>Linea_33_kV_NorteElMauro_Area3_3</v>
      </c>
      <c r="W105" s="1" t="str">
        <f t="shared" si="20"/>
        <v>Linea_33_kV_NorteElMauro_Area3_3</v>
      </c>
      <c r="X105" s="4" t="b">
        <f t="shared" si="17"/>
        <v>1</v>
      </c>
      <c r="Y105" s="1" t="str">
        <f>VLOOKUP(D105,'Orden de Imagen'!$A$1:D248,4,FALSE())</f>
        <v>074</v>
      </c>
      <c r="Z105" s="1" t="str">
        <f t="shared" si="18"/>
        <v>074_25_08_28_Linea_33_kV_NorteElMauro_Area3_3</v>
      </c>
    </row>
    <row r="106" spans="1:26" ht="15" customHeight="1" x14ac:dyDescent="0.25">
      <c r="A106" s="1">
        <v>107</v>
      </c>
      <c r="B106" s="1" t="s">
        <v>328</v>
      </c>
      <c r="C106" s="1" t="str">
        <f t="shared" ref="C106:C137" si="21">CONCATENATE(L106,"_",M106,"_",G106,"_",N106,"_",O106,"_",R106,"_",Q106,"_",P106,"_",E106,".tiff")</f>
        <v>CL_MLP_PAO_IF_Ortho_25_08_28_Linea_33_kV_NorteElMauro_Area4_4.tiff</v>
      </c>
      <c r="D106" s="1" t="str">
        <f t="shared" si="19"/>
        <v>CL_MLP_PAO_IF_Ortho_25_08_28_Linea_33_kV_NorteElMauro_Area4_4</v>
      </c>
      <c r="E106" s="1" t="s">
        <v>329</v>
      </c>
      <c r="F106" s="1" t="s">
        <v>28</v>
      </c>
      <c r="G106" s="1" t="s">
        <v>29</v>
      </c>
      <c r="H106" s="16">
        <v>45897.166666666701</v>
      </c>
      <c r="I106" s="16">
        <v>45897</v>
      </c>
      <c r="J106" s="1" t="s">
        <v>30</v>
      </c>
      <c r="K106" s="2" t="str">
        <f t="shared" si="12"/>
        <v>https://sig.aminerals.cl/imgdyn/rest/services/CL_MLP_PAO/CL_MLP_PAO_IF_Ortho_ALL/ImageServer/file?id=.\El_Mauro_Drone\25_08_28\CL_MLP_PAO_IF_Ortho_25_08_28_Linea_33_kV_NorteElMauro_Area4_4.tiff&amp;rasterId=</v>
      </c>
      <c r="L106" s="1" t="s">
        <v>31</v>
      </c>
      <c r="M106" s="1" t="s">
        <v>32</v>
      </c>
      <c r="N106" s="1" t="s">
        <v>33</v>
      </c>
      <c r="O106" s="1" t="s">
        <v>34</v>
      </c>
      <c r="P106" s="3" t="str">
        <f t="shared" si="13"/>
        <v>28</v>
      </c>
      <c r="Q106" s="3" t="str">
        <f t="shared" si="14"/>
        <v>08</v>
      </c>
      <c r="R106" s="3" t="str">
        <f t="shared" si="15"/>
        <v>25</v>
      </c>
      <c r="S106" s="1" t="s">
        <v>87</v>
      </c>
      <c r="T106" s="1">
        <v>1</v>
      </c>
      <c r="U106" s="1" t="s">
        <v>36</v>
      </c>
      <c r="V106" s="1" t="str">
        <f t="shared" si="16"/>
        <v>Linea_33_kV_NorteElMauro_Area4_4</v>
      </c>
      <c r="W106" s="1" t="str">
        <f t="shared" si="20"/>
        <v>Linea_33_kV_NorteElMauro_Area4_4</v>
      </c>
      <c r="X106" s="4" t="b">
        <f t="shared" si="17"/>
        <v>1</v>
      </c>
      <c r="Y106" s="1" t="str">
        <f>VLOOKUP(D106,'Orden de Imagen'!$A$1:D249,4,FALSE())</f>
        <v>075</v>
      </c>
      <c r="Z106" s="1" t="str">
        <f t="shared" si="18"/>
        <v>075_25_08_28_Linea_33_kV_NorteElMauro_Area4_4</v>
      </c>
    </row>
    <row r="107" spans="1:26" ht="15" customHeight="1" x14ac:dyDescent="0.25">
      <c r="A107" s="1">
        <v>108</v>
      </c>
      <c r="B107" s="1" t="s">
        <v>330</v>
      </c>
      <c r="C107" s="1" t="str">
        <f t="shared" si="21"/>
        <v>CL_MLP_PAO_IF_Ortho_25_09_02_DME5C_DME_16_a_NSTC_79p4.tiff</v>
      </c>
      <c r="D107" s="1" t="str">
        <f t="shared" si="19"/>
        <v>CL_MLP_PAO_IF_Ortho_25_09_02_DME5C_DME_16_a_NSTC_79p4</v>
      </c>
      <c r="E107" s="1" t="s">
        <v>331</v>
      </c>
      <c r="F107" s="1" t="s">
        <v>28</v>
      </c>
      <c r="G107" s="1" t="s">
        <v>29</v>
      </c>
      <c r="H107" s="16">
        <v>45902.166666666701</v>
      </c>
      <c r="I107" s="16">
        <v>45897</v>
      </c>
      <c r="J107" s="1" t="s">
        <v>30</v>
      </c>
      <c r="K107" s="2" t="str">
        <f t="shared" si="12"/>
        <v>https://sig.aminerals.cl/imgdyn/rest/services/CL_MLP_PAO/CL_MLP_PAO_IF_Ortho_ALL/ImageServer/file?id=.\El_Mauro_Puerto_Punta_Chungo_Drone\25_09_02\CL_MLP_PAO_IF_Ortho_25_09_02_DME5C_DME_16_a_NSTC_79p4.tiff&amp;rasterId=</v>
      </c>
      <c r="L107" s="1" t="s">
        <v>31</v>
      </c>
      <c r="M107" s="1" t="s">
        <v>32</v>
      </c>
      <c r="N107" s="1" t="s">
        <v>33</v>
      </c>
      <c r="O107" s="1" t="s">
        <v>34</v>
      </c>
      <c r="P107" s="3" t="str">
        <f t="shared" si="13"/>
        <v>02</v>
      </c>
      <c r="Q107" s="3" t="str">
        <f t="shared" si="14"/>
        <v>09</v>
      </c>
      <c r="R107" s="3" t="str">
        <f t="shared" si="15"/>
        <v>25</v>
      </c>
      <c r="S107" s="1" t="s">
        <v>50</v>
      </c>
      <c r="T107" s="1">
        <v>1</v>
      </c>
      <c r="U107" s="1" t="s">
        <v>36</v>
      </c>
      <c r="V107" s="1" t="str">
        <f t="shared" si="16"/>
        <v>DME5C_DME_16_a_NSTC_79p4</v>
      </c>
      <c r="W107" s="1" t="str">
        <f t="shared" si="20"/>
        <v>DME5C_DME_16_a_NSTC_79p4</v>
      </c>
      <c r="X107" s="4" t="b">
        <f t="shared" si="17"/>
        <v>1</v>
      </c>
      <c r="Y107" s="1" t="str">
        <f>VLOOKUP(D107,'Orden de Imagen'!$A$1:D250,4,FALSE())</f>
        <v>076</v>
      </c>
      <c r="Z107" s="1" t="str">
        <f t="shared" si="18"/>
        <v>076_25_09_02_DME5C_DME_16_a_NSTC_79p4</v>
      </c>
    </row>
    <row r="108" spans="1:26" ht="15" customHeight="1" x14ac:dyDescent="0.25">
      <c r="A108" s="1">
        <v>109</v>
      </c>
      <c r="B108" s="1" t="s">
        <v>332</v>
      </c>
      <c r="C108" s="1" t="str">
        <f t="shared" si="21"/>
        <v>CL_MLP_PAO_IF_Ortho_25_09_02_Instalacion_FaenaN15_Alrededores_Tipay_2.tiff</v>
      </c>
      <c r="D108" s="1" t="str">
        <f t="shared" si="19"/>
        <v>CL_MLP_PAO_IF_Ortho_25_09_02_Instalacion_FaenaN15_Alrededores_Tipay_2</v>
      </c>
      <c r="E108" s="1" t="s">
        <v>333</v>
      </c>
      <c r="F108" s="1" t="s">
        <v>28</v>
      </c>
      <c r="G108" s="1" t="s">
        <v>29</v>
      </c>
      <c r="H108" s="16">
        <v>45902.166666666701</v>
      </c>
      <c r="I108" s="16">
        <v>45897</v>
      </c>
      <c r="J108" s="1" t="s">
        <v>30</v>
      </c>
      <c r="K108" s="2" t="str">
        <f t="shared" si="12"/>
        <v>https://sig.aminerals.cl/imgdyn/rest/services/CL_MLP_PAO/CL_MLP_PAO_IF_Ortho_ALL/ImageServer/file?id=.\El_Mauro_Puerto_Punta_Chungo_Drone\25_09_02\CL_MLP_PAO_IF_Ortho_25_09_02_Instalacion_FaenaN15_Alrededores_Tipay_2.tiff&amp;rasterId=</v>
      </c>
      <c r="L108" s="1" t="s">
        <v>31</v>
      </c>
      <c r="M108" s="1" t="s">
        <v>32</v>
      </c>
      <c r="N108" s="1" t="s">
        <v>33</v>
      </c>
      <c r="O108" s="1" t="s">
        <v>34</v>
      </c>
      <c r="P108" s="3" t="str">
        <f t="shared" si="13"/>
        <v>02</v>
      </c>
      <c r="Q108" s="3" t="str">
        <f t="shared" si="14"/>
        <v>09</v>
      </c>
      <c r="R108" s="3" t="str">
        <f t="shared" si="15"/>
        <v>25</v>
      </c>
      <c r="S108" s="1" t="s">
        <v>50</v>
      </c>
      <c r="T108" s="1">
        <v>1</v>
      </c>
      <c r="U108" s="1" t="s">
        <v>36</v>
      </c>
      <c r="V108" s="1" t="str">
        <f t="shared" si="16"/>
        <v>Instalacion_FaenaN15_Alrededores_Tipay_2</v>
      </c>
      <c r="W108" s="1" t="str">
        <f t="shared" si="20"/>
        <v>Instalacion_FaenaN15_Alrededores_Tipay_2</v>
      </c>
      <c r="X108" s="4" t="b">
        <f t="shared" si="17"/>
        <v>1</v>
      </c>
      <c r="Y108" s="1" t="str">
        <f>VLOOKUP(D108,'Orden de Imagen'!$A$1:D251,4,FALSE())</f>
        <v>077</v>
      </c>
      <c r="Z108" s="1" t="str">
        <f t="shared" si="18"/>
        <v>077_25_09_02_Instalacion_FaenaN15_Alrededores_Tipay_2</v>
      </c>
    </row>
    <row r="109" spans="1:26" ht="15" customHeight="1" x14ac:dyDescent="0.25">
      <c r="A109" s="1">
        <v>110</v>
      </c>
      <c r="B109" s="1" t="s">
        <v>334</v>
      </c>
      <c r="C109" s="1" t="str">
        <f t="shared" si="21"/>
        <v>CL_MLP_PAO_IF_Ortho_25_09_03_EstructuraTranquilla_NSTC_Km_20_a_21.tiff</v>
      </c>
      <c r="D109" s="1" t="str">
        <f t="shared" si="19"/>
        <v>CL_MLP_PAO_IF_Ortho_25_09_03_EstructuraTranquilla_NSTC_Km_20_a_21</v>
      </c>
      <c r="E109" s="1" t="s">
        <v>335</v>
      </c>
      <c r="F109" s="1" t="s">
        <v>28</v>
      </c>
      <c r="G109" s="1" t="s">
        <v>29</v>
      </c>
      <c r="H109" s="16">
        <v>45903.166666666701</v>
      </c>
      <c r="I109" s="16">
        <v>45904</v>
      </c>
      <c r="J109" s="1" t="s">
        <v>30</v>
      </c>
      <c r="K109" s="2" t="str">
        <f t="shared" si="12"/>
        <v>https://sig.aminerals.cl/imgdyn/rest/services/CL_MLP_PAO/CL_MLP_PAO_IF_Ortho_ALL/ImageServer/file?id=.\Chacay_El_Mauro_Drone\25_09_03\CL_MLP_PAO_IF_Ortho_25_09_03_EstructuraTranquilla_NSTC_Km_20_a_21.tiff&amp;rasterId=</v>
      </c>
      <c r="L109" s="1" t="s">
        <v>31</v>
      </c>
      <c r="M109" s="1" t="s">
        <v>32</v>
      </c>
      <c r="N109" s="1" t="s">
        <v>33</v>
      </c>
      <c r="O109" s="1" t="s">
        <v>34</v>
      </c>
      <c r="P109" s="3" t="str">
        <f t="shared" si="13"/>
        <v>03</v>
      </c>
      <c r="Q109" s="3" t="str">
        <f t="shared" si="14"/>
        <v>09</v>
      </c>
      <c r="R109" s="3" t="str">
        <f t="shared" si="15"/>
        <v>25</v>
      </c>
      <c r="S109" s="1" t="s">
        <v>40</v>
      </c>
      <c r="T109" s="1">
        <v>1</v>
      </c>
      <c r="U109" s="1" t="s">
        <v>36</v>
      </c>
      <c r="V109" s="1" t="str">
        <f t="shared" si="16"/>
        <v>EstructuraTranquilla_NSTC_Km_20_a_21</v>
      </c>
      <c r="W109" s="1" t="str">
        <f t="shared" si="20"/>
        <v>EstructuraTranquilla_NSTC_Km_20_a_21</v>
      </c>
      <c r="X109" s="4" t="b">
        <f t="shared" si="17"/>
        <v>1</v>
      </c>
      <c r="Y109" s="1" t="str">
        <f>VLOOKUP(D109,'Orden de Imagen'!$A$1:D252,4,FALSE())</f>
        <v>078</v>
      </c>
      <c r="Z109" s="1" t="str">
        <f t="shared" si="18"/>
        <v>078_25_09_03_EstructuraTranquilla_NSTC_Km_20_a_21</v>
      </c>
    </row>
    <row r="110" spans="1:26" ht="15" customHeight="1" x14ac:dyDescent="0.25">
      <c r="A110" s="1">
        <v>111</v>
      </c>
      <c r="B110" s="1" t="s">
        <v>336</v>
      </c>
      <c r="C110" s="1" t="str">
        <f t="shared" si="21"/>
        <v>CL_MLP_PAO_IF_Ortho_25_09_03_NSTC_Km_21_a_22_DME5.tiff</v>
      </c>
      <c r="D110" s="1" t="str">
        <f t="shared" si="19"/>
        <v>CL_MLP_PAO_IF_Ortho_25_09_03_NSTC_Km_21_a_22_DME5</v>
      </c>
      <c r="E110" s="1" t="s">
        <v>337</v>
      </c>
      <c r="F110" s="1" t="s">
        <v>28</v>
      </c>
      <c r="G110" s="1" t="s">
        <v>29</v>
      </c>
      <c r="H110" s="16">
        <v>45903.166666666701</v>
      </c>
      <c r="I110" s="16">
        <v>45904</v>
      </c>
      <c r="J110" s="1" t="s">
        <v>30</v>
      </c>
      <c r="K110" s="2" t="str">
        <f t="shared" si="12"/>
        <v>https://sig.aminerals.cl/imgdyn/rest/services/CL_MLP_PAO/CL_MLP_PAO_IF_Ortho_ALL/ImageServer/file?id=.\Chacay_El_Mauro_Drone\25_09_03\CL_MLP_PAO_IF_Ortho_25_09_03_NSTC_Km_21_a_22_DME5.tiff&amp;rasterId=</v>
      </c>
      <c r="L110" s="1" t="s">
        <v>31</v>
      </c>
      <c r="M110" s="1" t="s">
        <v>32</v>
      </c>
      <c r="N110" s="1" t="s">
        <v>33</v>
      </c>
      <c r="O110" s="1" t="s">
        <v>34</v>
      </c>
      <c r="P110" s="3" t="str">
        <f t="shared" si="13"/>
        <v>03</v>
      </c>
      <c r="Q110" s="3" t="str">
        <f t="shared" si="14"/>
        <v>09</v>
      </c>
      <c r="R110" s="3" t="str">
        <f t="shared" si="15"/>
        <v>25</v>
      </c>
      <c r="S110" s="1" t="s">
        <v>40</v>
      </c>
      <c r="T110" s="1">
        <v>1</v>
      </c>
      <c r="U110" s="1" t="s">
        <v>36</v>
      </c>
      <c r="V110" s="1" t="str">
        <f t="shared" si="16"/>
        <v>NSTC_Km_21_a_22_DME5</v>
      </c>
      <c r="W110" s="1" t="str">
        <f t="shared" si="20"/>
        <v>NSTC_Km_21_a_22_DME5</v>
      </c>
      <c r="X110" s="4" t="b">
        <f t="shared" si="17"/>
        <v>1</v>
      </c>
      <c r="Y110" s="1" t="str">
        <f>VLOOKUP(D110,'Orden de Imagen'!$A$1:D253,4,FALSE())</f>
        <v>079</v>
      </c>
      <c r="Z110" s="1" t="str">
        <f t="shared" si="18"/>
        <v>079_25_09_03_NSTC_Km_21_a_22_DME5</v>
      </c>
    </row>
    <row r="111" spans="1:26" ht="15" customHeight="1" x14ac:dyDescent="0.25">
      <c r="A111" s="1">
        <v>112</v>
      </c>
      <c r="B111" s="1" t="s">
        <v>338</v>
      </c>
      <c r="C111" s="1" t="str">
        <f t="shared" si="21"/>
        <v>CL_MLP_PAO_IF_Ortho_25_09_03_Tranquilla_NSTC_Km_18_a_19.tiff</v>
      </c>
      <c r="D111" s="1" t="str">
        <f t="shared" si="19"/>
        <v>CL_MLP_PAO_IF_Ortho_25_09_03_Tranquilla_NSTC_Km_18_a_19</v>
      </c>
      <c r="E111" s="1" t="s">
        <v>339</v>
      </c>
      <c r="F111" s="1" t="s">
        <v>28</v>
      </c>
      <c r="G111" s="1" t="s">
        <v>29</v>
      </c>
      <c r="H111" s="16">
        <v>45903.166666666701</v>
      </c>
      <c r="I111" s="16">
        <v>45904</v>
      </c>
      <c r="J111" s="1" t="s">
        <v>30</v>
      </c>
      <c r="K111" s="2" t="str">
        <f t="shared" si="12"/>
        <v>https://sig.aminerals.cl/imgdyn/rest/services/CL_MLP_PAO/CL_MLP_PAO_IF_Ortho_ALL/ImageServer/file?id=.\Chacay_El_Mauro_Drone\25_09_03\CL_MLP_PAO_IF_Ortho_25_09_03_Tranquilla_NSTC_Km_18_a_19.tiff&amp;rasterId=</v>
      </c>
      <c r="L111" s="1" t="s">
        <v>31</v>
      </c>
      <c r="M111" s="1" t="s">
        <v>32</v>
      </c>
      <c r="N111" s="1" t="s">
        <v>33</v>
      </c>
      <c r="O111" s="1" t="s">
        <v>34</v>
      </c>
      <c r="P111" s="3" t="str">
        <f t="shared" si="13"/>
        <v>03</v>
      </c>
      <c r="Q111" s="3" t="str">
        <f t="shared" si="14"/>
        <v>09</v>
      </c>
      <c r="R111" s="3" t="str">
        <f t="shared" si="15"/>
        <v>25</v>
      </c>
      <c r="S111" s="1" t="s">
        <v>40</v>
      </c>
      <c r="T111" s="1">
        <v>1</v>
      </c>
      <c r="U111" s="1" t="s">
        <v>36</v>
      </c>
      <c r="V111" s="1" t="str">
        <f t="shared" si="16"/>
        <v>Tranquilla_NSTC_Km_18_a_19</v>
      </c>
      <c r="W111" s="1" t="str">
        <f t="shared" si="20"/>
        <v>Tranquilla_NSTC_Km_18_a_19</v>
      </c>
      <c r="X111" s="4" t="b">
        <f t="shared" si="17"/>
        <v>1</v>
      </c>
      <c r="Y111" s="1" t="str">
        <f>VLOOKUP(D111,'Orden de Imagen'!$A$1:D254,4,FALSE())</f>
        <v>080</v>
      </c>
      <c r="Z111" s="1" t="str">
        <f t="shared" si="18"/>
        <v>080_25_09_03_Tranquilla_NSTC_Km_18_a_19</v>
      </c>
    </row>
    <row r="112" spans="1:26" ht="15" customHeight="1" x14ac:dyDescent="0.25">
      <c r="A112" s="1">
        <v>113</v>
      </c>
      <c r="B112" s="1" t="s">
        <v>340</v>
      </c>
      <c r="C112" s="1" t="str">
        <f t="shared" si="21"/>
        <v>CL_MLP_PAO_IF_Ortho_25_09_03_Tranquilla_NSTC_Km_19_a_20.tiff</v>
      </c>
      <c r="D112" s="1" t="str">
        <f t="shared" si="19"/>
        <v>CL_MLP_PAO_IF_Ortho_25_09_03_Tranquilla_NSTC_Km_19_a_20</v>
      </c>
      <c r="E112" s="1" t="s">
        <v>341</v>
      </c>
      <c r="F112" s="1" t="s">
        <v>28</v>
      </c>
      <c r="G112" s="1" t="s">
        <v>29</v>
      </c>
      <c r="H112" s="16">
        <v>45903.166666666701</v>
      </c>
      <c r="I112" s="16">
        <v>45904</v>
      </c>
      <c r="J112" s="1" t="s">
        <v>30</v>
      </c>
      <c r="K112" s="2" t="str">
        <f t="shared" si="12"/>
        <v>https://sig.aminerals.cl/imgdyn/rest/services/CL_MLP_PAO/CL_MLP_PAO_IF_Ortho_ALL/ImageServer/file?id=.\Chacay_El_Mauro_Drone\25_09_03\CL_MLP_PAO_IF_Ortho_25_09_03_Tranquilla_NSTC_Km_19_a_20.tiff&amp;rasterId=</v>
      </c>
      <c r="L112" s="1" t="s">
        <v>31</v>
      </c>
      <c r="M112" s="1" t="s">
        <v>32</v>
      </c>
      <c r="N112" s="1" t="s">
        <v>33</v>
      </c>
      <c r="O112" s="1" t="s">
        <v>34</v>
      </c>
      <c r="P112" s="3" t="str">
        <f t="shared" si="13"/>
        <v>03</v>
      </c>
      <c r="Q112" s="3" t="str">
        <f t="shared" si="14"/>
        <v>09</v>
      </c>
      <c r="R112" s="3" t="str">
        <f t="shared" si="15"/>
        <v>25</v>
      </c>
      <c r="S112" s="1" t="s">
        <v>40</v>
      </c>
      <c r="T112" s="1">
        <v>1</v>
      </c>
      <c r="U112" s="1" t="s">
        <v>36</v>
      </c>
      <c r="V112" s="1" t="str">
        <f t="shared" si="16"/>
        <v>Tranquilla_NSTC_Km_19_a_20</v>
      </c>
      <c r="W112" s="1" t="str">
        <f t="shared" si="20"/>
        <v>Tranquilla_NSTC_Km_19_a_20</v>
      </c>
      <c r="X112" s="4" t="b">
        <f t="shared" si="17"/>
        <v>1</v>
      </c>
      <c r="Y112" s="1" t="str">
        <f>VLOOKUP(D112,'Orden de Imagen'!$A$1:D255,4,FALSE())</f>
        <v>081</v>
      </c>
      <c r="Z112" s="1" t="str">
        <f t="shared" si="18"/>
        <v>081_25_09_03_Tranquilla_NSTC_Km_19_a_20</v>
      </c>
    </row>
    <row r="113" spans="1:26" ht="15" customHeight="1" x14ac:dyDescent="0.25">
      <c r="A113" s="1">
        <v>114</v>
      </c>
      <c r="B113" s="1" t="s">
        <v>342</v>
      </c>
      <c r="C113" s="1" t="str">
        <f t="shared" si="21"/>
        <v>CL_MLP_PAO_IF_Ortho_25_09_09_NSTC_Km_112_a_113.tiff</v>
      </c>
      <c r="D113" s="1" t="str">
        <f t="shared" si="19"/>
        <v>CL_MLP_PAO_IF_Ortho_25_09_09_NSTC_Km_112_a_113</v>
      </c>
      <c r="E113" s="1" t="s">
        <v>343</v>
      </c>
      <c r="F113" s="1" t="s">
        <v>28</v>
      </c>
      <c r="G113" s="1" t="s">
        <v>29</v>
      </c>
      <c r="H113" s="16">
        <v>45909.166666666701</v>
      </c>
      <c r="I113" s="16">
        <v>45911</v>
      </c>
      <c r="J113" s="1" t="s">
        <v>30</v>
      </c>
      <c r="K113" s="2" t="str">
        <f t="shared" si="12"/>
        <v>https://sig.aminerals.cl/imgdyn/rest/services/CL_MLP_PAO/CL_MLP_PAO_IF_Ortho_ALL/ImageServer/file?id=.\El_Mauro_Puerto_Punta_Chungo_Drone\25_09_09\CL_MLP_PAO_IF_Ortho_25_09_09_NSTC_Km_112_a_113.tiff&amp;rasterId=</v>
      </c>
      <c r="L113" s="1" t="s">
        <v>31</v>
      </c>
      <c r="M113" s="1" t="s">
        <v>32</v>
      </c>
      <c r="N113" s="1" t="s">
        <v>33</v>
      </c>
      <c r="O113" s="1" t="s">
        <v>34</v>
      </c>
      <c r="P113" s="3" t="str">
        <f t="shared" si="13"/>
        <v>09</v>
      </c>
      <c r="Q113" s="3" t="str">
        <f t="shared" si="14"/>
        <v>09</v>
      </c>
      <c r="R113" s="3" t="str">
        <f t="shared" si="15"/>
        <v>25</v>
      </c>
      <c r="S113" s="1" t="s">
        <v>50</v>
      </c>
      <c r="T113" s="1">
        <v>1</v>
      </c>
      <c r="U113" s="1" t="s">
        <v>36</v>
      </c>
      <c r="V113" s="1" t="str">
        <f t="shared" si="16"/>
        <v>NSTC_Km_112_a_113</v>
      </c>
      <c r="W113" s="1" t="str">
        <f t="shared" si="20"/>
        <v>NSTC_Km_112_a_113</v>
      </c>
      <c r="X113" s="4" t="b">
        <f t="shared" si="17"/>
        <v>1</v>
      </c>
      <c r="Y113" s="1" t="str">
        <f>VLOOKUP(D113,'Orden de Imagen'!$A$1:D256,4,FALSE())</f>
        <v>082</v>
      </c>
      <c r="Z113" s="1" t="str">
        <f t="shared" si="18"/>
        <v>082_25_09_09_NSTC_Km_112_a_113</v>
      </c>
    </row>
    <row r="114" spans="1:26" ht="15" customHeight="1" x14ac:dyDescent="0.25">
      <c r="A114" s="1">
        <v>115</v>
      </c>
      <c r="B114" s="1" t="s">
        <v>344</v>
      </c>
      <c r="C114" s="1" t="str">
        <f t="shared" si="21"/>
        <v>CL_MLP_PAO_IF_Ortho_25_09_09_NSTC_Km_113_a_114.tiff</v>
      </c>
      <c r="D114" s="1" t="str">
        <f t="shared" si="19"/>
        <v>CL_MLP_PAO_IF_Ortho_25_09_09_NSTC_Km_113_a_114</v>
      </c>
      <c r="E114" s="1" t="s">
        <v>345</v>
      </c>
      <c r="F114" s="1" t="s">
        <v>28</v>
      </c>
      <c r="G114" s="1" t="s">
        <v>29</v>
      </c>
      <c r="H114" s="16">
        <v>45909.166666666701</v>
      </c>
      <c r="I114" s="16">
        <v>45911</v>
      </c>
      <c r="J114" s="1" t="s">
        <v>30</v>
      </c>
      <c r="K114" s="2" t="str">
        <f t="shared" si="12"/>
        <v>https://sig.aminerals.cl/imgdyn/rest/services/CL_MLP_PAO/CL_MLP_PAO_IF_Ortho_ALL/ImageServer/file?id=.\El_Mauro_Puerto_Punta_Chungo_Drone\25_09_09\CL_MLP_PAO_IF_Ortho_25_09_09_NSTC_Km_113_a_114.tiff&amp;rasterId=</v>
      </c>
      <c r="L114" s="1" t="s">
        <v>31</v>
      </c>
      <c r="M114" s="1" t="s">
        <v>32</v>
      </c>
      <c r="N114" s="1" t="s">
        <v>33</v>
      </c>
      <c r="O114" s="1" t="s">
        <v>34</v>
      </c>
      <c r="P114" s="3" t="str">
        <f t="shared" si="13"/>
        <v>09</v>
      </c>
      <c r="Q114" s="3" t="str">
        <f t="shared" si="14"/>
        <v>09</v>
      </c>
      <c r="R114" s="3" t="str">
        <f t="shared" si="15"/>
        <v>25</v>
      </c>
      <c r="S114" s="1" t="s">
        <v>50</v>
      </c>
      <c r="T114" s="1">
        <v>1</v>
      </c>
      <c r="U114" s="1" t="s">
        <v>36</v>
      </c>
      <c r="V114" s="1" t="str">
        <f t="shared" si="16"/>
        <v>NSTC_Km_113_a_114</v>
      </c>
      <c r="W114" s="1" t="str">
        <f t="shared" si="20"/>
        <v>NSTC_Km_113_a_114</v>
      </c>
      <c r="X114" s="4" t="b">
        <f t="shared" si="17"/>
        <v>1</v>
      </c>
      <c r="Y114" s="1" t="str">
        <f>VLOOKUP(D114,'Orden de Imagen'!$A$1:D257,4,FALSE())</f>
        <v>083</v>
      </c>
      <c r="Z114" s="1" t="str">
        <f t="shared" si="18"/>
        <v>083_25_09_09_NSTC_Km_113_a_114</v>
      </c>
    </row>
    <row r="115" spans="1:26" ht="15" customHeight="1" x14ac:dyDescent="0.25">
      <c r="A115" s="1">
        <v>116</v>
      </c>
      <c r="B115" s="1" t="s">
        <v>346</v>
      </c>
      <c r="C115" s="1" t="str">
        <f t="shared" si="21"/>
        <v>CL_MLP_PAO_IF_Ortho_25_09_09_NSTC_Km_114_a_115.tiff</v>
      </c>
      <c r="D115" s="1" t="str">
        <f t="shared" si="19"/>
        <v>CL_MLP_PAO_IF_Ortho_25_09_09_NSTC_Km_114_a_115</v>
      </c>
      <c r="E115" s="1" t="s">
        <v>347</v>
      </c>
      <c r="F115" s="1" t="s">
        <v>28</v>
      </c>
      <c r="G115" s="1" t="s">
        <v>29</v>
      </c>
      <c r="H115" s="16">
        <v>45909.166666666701</v>
      </c>
      <c r="I115" s="16">
        <v>45911</v>
      </c>
      <c r="J115" s="1" t="s">
        <v>30</v>
      </c>
      <c r="K115" s="2" t="str">
        <f t="shared" si="12"/>
        <v>https://sig.aminerals.cl/imgdyn/rest/services/CL_MLP_PAO/CL_MLP_PAO_IF_Ortho_ALL/ImageServer/file?id=.\El_Mauro_Puerto_Punta_Chungo_Drone\25_09_09\CL_MLP_PAO_IF_Ortho_25_09_09_NSTC_Km_114_a_115.tiff&amp;rasterId=</v>
      </c>
      <c r="L115" s="1" t="s">
        <v>31</v>
      </c>
      <c r="M115" s="1" t="s">
        <v>32</v>
      </c>
      <c r="N115" s="1" t="s">
        <v>33</v>
      </c>
      <c r="O115" s="1" t="s">
        <v>34</v>
      </c>
      <c r="P115" s="3" t="str">
        <f t="shared" si="13"/>
        <v>09</v>
      </c>
      <c r="Q115" s="3" t="str">
        <f t="shared" si="14"/>
        <v>09</v>
      </c>
      <c r="R115" s="3" t="str">
        <f t="shared" si="15"/>
        <v>25</v>
      </c>
      <c r="S115" s="1" t="s">
        <v>50</v>
      </c>
      <c r="T115" s="1">
        <v>1</v>
      </c>
      <c r="U115" s="1" t="s">
        <v>36</v>
      </c>
      <c r="V115" s="1" t="str">
        <f t="shared" si="16"/>
        <v>NSTC_Km_114_a_115</v>
      </c>
      <c r="W115" s="1" t="str">
        <f t="shared" si="20"/>
        <v>NSTC_Km_114_a_115</v>
      </c>
      <c r="X115" s="4" t="b">
        <f t="shared" si="17"/>
        <v>1</v>
      </c>
      <c r="Y115" s="1" t="str">
        <f>VLOOKUP(D115,'Orden de Imagen'!$A$1:D258,4,FALSE())</f>
        <v>084</v>
      </c>
      <c r="Z115" s="1" t="str">
        <f t="shared" si="18"/>
        <v>084_25_09_09_NSTC_Km_114_a_115</v>
      </c>
    </row>
    <row r="116" spans="1:26" ht="15" customHeight="1" x14ac:dyDescent="0.25">
      <c r="A116" s="1">
        <v>117</v>
      </c>
      <c r="B116" s="1" t="s">
        <v>348</v>
      </c>
      <c r="C116" s="1" t="str">
        <f t="shared" si="21"/>
        <v>CL_MLP_PAO_IF_Ortho_25_09_09_NSTC_Km_115_a_116p4.tiff</v>
      </c>
      <c r="D116" s="1" t="str">
        <f t="shared" si="19"/>
        <v>CL_MLP_PAO_IF_Ortho_25_09_09_NSTC_Km_115_a_116p4</v>
      </c>
      <c r="E116" s="1" t="s">
        <v>349</v>
      </c>
      <c r="F116" s="1" t="s">
        <v>28</v>
      </c>
      <c r="G116" s="1" t="s">
        <v>29</v>
      </c>
      <c r="H116" s="16">
        <v>45909.166666666701</v>
      </c>
      <c r="I116" s="16">
        <v>45911</v>
      </c>
      <c r="J116" s="1" t="s">
        <v>30</v>
      </c>
      <c r="K116" s="2" t="str">
        <f t="shared" si="12"/>
        <v>https://sig.aminerals.cl/imgdyn/rest/services/CL_MLP_PAO/CL_MLP_PAO_IF_Ortho_ALL/ImageServer/file?id=.\El_Mauro_Puerto_Punta_Chungo_Drone\25_09_09\CL_MLP_PAO_IF_Ortho_25_09_09_NSTC_Km_115_a_116p4.tiff&amp;rasterId=</v>
      </c>
      <c r="L116" s="1" t="s">
        <v>31</v>
      </c>
      <c r="M116" s="1" t="s">
        <v>32</v>
      </c>
      <c r="N116" s="1" t="s">
        <v>33</v>
      </c>
      <c r="O116" s="1" t="s">
        <v>34</v>
      </c>
      <c r="P116" s="3" t="str">
        <f t="shared" si="13"/>
        <v>09</v>
      </c>
      <c r="Q116" s="3" t="str">
        <f t="shared" si="14"/>
        <v>09</v>
      </c>
      <c r="R116" s="3" t="str">
        <f t="shared" si="15"/>
        <v>25</v>
      </c>
      <c r="S116" s="1" t="s">
        <v>50</v>
      </c>
      <c r="T116" s="1">
        <v>1</v>
      </c>
      <c r="U116" s="1" t="s">
        <v>36</v>
      </c>
      <c r="V116" s="1" t="str">
        <f t="shared" si="16"/>
        <v>NSTC_Km_115_a_116p4</v>
      </c>
      <c r="W116" s="1" t="str">
        <f t="shared" si="20"/>
        <v>NSTC_Km_115_a_116p4</v>
      </c>
      <c r="X116" s="4" t="b">
        <f t="shared" si="17"/>
        <v>1</v>
      </c>
      <c r="Y116" s="1" t="str">
        <f>VLOOKUP(D116,'Orden de Imagen'!$A$1:D259,4,FALSE())</f>
        <v>085</v>
      </c>
      <c r="Z116" s="1" t="str">
        <f t="shared" si="18"/>
        <v>085_25_09_09_NSTC_Km_115_a_116p4</v>
      </c>
    </row>
    <row r="117" spans="1:26" ht="15" customHeight="1" x14ac:dyDescent="0.25">
      <c r="A117" s="1">
        <v>118</v>
      </c>
      <c r="B117" s="1" t="s">
        <v>350</v>
      </c>
      <c r="C117" s="1" t="str">
        <f t="shared" si="21"/>
        <v>CL_MLP_PAO_IF_Ortho_25_09_10_Area_Mauro_H.tiff</v>
      </c>
      <c r="D117" s="1" t="str">
        <f t="shared" si="19"/>
        <v>CL_MLP_PAO_IF_Ortho_25_09_10_Area_Mauro_H</v>
      </c>
      <c r="E117" s="1" t="s">
        <v>351</v>
      </c>
      <c r="F117" s="1" t="s">
        <v>28</v>
      </c>
      <c r="G117" s="1" t="s">
        <v>29</v>
      </c>
      <c r="H117" s="16">
        <v>45910.166666666701</v>
      </c>
      <c r="I117" s="16">
        <v>45911</v>
      </c>
      <c r="J117" s="1" t="s">
        <v>30</v>
      </c>
      <c r="K117" s="2" t="str">
        <f t="shared" si="12"/>
        <v>https://sig.aminerals.cl/imgdyn/rest/services/CL_MLP_PAO/CL_MLP_PAO_IF_Ortho_ALL/ImageServer/file?id=.\El_Mauro_Drone\25_09_10\CL_MLP_PAO_IF_Ortho_25_09_10_Area_Mauro_H.tiff&amp;rasterId=</v>
      </c>
      <c r="L117" s="1" t="s">
        <v>31</v>
      </c>
      <c r="M117" s="1" t="s">
        <v>32</v>
      </c>
      <c r="N117" s="1" t="s">
        <v>33</v>
      </c>
      <c r="O117" s="1" t="s">
        <v>34</v>
      </c>
      <c r="P117" s="3" t="str">
        <f t="shared" si="13"/>
        <v>10</v>
      </c>
      <c r="Q117" s="3" t="str">
        <f t="shared" si="14"/>
        <v>09</v>
      </c>
      <c r="R117" s="3" t="str">
        <f t="shared" si="15"/>
        <v>25</v>
      </c>
      <c r="S117" s="1" t="s">
        <v>87</v>
      </c>
      <c r="T117" s="1">
        <v>1</v>
      </c>
      <c r="U117" s="1" t="s">
        <v>36</v>
      </c>
      <c r="V117" s="1" t="str">
        <f t="shared" si="16"/>
        <v>Area_Mauro_H</v>
      </c>
      <c r="W117" s="1" t="str">
        <f t="shared" si="20"/>
        <v>Area_Mauro_H</v>
      </c>
      <c r="X117" s="4" t="b">
        <f t="shared" si="17"/>
        <v>1</v>
      </c>
      <c r="Y117" s="1" t="str">
        <f>VLOOKUP(D117,'Orden de Imagen'!$A$1:D260,4,FALSE())</f>
        <v>086</v>
      </c>
      <c r="Z117" s="1" t="str">
        <f t="shared" si="18"/>
        <v>086_25_09_10_Area_Mauro_H</v>
      </c>
    </row>
    <row r="118" spans="1:26" ht="15" customHeight="1" x14ac:dyDescent="0.25">
      <c r="A118" s="1">
        <v>119</v>
      </c>
      <c r="B118" s="1" t="s">
        <v>352</v>
      </c>
      <c r="C118" s="1" t="str">
        <f t="shared" si="21"/>
        <v>CL_MLP_PAO_IF_Ortho_25_09_10_ElMauro_Asentamiento_AeronauticoGP.tiff</v>
      </c>
      <c r="D118" s="1" t="str">
        <f t="shared" si="19"/>
        <v>CL_MLP_PAO_IF_Ortho_25_09_10_ElMauro_Asentamiento_AeronauticoGP</v>
      </c>
      <c r="E118" s="1" t="s">
        <v>353</v>
      </c>
      <c r="F118" s="1" t="s">
        <v>28</v>
      </c>
      <c r="G118" s="1" t="s">
        <v>29</v>
      </c>
      <c r="H118" s="16">
        <v>45910.166666666701</v>
      </c>
      <c r="I118" s="16">
        <v>45911</v>
      </c>
      <c r="J118" s="1" t="s">
        <v>30</v>
      </c>
      <c r="K118" s="2" t="str">
        <f t="shared" si="12"/>
        <v>https://sig.aminerals.cl/imgdyn/rest/services/CL_MLP_PAO/CL_MLP_PAO_IF_Ortho_ALL/ImageServer/file?id=.\El_Mauro_Drone\25_09_10\CL_MLP_PAO_IF_Ortho_25_09_10_ElMauro_Asentamiento_AeronauticoGP.tiff&amp;rasterId=</v>
      </c>
      <c r="L118" s="1" t="s">
        <v>31</v>
      </c>
      <c r="M118" s="1" t="s">
        <v>32</v>
      </c>
      <c r="N118" s="1" t="s">
        <v>33</v>
      </c>
      <c r="O118" s="1" t="s">
        <v>34</v>
      </c>
      <c r="P118" s="3" t="str">
        <f t="shared" si="13"/>
        <v>10</v>
      </c>
      <c r="Q118" s="3" t="str">
        <f t="shared" si="14"/>
        <v>09</v>
      </c>
      <c r="R118" s="3" t="str">
        <f t="shared" si="15"/>
        <v>25</v>
      </c>
      <c r="S118" s="1" t="s">
        <v>87</v>
      </c>
      <c r="T118" s="1">
        <v>1</v>
      </c>
      <c r="U118" s="1" t="s">
        <v>36</v>
      </c>
      <c r="V118" s="1" t="str">
        <f t="shared" si="16"/>
        <v>ElMauro_Asentamiento_AeronauticoGP</v>
      </c>
      <c r="W118" s="1" t="str">
        <f t="shared" si="20"/>
        <v>ElMauro_Asentamiento_AeronauticoGP</v>
      </c>
      <c r="X118" s="4" t="b">
        <f t="shared" si="17"/>
        <v>1</v>
      </c>
      <c r="Y118" s="1" t="str">
        <f>VLOOKUP(D118,'Orden de Imagen'!$A$1:D261,4,FALSE())</f>
        <v>088</v>
      </c>
      <c r="Z118" s="1" t="str">
        <f t="shared" si="18"/>
        <v>088_25_09_10_ElMauro_Asentamiento_AeronauticoGP</v>
      </c>
    </row>
    <row r="119" spans="1:26" ht="15" customHeight="1" x14ac:dyDescent="0.25">
      <c r="A119" s="1">
        <v>120</v>
      </c>
      <c r="B119" s="1" t="s">
        <v>354</v>
      </c>
      <c r="C119" s="1" t="str">
        <f t="shared" si="21"/>
        <v>CL_MLP_PAO_IF_Ortho_25_09_11_Linea33kV_Norte_El_Mauro_Area_1_1.tiff</v>
      </c>
      <c r="D119" s="1" t="str">
        <f t="shared" si="19"/>
        <v>CL_MLP_PAO_IF_Ortho_25_09_11_Linea33kV_Norte_El_Mauro_Area_1_1</v>
      </c>
      <c r="E119" s="1" t="s">
        <v>355</v>
      </c>
      <c r="F119" s="1" t="s">
        <v>28</v>
      </c>
      <c r="G119" s="1" t="s">
        <v>29</v>
      </c>
      <c r="H119" s="16">
        <v>45911.166666666701</v>
      </c>
      <c r="I119" s="16">
        <v>45911</v>
      </c>
      <c r="J119" s="1" t="s">
        <v>30</v>
      </c>
      <c r="K119" s="2" t="str">
        <f t="shared" si="12"/>
        <v>https://sig.aminerals.cl/imgdyn/rest/services/CL_MLP_PAO/CL_MLP_PAO_IF_Ortho_ALL/ImageServer/file?id=.\El_Mauro_Drone\25_09_11\CL_MLP_PAO_IF_Ortho_25_09_11_Linea33kV_Norte_El_Mauro_Area_1_1.tiff&amp;rasterId=</v>
      </c>
      <c r="L119" s="1" t="s">
        <v>31</v>
      </c>
      <c r="M119" s="1" t="s">
        <v>32</v>
      </c>
      <c r="N119" s="1" t="s">
        <v>33</v>
      </c>
      <c r="O119" s="1" t="s">
        <v>34</v>
      </c>
      <c r="P119" s="3" t="str">
        <f t="shared" si="13"/>
        <v>11</v>
      </c>
      <c r="Q119" s="3" t="str">
        <f t="shared" si="14"/>
        <v>09</v>
      </c>
      <c r="R119" s="3" t="str">
        <f t="shared" si="15"/>
        <v>25</v>
      </c>
      <c r="S119" s="1" t="s">
        <v>87</v>
      </c>
      <c r="T119" s="1">
        <v>1</v>
      </c>
      <c r="U119" s="1" t="s">
        <v>36</v>
      </c>
      <c r="V119" s="1" t="str">
        <f t="shared" si="16"/>
        <v>Linea33kV_Norte_El_Mauro_Area_1_1</v>
      </c>
      <c r="W119" s="1" t="str">
        <f t="shared" si="20"/>
        <v>Linea33kV_Norte_El_Mauro_Area_1_1</v>
      </c>
      <c r="X119" s="4" t="b">
        <f t="shared" si="17"/>
        <v>1</v>
      </c>
      <c r="Y119" s="1" t="str">
        <f>VLOOKUP(D119,'Orden de Imagen'!$A$1:D262,4,FALSE())</f>
        <v>089</v>
      </c>
      <c r="Z119" s="1" t="str">
        <f t="shared" si="18"/>
        <v>089_25_09_11_Linea33kV_Norte_El_Mauro_Area_1_1</v>
      </c>
    </row>
    <row r="120" spans="1:26" ht="15" customHeight="1" x14ac:dyDescent="0.25">
      <c r="A120" s="1">
        <v>121</v>
      </c>
      <c r="B120" s="1" t="s">
        <v>356</v>
      </c>
      <c r="C120" s="1" t="str">
        <f t="shared" si="21"/>
        <v>CL_MLP_PAO_IF_Ortho_25_09_11_Linea33kV_Norte_El_Mauro_Area_2_2.tiff</v>
      </c>
      <c r="D120" s="1" t="str">
        <f t="shared" si="19"/>
        <v>CL_MLP_PAO_IF_Ortho_25_09_11_Linea33kV_Norte_El_Mauro_Area_2_2</v>
      </c>
      <c r="E120" s="1" t="s">
        <v>357</v>
      </c>
      <c r="F120" s="1" t="s">
        <v>28</v>
      </c>
      <c r="G120" s="1" t="s">
        <v>29</v>
      </c>
      <c r="H120" s="16">
        <v>45911.166666666701</v>
      </c>
      <c r="I120" s="16">
        <v>45911</v>
      </c>
      <c r="J120" s="1" t="s">
        <v>30</v>
      </c>
      <c r="K120" s="2" t="str">
        <f t="shared" si="12"/>
        <v>https://sig.aminerals.cl/imgdyn/rest/services/CL_MLP_PAO/CL_MLP_PAO_IF_Ortho_ALL/ImageServer/file?id=.\El_Mauro_Drone\25_09_11\CL_MLP_PAO_IF_Ortho_25_09_11_Linea33kV_Norte_El_Mauro_Area_2_2.tiff&amp;rasterId=</v>
      </c>
      <c r="L120" s="1" t="s">
        <v>31</v>
      </c>
      <c r="M120" s="1" t="s">
        <v>32</v>
      </c>
      <c r="N120" s="1" t="s">
        <v>33</v>
      </c>
      <c r="O120" s="1" t="s">
        <v>34</v>
      </c>
      <c r="P120" s="3" t="str">
        <f t="shared" si="13"/>
        <v>11</v>
      </c>
      <c r="Q120" s="3" t="str">
        <f t="shared" si="14"/>
        <v>09</v>
      </c>
      <c r="R120" s="3" t="str">
        <f t="shared" si="15"/>
        <v>25</v>
      </c>
      <c r="S120" s="1" t="s">
        <v>87</v>
      </c>
      <c r="T120" s="1">
        <v>1</v>
      </c>
      <c r="U120" s="1" t="s">
        <v>36</v>
      </c>
      <c r="V120" s="1" t="str">
        <f t="shared" si="16"/>
        <v>Linea33kV_Norte_El_Mauro_Area_2_2</v>
      </c>
      <c r="W120" s="1" t="str">
        <f t="shared" si="20"/>
        <v>Linea33kV_Norte_El_Mauro_Area_2_2</v>
      </c>
      <c r="X120" s="4" t="b">
        <f t="shared" si="17"/>
        <v>1</v>
      </c>
      <c r="Y120" s="1" t="str">
        <f>VLOOKUP(D120,'Orden de Imagen'!$A$1:D263,4,FALSE())</f>
        <v>090</v>
      </c>
      <c r="Z120" s="1" t="str">
        <f t="shared" si="18"/>
        <v>090_25_09_11_Linea33kV_Norte_El_Mauro_Area_2_2</v>
      </c>
    </row>
    <row r="121" spans="1:26" ht="15" customHeight="1" x14ac:dyDescent="0.25">
      <c r="A121" s="1">
        <v>122</v>
      </c>
      <c r="B121" s="1" t="s">
        <v>358</v>
      </c>
      <c r="C121" s="1" t="str">
        <f t="shared" si="21"/>
        <v>CL_MLP_PAO_IF_Ortho_25_09_24_EC-TK100-SRA2.tiff</v>
      </c>
      <c r="D121" s="1" t="str">
        <f t="shared" si="19"/>
        <v>CL_MLP_PAO_IF_Ortho_25_09_24_EC-TK100-SRA2</v>
      </c>
      <c r="E121" s="1" t="s">
        <v>359</v>
      </c>
      <c r="F121" s="1" t="s">
        <v>28</v>
      </c>
      <c r="G121" s="1" t="s">
        <v>29</v>
      </c>
      <c r="H121" s="16">
        <v>45924.166666666701</v>
      </c>
      <c r="I121" s="16">
        <v>45930</v>
      </c>
      <c r="J121" s="1" t="s">
        <v>30</v>
      </c>
      <c r="K121" s="2" t="str">
        <f t="shared" si="12"/>
        <v>https://sig.aminerals.cl/imgdyn/rest/services/CL_MLP_PAO/CL_MLP_PAO_IF_Ortho_ALL/ImageServer/file?id=.\Chacay_Drone\25_09_24\CL_MLP_PAO_IF_Ortho_25_09_24_EC-TK100-SRA2.tiff&amp;rasterId=</v>
      </c>
      <c r="L121" s="1" t="s">
        <v>31</v>
      </c>
      <c r="M121" s="1" t="s">
        <v>32</v>
      </c>
      <c r="N121" s="1" t="s">
        <v>33</v>
      </c>
      <c r="O121" s="1" t="s">
        <v>34</v>
      </c>
      <c r="P121" s="3" t="str">
        <f t="shared" si="13"/>
        <v>24</v>
      </c>
      <c r="Q121" s="3" t="str">
        <f t="shared" si="14"/>
        <v>09</v>
      </c>
      <c r="R121" s="3" t="str">
        <f t="shared" si="15"/>
        <v>25</v>
      </c>
      <c r="S121" s="1" t="s">
        <v>56</v>
      </c>
      <c r="T121" s="1">
        <v>1</v>
      </c>
      <c r="U121" s="1" t="s">
        <v>36</v>
      </c>
      <c r="V121" s="1" t="str">
        <f t="shared" si="16"/>
        <v>EC-TK100-SRA2</v>
      </c>
      <c r="W121" s="1" t="str">
        <f t="shared" si="20"/>
        <v>EC-TK100-SRA2</v>
      </c>
      <c r="X121" s="4" t="b">
        <f t="shared" si="17"/>
        <v>1</v>
      </c>
      <c r="Y121" s="1" t="str">
        <f>VLOOKUP(D121,'Orden de Imagen'!$A$1:D264,4,FALSE())</f>
        <v>091</v>
      </c>
      <c r="Z121" s="1" t="str">
        <f t="shared" si="18"/>
        <v>091_25_09_24_EC-TK100-SRA2</v>
      </c>
    </row>
    <row r="122" spans="1:26" ht="15" customHeight="1" x14ac:dyDescent="0.25">
      <c r="A122" s="1">
        <v>123</v>
      </c>
      <c r="B122" s="1" t="s">
        <v>360</v>
      </c>
      <c r="C122" s="1" t="str">
        <f t="shared" si="21"/>
        <v>CL_MLP_PAO_IF_Ortho_25_09_24_NSTC-2p3-a-4p4-Area-1.tiff</v>
      </c>
      <c r="D122" s="1" t="str">
        <f t="shared" si="19"/>
        <v>CL_MLP_PAO_IF_Ortho_25_09_24_NSTC-2p3-a-4p4-Area-1</v>
      </c>
      <c r="E122" s="1" t="s">
        <v>361</v>
      </c>
      <c r="F122" s="1" t="s">
        <v>28</v>
      </c>
      <c r="G122" s="1" t="s">
        <v>29</v>
      </c>
      <c r="H122" s="16">
        <v>45924.166666666701</v>
      </c>
      <c r="I122" s="16">
        <v>45931</v>
      </c>
      <c r="J122" s="1" t="s">
        <v>30</v>
      </c>
      <c r="K122" s="2" t="str">
        <f t="shared" si="12"/>
        <v>https://sig.aminerals.cl/imgdyn/rest/services/CL_MLP_PAO/CL_MLP_PAO_IF_Ortho_ALL/ImageServer/file?id=.\Chacay_Drone\25_09_24\CL_MLP_PAO_IF_Ortho_25_09_24_NSTC-2p3-a-4p4-Area-1.tiff&amp;rasterId=</v>
      </c>
      <c r="L122" s="1" t="s">
        <v>31</v>
      </c>
      <c r="M122" s="1" t="s">
        <v>32</v>
      </c>
      <c r="N122" s="1" t="s">
        <v>33</v>
      </c>
      <c r="O122" s="1" t="s">
        <v>34</v>
      </c>
      <c r="P122" s="3" t="str">
        <f t="shared" si="13"/>
        <v>24</v>
      </c>
      <c r="Q122" s="3" t="str">
        <f t="shared" si="14"/>
        <v>09</v>
      </c>
      <c r="R122" s="3" t="str">
        <f t="shared" si="15"/>
        <v>25</v>
      </c>
      <c r="S122" s="1" t="s">
        <v>56</v>
      </c>
      <c r="T122" s="1">
        <v>1</v>
      </c>
      <c r="U122" s="1" t="s">
        <v>36</v>
      </c>
      <c r="V122" s="1" t="str">
        <f t="shared" si="16"/>
        <v>NSTC-2p3-a-4p4-Area-1</v>
      </c>
      <c r="W122" s="1" t="str">
        <f t="shared" si="20"/>
        <v>NSTC-2p3-a-4p4-Area-1</v>
      </c>
      <c r="X122" s="4" t="b">
        <f t="shared" si="17"/>
        <v>1</v>
      </c>
      <c r="Y122" s="1" t="str">
        <f>VLOOKUP(D122,'Orden de Imagen'!$A$1:D265,4,FALSE())</f>
        <v>092</v>
      </c>
      <c r="Z122" s="1" t="str">
        <f t="shared" si="18"/>
        <v>092_25_09_24_NSTC-2p3-a-4p4-Area-1</v>
      </c>
    </row>
    <row r="123" spans="1:26" ht="15" customHeight="1" x14ac:dyDescent="0.25">
      <c r="A123" s="1">
        <v>124</v>
      </c>
      <c r="B123" s="1" t="s">
        <v>362</v>
      </c>
      <c r="C123" s="1" t="str">
        <f t="shared" si="21"/>
        <v>CL_MLP_PAO_IF_Ortho_25_09_24_NSTC-Km-0-a-1p1-SRA.tiff</v>
      </c>
      <c r="D123" s="1" t="str">
        <f t="shared" si="19"/>
        <v>CL_MLP_PAO_IF_Ortho_25_09_24_NSTC-Km-0-a-1p1-SRA</v>
      </c>
      <c r="E123" s="1" t="s">
        <v>363</v>
      </c>
      <c r="F123" s="1" t="s">
        <v>28</v>
      </c>
      <c r="G123" s="1" t="s">
        <v>29</v>
      </c>
      <c r="H123" s="16">
        <v>45924.166666666701</v>
      </c>
      <c r="I123" s="16">
        <v>45931</v>
      </c>
      <c r="J123" s="1" t="s">
        <v>30</v>
      </c>
      <c r="K123" s="2" t="str">
        <f t="shared" si="12"/>
        <v>https://sig.aminerals.cl/imgdyn/rest/services/CL_MLP_PAO/CL_MLP_PAO_IF_Ortho_ALL/ImageServer/file?id=.\Chacay_Drone\25_09_24\CL_MLP_PAO_IF_Ortho_25_09_24_NSTC-Km-0-a-1p1-SRA.tiff&amp;rasterId=</v>
      </c>
      <c r="L123" s="1" t="s">
        <v>31</v>
      </c>
      <c r="M123" s="1" t="s">
        <v>32</v>
      </c>
      <c r="N123" s="1" t="s">
        <v>33</v>
      </c>
      <c r="O123" s="1" t="s">
        <v>34</v>
      </c>
      <c r="P123" s="3" t="str">
        <f t="shared" si="13"/>
        <v>24</v>
      </c>
      <c r="Q123" s="3" t="str">
        <f t="shared" si="14"/>
        <v>09</v>
      </c>
      <c r="R123" s="3" t="str">
        <f t="shared" si="15"/>
        <v>25</v>
      </c>
      <c r="S123" s="1" t="s">
        <v>56</v>
      </c>
      <c r="T123" s="1">
        <v>1</v>
      </c>
      <c r="U123" s="1" t="s">
        <v>36</v>
      </c>
      <c r="V123" s="1" t="str">
        <f t="shared" si="16"/>
        <v>NSTC-Km-0-a-1p1-SRA</v>
      </c>
      <c r="W123" s="1" t="str">
        <f t="shared" si="20"/>
        <v>NSTC-Km-0-a-1p1-SRA</v>
      </c>
      <c r="X123" s="4" t="b">
        <f t="shared" si="17"/>
        <v>1</v>
      </c>
      <c r="Y123" s="1" t="str">
        <f>VLOOKUP(D123,'Orden de Imagen'!$A$1:D266,4,FALSE())</f>
        <v>093</v>
      </c>
      <c r="Z123" s="1" t="str">
        <f t="shared" si="18"/>
        <v>093_25_09_24_NSTC-Km-0-a-1p1-SRA</v>
      </c>
    </row>
    <row r="124" spans="1:26" ht="15" customHeight="1" x14ac:dyDescent="0.25">
      <c r="A124" s="1">
        <v>125</v>
      </c>
      <c r="B124" s="1" t="s">
        <v>364</v>
      </c>
      <c r="C124" s="1" t="str">
        <f t="shared" si="21"/>
        <v>CL_MLP_PAO_IF_Ortho_25_09_24_NSTC-Km-1p1-a-1p5-SRA.tiff</v>
      </c>
      <c r="D124" s="1" t="str">
        <f t="shared" si="19"/>
        <v>CL_MLP_PAO_IF_Ortho_25_09_24_NSTC-Km-1p1-a-1p5-SRA</v>
      </c>
      <c r="E124" s="1" t="s">
        <v>365</v>
      </c>
      <c r="F124" s="1" t="s">
        <v>28</v>
      </c>
      <c r="G124" s="1" t="s">
        <v>29</v>
      </c>
      <c r="H124" s="16">
        <v>45924.166666666701</v>
      </c>
      <c r="I124" s="16">
        <v>45931</v>
      </c>
      <c r="J124" s="1" t="s">
        <v>30</v>
      </c>
      <c r="K124" s="2" t="str">
        <f t="shared" si="12"/>
        <v>https://sig.aminerals.cl/imgdyn/rest/services/CL_MLP_PAO/CL_MLP_PAO_IF_Ortho_ALL/ImageServer/file?id=.\Chacay_Drone\25_09_24\CL_MLP_PAO_IF_Ortho_25_09_24_NSTC-Km-1p1-a-1p5-SRA.tiff&amp;rasterId=</v>
      </c>
      <c r="L124" s="1" t="s">
        <v>31</v>
      </c>
      <c r="M124" s="1" t="s">
        <v>32</v>
      </c>
      <c r="N124" s="1" t="s">
        <v>33</v>
      </c>
      <c r="O124" s="1" t="s">
        <v>34</v>
      </c>
      <c r="P124" s="3" t="str">
        <f t="shared" si="13"/>
        <v>24</v>
      </c>
      <c r="Q124" s="3" t="str">
        <f t="shared" si="14"/>
        <v>09</v>
      </c>
      <c r="R124" s="3" t="str">
        <f t="shared" si="15"/>
        <v>25</v>
      </c>
      <c r="S124" s="1" t="s">
        <v>56</v>
      </c>
      <c r="T124" s="1">
        <v>1</v>
      </c>
      <c r="U124" s="1" t="s">
        <v>36</v>
      </c>
      <c r="V124" s="1" t="str">
        <f t="shared" si="16"/>
        <v>NSTC-Km-1p1-a-1p5-SRA</v>
      </c>
      <c r="W124" s="1" t="str">
        <f t="shared" si="20"/>
        <v>NSTC-Km-1p1-a-1p5-SRA</v>
      </c>
      <c r="X124" s="4" t="b">
        <f t="shared" si="17"/>
        <v>1</v>
      </c>
      <c r="Y124" s="1" t="str">
        <f>VLOOKUP(D124,'Orden de Imagen'!$A$1:D267,4,FALSE())</f>
        <v>094</v>
      </c>
      <c r="Z124" s="1" t="str">
        <f t="shared" si="18"/>
        <v>094_25_09_24_NSTC-Km-1p1-a-1p5-SRA</v>
      </c>
    </row>
    <row r="125" spans="1:26" ht="15" customHeight="1" x14ac:dyDescent="0.25">
      <c r="A125" s="1">
        <v>126</v>
      </c>
      <c r="B125" s="1" t="s">
        <v>366</v>
      </c>
      <c r="C125" s="1" t="str">
        <f t="shared" si="21"/>
        <v>CL_MLP_PAO_IF_Ortho_25_09_24_NSTC-Km-1p5-a-2p2.tiff</v>
      </c>
      <c r="D125" s="1" t="str">
        <f t="shared" si="19"/>
        <v>CL_MLP_PAO_IF_Ortho_25_09_24_NSTC-Km-1p5-a-2p2</v>
      </c>
      <c r="E125" s="1" t="s">
        <v>367</v>
      </c>
      <c r="F125" s="1" t="s">
        <v>28</v>
      </c>
      <c r="G125" s="1" t="s">
        <v>29</v>
      </c>
      <c r="H125" s="16">
        <v>45924.166666666701</v>
      </c>
      <c r="I125" s="16">
        <v>45931</v>
      </c>
      <c r="J125" s="1" t="s">
        <v>30</v>
      </c>
      <c r="K125" s="2" t="str">
        <f t="shared" si="12"/>
        <v>https://sig.aminerals.cl/imgdyn/rest/services/CL_MLP_PAO/CL_MLP_PAO_IF_Ortho_ALL/ImageServer/file?id=.\Chacay_Drone\25_09_24\CL_MLP_PAO_IF_Ortho_25_09_24_NSTC-Km-1p5-a-2p2.tiff&amp;rasterId=</v>
      </c>
      <c r="L125" s="1" t="s">
        <v>31</v>
      </c>
      <c r="M125" s="1" t="s">
        <v>32</v>
      </c>
      <c r="N125" s="1" t="s">
        <v>33</v>
      </c>
      <c r="O125" s="1" t="s">
        <v>34</v>
      </c>
      <c r="P125" s="3" t="str">
        <f t="shared" si="13"/>
        <v>24</v>
      </c>
      <c r="Q125" s="3" t="str">
        <f t="shared" si="14"/>
        <v>09</v>
      </c>
      <c r="R125" s="3" t="str">
        <f t="shared" si="15"/>
        <v>25</v>
      </c>
      <c r="S125" s="1" t="s">
        <v>56</v>
      </c>
      <c r="T125" s="1">
        <v>1</v>
      </c>
      <c r="U125" s="1" t="s">
        <v>36</v>
      </c>
      <c r="V125" s="1" t="str">
        <f t="shared" si="16"/>
        <v>NSTC-Km-1p5-a-2p2</v>
      </c>
      <c r="W125" s="1" t="str">
        <f t="shared" si="20"/>
        <v>NSTC-Km-1p5-a-2p2</v>
      </c>
      <c r="X125" s="4" t="b">
        <f t="shared" si="17"/>
        <v>1</v>
      </c>
      <c r="Y125" s="1" t="str">
        <f>VLOOKUP(D125,'Orden de Imagen'!$A$1:D268,4,FALSE())</f>
        <v>095</v>
      </c>
      <c r="Z125" s="1" t="str">
        <f t="shared" si="18"/>
        <v>095_25_09_24_NSTC-Km-1p5-a-2p2</v>
      </c>
    </row>
    <row r="126" spans="1:26" ht="15" customHeight="1" x14ac:dyDescent="0.25">
      <c r="A126" s="1">
        <v>127</v>
      </c>
      <c r="B126" s="1" t="s">
        <v>368</v>
      </c>
      <c r="C126" s="1" t="str">
        <f t="shared" si="21"/>
        <v>CL_MLP_PAO_IF_Ortho_25_09_24_NSTC-km-2p2-a-3p5.tiff</v>
      </c>
      <c r="D126" s="1" t="str">
        <f t="shared" si="19"/>
        <v>CL_MLP_PAO_IF_Ortho_25_09_24_NSTC-km-2p2-a-3p5</v>
      </c>
      <c r="E126" s="1" t="s">
        <v>369</v>
      </c>
      <c r="F126" s="1" t="s">
        <v>28</v>
      </c>
      <c r="G126" s="1" t="s">
        <v>29</v>
      </c>
      <c r="H126" s="16">
        <v>45924.166666666701</v>
      </c>
      <c r="I126" s="16">
        <v>45931</v>
      </c>
      <c r="J126" s="1" t="s">
        <v>30</v>
      </c>
      <c r="K126" s="2" t="str">
        <f t="shared" si="12"/>
        <v>https://sig.aminerals.cl/imgdyn/rest/services/CL_MLP_PAO/CL_MLP_PAO_IF_Ortho_ALL/ImageServer/file?id=.\Chacay_Drone\25_09_24\CL_MLP_PAO_IF_Ortho_25_09_24_NSTC-km-2p2-a-3p5.tiff&amp;rasterId=</v>
      </c>
      <c r="L126" s="1" t="s">
        <v>31</v>
      </c>
      <c r="M126" s="1" t="s">
        <v>32</v>
      </c>
      <c r="N126" s="1" t="s">
        <v>33</v>
      </c>
      <c r="O126" s="1" t="s">
        <v>34</v>
      </c>
      <c r="P126" s="3" t="str">
        <f t="shared" si="13"/>
        <v>24</v>
      </c>
      <c r="Q126" s="3" t="str">
        <f t="shared" si="14"/>
        <v>09</v>
      </c>
      <c r="R126" s="3" t="str">
        <f t="shared" si="15"/>
        <v>25</v>
      </c>
      <c r="S126" s="1" t="s">
        <v>56</v>
      </c>
      <c r="T126" s="1">
        <v>1</v>
      </c>
      <c r="U126" s="1" t="s">
        <v>36</v>
      </c>
      <c r="V126" s="1" t="str">
        <f t="shared" si="16"/>
        <v>NSTC-km-2p2-a-3p5</v>
      </c>
      <c r="W126" s="1" t="str">
        <f t="shared" si="20"/>
        <v>NSTC-km-2p2-a-3p5</v>
      </c>
      <c r="X126" s="4" t="b">
        <f t="shared" si="17"/>
        <v>1</v>
      </c>
      <c r="Y126" s="1" t="str">
        <f>VLOOKUP(D126,'Orden de Imagen'!$A$1:D269,4,FALSE())</f>
        <v>096</v>
      </c>
      <c r="Z126" s="1" t="str">
        <f t="shared" si="18"/>
        <v>096_25_09_24_NSTC-km-2p2-a-3p5</v>
      </c>
    </row>
    <row r="127" spans="1:26" ht="15" customHeight="1" x14ac:dyDescent="0.25">
      <c r="A127" s="1">
        <v>128</v>
      </c>
      <c r="B127" s="1" t="s">
        <v>370</v>
      </c>
      <c r="C127" s="1" t="str">
        <f t="shared" si="21"/>
        <v>CL_MLP_PAO_IF_Ortho_25_09_24_SRA-2-km-56p1-a-57p7-Area-2.tiff</v>
      </c>
      <c r="D127" s="1" t="str">
        <f t="shared" si="19"/>
        <v>CL_MLP_PAO_IF_Ortho_25_09_24_SRA-2-km-56p1-a-57p7-Area-2</v>
      </c>
      <c r="E127" s="1" t="s">
        <v>371</v>
      </c>
      <c r="F127" s="1" t="s">
        <v>28</v>
      </c>
      <c r="G127" s="1" t="s">
        <v>29</v>
      </c>
      <c r="H127" s="16">
        <v>45924.166666666701</v>
      </c>
      <c r="I127" s="16">
        <v>45931</v>
      </c>
      <c r="J127" s="1" t="s">
        <v>30</v>
      </c>
      <c r="K127" s="2" t="str">
        <f t="shared" si="12"/>
        <v>https://sig.aminerals.cl/imgdyn/rest/services/CL_MLP_PAO/CL_MLP_PAO_IF_Ortho_ALL/ImageServer/file?id=.\Chacay_Drone\25_09_24\CL_MLP_PAO_IF_Ortho_25_09_24_SRA-2-km-56p1-a-57p7-Area-2.tiff&amp;rasterId=</v>
      </c>
      <c r="L127" s="1" t="s">
        <v>31</v>
      </c>
      <c r="M127" s="1" t="s">
        <v>32</v>
      </c>
      <c r="N127" s="1" t="s">
        <v>33</v>
      </c>
      <c r="O127" s="1" t="s">
        <v>34</v>
      </c>
      <c r="P127" s="3" t="str">
        <f t="shared" si="13"/>
        <v>24</v>
      </c>
      <c r="Q127" s="3" t="str">
        <f t="shared" si="14"/>
        <v>09</v>
      </c>
      <c r="R127" s="3" t="str">
        <f t="shared" si="15"/>
        <v>25</v>
      </c>
      <c r="S127" s="1" t="s">
        <v>56</v>
      </c>
      <c r="T127" s="1">
        <v>1</v>
      </c>
      <c r="U127" s="1" t="s">
        <v>36</v>
      </c>
      <c r="V127" s="1" t="str">
        <f t="shared" si="16"/>
        <v>SRA-2-km-56p1-a-57p7-Area-2</v>
      </c>
      <c r="W127" s="1" t="str">
        <f t="shared" si="20"/>
        <v>SRA-2-km-56p1-a-57p7-Area-2</v>
      </c>
      <c r="X127" s="4" t="b">
        <f t="shared" si="17"/>
        <v>1</v>
      </c>
      <c r="Y127" s="1" t="str">
        <f>VLOOKUP(D127,'Orden de Imagen'!$A$1:D270,4,FALSE())</f>
        <v>097</v>
      </c>
      <c r="Z127" s="1" t="str">
        <f t="shared" si="18"/>
        <v>097_25_09_24_SRA-2-km-56p1-a-57p7-Area-2</v>
      </c>
    </row>
    <row r="128" spans="1:26" ht="15" customHeight="1" x14ac:dyDescent="0.25">
      <c r="A128" s="1">
        <v>129</v>
      </c>
      <c r="B128" s="1" t="s">
        <v>372</v>
      </c>
      <c r="C128" s="1" t="str">
        <f t="shared" si="21"/>
        <v>CL_MLP_PAO_IF_Ortho_25_09_24_SRA2-Km-57p7-a-59.tiff</v>
      </c>
      <c r="D128" s="1" t="str">
        <f t="shared" si="19"/>
        <v>CL_MLP_PAO_IF_Ortho_25_09_24_SRA2-Km-57p7-a-59</v>
      </c>
      <c r="E128" s="1" t="s">
        <v>373</v>
      </c>
      <c r="F128" s="1" t="s">
        <v>28</v>
      </c>
      <c r="G128" s="1" t="s">
        <v>29</v>
      </c>
      <c r="H128" s="16">
        <v>45924.166666666701</v>
      </c>
      <c r="I128" s="16">
        <v>45929</v>
      </c>
      <c r="J128" s="1" t="s">
        <v>30</v>
      </c>
      <c r="K128" s="2" t="str">
        <f t="shared" si="12"/>
        <v>https://sig.aminerals.cl/imgdyn/rest/services/CL_MLP_PAO/CL_MLP_PAO_IF_Ortho_ALL/ImageServer/file?id=.\Chacay_Drone\25_09_24\CL_MLP_PAO_IF_Ortho_25_09_24_SRA2-Km-57p7-a-59.tiff&amp;rasterId=</v>
      </c>
      <c r="L128" s="1" t="s">
        <v>31</v>
      </c>
      <c r="M128" s="1" t="s">
        <v>32</v>
      </c>
      <c r="N128" s="1" t="s">
        <v>33</v>
      </c>
      <c r="O128" s="1" t="s">
        <v>34</v>
      </c>
      <c r="P128" s="3" t="str">
        <f t="shared" si="13"/>
        <v>24</v>
      </c>
      <c r="Q128" s="3" t="str">
        <f t="shared" si="14"/>
        <v>09</v>
      </c>
      <c r="R128" s="3" t="str">
        <f t="shared" si="15"/>
        <v>25</v>
      </c>
      <c r="S128" s="1" t="s">
        <v>56</v>
      </c>
      <c r="T128" s="1">
        <v>1</v>
      </c>
      <c r="U128" s="1" t="s">
        <v>36</v>
      </c>
      <c r="V128" s="1" t="str">
        <f t="shared" si="16"/>
        <v>SRA2-Km-57p7-a-59</v>
      </c>
      <c r="W128" s="1" t="str">
        <f t="shared" si="20"/>
        <v>SRA2-Km-57p7-a-59</v>
      </c>
      <c r="X128" s="4" t="b">
        <f t="shared" si="17"/>
        <v>1</v>
      </c>
      <c r="Y128" s="1" t="str">
        <f>VLOOKUP(D128,'Orden de Imagen'!$A$1:D271,4,FALSE())</f>
        <v>098</v>
      </c>
      <c r="Z128" s="1" t="str">
        <f t="shared" si="18"/>
        <v>098_25_09_24_SRA2-Km-57p7-a-59</v>
      </c>
    </row>
    <row r="129" spans="1:26" ht="15" customHeight="1" x14ac:dyDescent="0.25">
      <c r="A129" s="1">
        <v>130</v>
      </c>
      <c r="B129" s="1" t="s">
        <v>374</v>
      </c>
      <c r="C129" s="1" t="str">
        <f t="shared" si="21"/>
        <v>CL_MLP_PAO_IF_Ortho_25_09_25_EM1.tiff</v>
      </c>
      <c r="D129" s="1" t="str">
        <f t="shared" si="19"/>
        <v>CL_MLP_PAO_IF_Ortho_25_09_25_EM1</v>
      </c>
      <c r="E129" s="1" t="s">
        <v>375</v>
      </c>
      <c r="F129" s="1" t="s">
        <v>28</v>
      </c>
      <c r="G129" s="1" t="s">
        <v>29</v>
      </c>
      <c r="H129" s="16">
        <v>45925.166666666701</v>
      </c>
      <c r="I129" s="16">
        <v>45931</v>
      </c>
      <c r="J129" s="1" t="s">
        <v>30</v>
      </c>
      <c r="K129" s="2" t="str">
        <f t="shared" si="12"/>
        <v>https://sig.aminerals.cl/imgdyn/rest/services/CL_MLP_PAO/CL_MLP_PAO_IF_Ortho_ALL/ImageServer/file?id=.\Chacay_Drone\25_09_25\CL_MLP_PAO_IF_Ortho_25_09_25_EM1.tiff&amp;rasterId=</v>
      </c>
      <c r="L129" s="1" t="s">
        <v>31</v>
      </c>
      <c r="M129" s="1" t="s">
        <v>32</v>
      </c>
      <c r="N129" s="1" t="s">
        <v>33</v>
      </c>
      <c r="O129" s="1" t="s">
        <v>34</v>
      </c>
      <c r="P129" s="3" t="str">
        <f t="shared" si="13"/>
        <v>25</v>
      </c>
      <c r="Q129" s="3" t="str">
        <f t="shared" si="14"/>
        <v>09</v>
      </c>
      <c r="R129" s="3" t="str">
        <f t="shared" si="15"/>
        <v>25</v>
      </c>
      <c r="S129" s="1" t="s">
        <v>56</v>
      </c>
      <c r="T129" s="1">
        <v>1</v>
      </c>
      <c r="U129" s="1" t="s">
        <v>36</v>
      </c>
      <c r="V129" s="1" t="str">
        <f t="shared" si="16"/>
        <v>EM1</v>
      </c>
      <c r="W129" s="1" t="str">
        <f t="shared" si="20"/>
        <v>EM1</v>
      </c>
      <c r="X129" s="4" t="b">
        <f t="shared" si="17"/>
        <v>1</v>
      </c>
      <c r="Y129" s="1" t="str">
        <f>VLOOKUP(D129,'Orden de Imagen'!$A$1:D272,4,FALSE())</f>
        <v>099</v>
      </c>
      <c r="Z129" s="1" t="str">
        <f t="shared" si="18"/>
        <v>099_25_09_25_EM1</v>
      </c>
    </row>
    <row r="130" spans="1:26" ht="15" customHeight="1" x14ac:dyDescent="0.25">
      <c r="A130" s="1">
        <v>131</v>
      </c>
      <c r="B130" s="1" t="s">
        <v>376</v>
      </c>
      <c r="C130" s="1" t="str">
        <f t="shared" si="21"/>
        <v>CL_MLP_PAO_IF_Ortho_25_09_25_EM1-EstacionChoapa3.tiff</v>
      </c>
      <c r="D130" s="1" t="str">
        <f t="shared" si="19"/>
        <v>CL_MLP_PAO_IF_Ortho_25_09_25_EM1-EstacionChoapa3</v>
      </c>
      <c r="E130" s="1" t="s">
        <v>377</v>
      </c>
      <c r="F130" s="1" t="s">
        <v>28</v>
      </c>
      <c r="G130" s="1" t="s">
        <v>29</v>
      </c>
      <c r="H130" s="16">
        <v>45925.166666666701</v>
      </c>
      <c r="I130" s="16">
        <v>45931</v>
      </c>
      <c r="J130" s="1" t="s">
        <v>30</v>
      </c>
      <c r="K130" s="2" t="str">
        <f t="shared" ref="K130:K193" si="22">CONCATENATE("https://sig.aminerals.cl/imgdyn/rest/services/CL_MLP_PAO/",U130,"/","ImageServer/file?id=.\",S130,"\",R130,"_",Q130,"_",P130,"\",C130,"&amp;rasterId=")</f>
        <v>https://sig.aminerals.cl/imgdyn/rest/services/CL_MLP_PAO/CL_MLP_PAO_IF_Ortho_ALL/ImageServer/file?id=.\Chacay_Drone\25_09_25\CL_MLP_PAO_IF_Ortho_25_09_25_EM1-EstacionChoapa3.tiff&amp;rasterId=</v>
      </c>
      <c r="L130" s="1" t="s">
        <v>31</v>
      </c>
      <c r="M130" s="1" t="s">
        <v>32</v>
      </c>
      <c r="N130" s="1" t="s">
        <v>33</v>
      </c>
      <c r="O130" s="1" t="s">
        <v>34</v>
      </c>
      <c r="P130" s="3" t="str">
        <f t="shared" ref="P130:P193" si="23">TEXT(H130,"dd")</f>
        <v>25</v>
      </c>
      <c r="Q130" s="3" t="str">
        <f t="shared" ref="Q130:Q193" si="24">TEXT(H130,"MM")</f>
        <v>09</v>
      </c>
      <c r="R130" s="3" t="str">
        <f t="shared" ref="R130:R193" si="25">TEXT(H130,"YY")</f>
        <v>25</v>
      </c>
      <c r="S130" s="1" t="s">
        <v>56</v>
      </c>
      <c r="T130" s="1">
        <v>1</v>
      </c>
      <c r="U130" s="1" t="s">
        <v>36</v>
      </c>
      <c r="V130" s="1" t="str">
        <f t="shared" ref="V130:V193" si="26">RIGHT(D130,LEN(D130)-29)</f>
        <v>EM1-EstacionChoapa3</v>
      </c>
      <c r="W130" s="1" t="str">
        <f t="shared" si="20"/>
        <v>EM1-EstacionChoapa3</v>
      </c>
      <c r="X130" s="4" t="b">
        <f t="shared" ref="X130:X193" si="27">V130=W130</f>
        <v>1</v>
      </c>
      <c r="Y130" s="1">
        <f>VLOOKUP(D130,'Orden de Imagen'!$A$1:D273,4,FALSE())</f>
        <v>100</v>
      </c>
      <c r="Z130" s="1" t="str">
        <f t="shared" ref="Z130:Z193" si="28">CONCATENATE(Y130,"_",R130,"_",Q130,"_",P130,"_",E130)</f>
        <v>100_25_09_25_EM1-EstacionChoapa3</v>
      </c>
    </row>
    <row r="131" spans="1:26" ht="15" customHeight="1" x14ac:dyDescent="0.25">
      <c r="A131" s="1">
        <v>132</v>
      </c>
      <c r="B131" s="1" t="s">
        <v>378</v>
      </c>
      <c r="C131" s="1" t="str">
        <f t="shared" si="21"/>
        <v>CL_MLP_PAO_IF_Ortho_25_09_25_NSTC-km-7p0-a-8p3.tiff</v>
      </c>
      <c r="D131" s="1" t="str">
        <f t="shared" si="19"/>
        <v>CL_MLP_PAO_IF_Ortho_25_09_25_NSTC-km-7p0-a-8p3</v>
      </c>
      <c r="E131" s="1" t="s">
        <v>379</v>
      </c>
      <c r="F131" s="1" t="s">
        <v>28</v>
      </c>
      <c r="G131" s="1" t="s">
        <v>29</v>
      </c>
      <c r="H131" s="16">
        <v>45925.166666666701</v>
      </c>
      <c r="I131" s="16">
        <v>45931</v>
      </c>
      <c r="J131" s="1" t="s">
        <v>30</v>
      </c>
      <c r="K131" s="2" t="str">
        <f t="shared" si="22"/>
        <v>https://sig.aminerals.cl/imgdyn/rest/services/CL_MLP_PAO/CL_MLP_PAO_IF_Ortho_ALL/ImageServer/file?id=.\Chacay_Drone\25_09_25\CL_MLP_PAO_IF_Ortho_25_09_25_NSTC-km-7p0-a-8p3.tiff&amp;rasterId=</v>
      </c>
      <c r="L131" s="1" t="s">
        <v>31</v>
      </c>
      <c r="M131" s="1" t="s">
        <v>32</v>
      </c>
      <c r="N131" s="1" t="s">
        <v>33</v>
      </c>
      <c r="O131" s="1" t="s">
        <v>34</v>
      </c>
      <c r="P131" s="3" t="str">
        <f t="shared" si="23"/>
        <v>25</v>
      </c>
      <c r="Q131" s="3" t="str">
        <f t="shared" si="24"/>
        <v>09</v>
      </c>
      <c r="R131" s="3" t="str">
        <f t="shared" si="25"/>
        <v>25</v>
      </c>
      <c r="S131" s="1" t="s">
        <v>56</v>
      </c>
      <c r="T131" s="1">
        <v>1</v>
      </c>
      <c r="U131" s="1" t="s">
        <v>36</v>
      </c>
      <c r="V131" s="1" t="str">
        <f t="shared" si="26"/>
        <v>NSTC-km-7p0-a-8p3</v>
      </c>
      <c r="W131" s="1" t="str">
        <f t="shared" si="20"/>
        <v>NSTC-km-7p0-a-8p3</v>
      </c>
      <c r="X131" s="4" t="b">
        <f t="shared" si="27"/>
        <v>1</v>
      </c>
      <c r="Y131" s="1">
        <f>VLOOKUP(D131,'Orden de Imagen'!$A$1:D274,4,FALSE())</f>
        <v>101</v>
      </c>
      <c r="Z131" s="1" t="str">
        <f t="shared" si="28"/>
        <v>101_25_09_25_NSTC-km-7p0-a-8p3</v>
      </c>
    </row>
    <row r="132" spans="1:26" ht="15" customHeight="1" x14ac:dyDescent="0.25">
      <c r="A132" s="1">
        <v>133</v>
      </c>
      <c r="B132" s="1" t="s">
        <v>380</v>
      </c>
      <c r="C132" s="1" t="str">
        <f t="shared" si="21"/>
        <v>CL_MLP_PAO_IF_Ortho_25_09_25_SRA-2-53p2-a-54p6.tiff</v>
      </c>
      <c r="D132" s="1" t="str">
        <f t="shared" si="19"/>
        <v>CL_MLP_PAO_IF_Ortho_25_09_25_SRA-2-53p2-a-54p6</v>
      </c>
      <c r="E132" s="1" t="s">
        <v>381</v>
      </c>
      <c r="F132" s="1" t="s">
        <v>28</v>
      </c>
      <c r="G132" s="1" t="s">
        <v>29</v>
      </c>
      <c r="H132" s="16">
        <v>45925.166666666701</v>
      </c>
      <c r="I132" s="16">
        <v>45931</v>
      </c>
      <c r="J132" s="1" t="s">
        <v>30</v>
      </c>
      <c r="K132" s="2" t="str">
        <f t="shared" si="22"/>
        <v>https://sig.aminerals.cl/imgdyn/rest/services/CL_MLP_PAO/CL_MLP_PAO_IF_Ortho_ALL/ImageServer/file?id=.\Chacay_Drone\25_09_25\CL_MLP_PAO_IF_Ortho_25_09_25_SRA-2-53p2-a-54p6.tiff&amp;rasterId=</v>
      </c>
      <c r="L132" s="1" t="s">
        <v>31</v>
      </c>
      <c r="M132" s="1" t="s">
        <v>32</v>
      </c>
      <c r="N132" s="1" t="s">
        <v>33</v>
      </c>
      <c r="O132" s="1" t="s">
        <v>34</v>
      </c>
      <c r="P132" s="3" t="str">
        <f t="shared" si="23"/>
        <v>25</v>
      </c>
      <c r="Q132" s="3" t="str">
        <f t="shared" si="24"/>
        <v>09</v>
      </c>
      <c r="R132" s="3" t="str">
        <f t="shared" si="25"/>
        <v>25</v>
      </c>
      <c r="S132" s="1" t="s">
        <v>56</v>
      </c>
      <c r="T132" s="1">
        <v>1</v>
      </c>
      <c r="U132" s="1" t="s">
        <v>36</v>
      </c>
      <c r="V132" s="1" t="str">
        <f t="shared" si="26"/>
        <v>SRA-2-53p2-a-54p6</v>
      </c>
      <c r="W132" s="1" t="str">
        <f t="shared" si="20"/>
        <v>SRA-2-53p2-a-54p6</v>
      </c>
      <c r="X132" s="4" t="b">
        <f t="shared" si="27"/>
        <v>1</v>
      </c>
      <c r="Y132" s="1">
        <f>VLOOKUP(D132,'Orden de Imagen'!$A$1:D275,4,FALSE())</f>
        <v>102</v>
      </c>
      <c r="Z132" s="1" t="str">
        <f t="shared" si="28"/>
        <v>102_25_09_25_SRA-2-53p2-a-54p6</v>
      </c>
    </row>
    <row r="133" spans="1:26" ht="15" customHeight="1" x14ac:dyDescent="0.25">
      <c r="A133" s="1">
        <v>134</v>
      </c>
      <c r="B133" s="1" t="s">
        <v>382</v>
      </c>
      <c r="C133" s="1" t="str">
        <f t="shared" si="21"/>
        <v>CL_MLP_PAO_IF_Ortho_25_10_01_NSTC_Km_87p1_a_88p7.tiff</v>
      </c>
      <c r="D133" s="1" t="str">
        <f t="shared" si="19"/>
        <v>CL_MLP_PAO_IF_Ortho_25_10_01_NSTC_Km_87p1_a_88p7</v>
      </c>
      <c r="E133" s="1" t="s">
        <v>383</v>
      </c>
      <c r="F133" s="1" t="s">
        <v>28</v>
      </c>
      <c r="G133" s="1" t="s">
        <v>29</v>
      </c>
      <c r="H133" s="16">
        <v>45931.166666666701</v>
      </c>
      <c r="I133" s="16">
        <v>45932</v>
      </c>
      <c r="J133" s="1" t="s">
        <v>30</v>
      </c>
      <c r="K133" s="2" t="str">
        <f t="shared" si="22"/>
        <v>https://sig.aminerals.cl/imgdyn/rest/services/CL_MLP_PAO/CL_MLP_PAO_IF_Ortho_ALL/ImageServer/file?id=.\El_Mauro_Puerto_Punta_Chungo_Drone\25_10_01\CL_MLP_PAO_IF_Ortho_25_10_01_NSTC_Km_87p1_a_88p7.tiff&amp;rasterId=</v>
      </c>
      <c r="L133" s="1" t="s">
        <v>31</v>
      </c>
      <c r="M133" s="1" t="s">
        <v>32</v>
      </c>
      <c r="N133" s="1" t="s">
        <v>33</v>
      </c>
      <c r="O133" s="1" t="s">
        <v>34</v>
      </c>
      <c r="P133" s="3" t="str">
        <f t="shared" si="23"/>
        <v>01</v>
      </c>
      <c r="Q133" s="3" t="str">
        <f t="shared" si="24"/>
        <v>10</v>
      </c>
      <c r="R133" s="3" t="str">
        <f t="shared" si="25"/>
        <v>25</v>
      </c>
      <c r="S133" s="1" t="s">
        <v>50</v>
      </c>
      <c r="T133" s="1">
        <v>1</v>
      </c>
      <c r="U133" s="1" t="s">
        <v>36</v>
      </c>
      <c r="V133" s="1" t="str">
        <f t="shared" si="26"/>
        <v>NSTC_Km_87p1_a_88p7</v>
      </c>
      <c r="W133" s="1" t="str">
        <f t="shared" si="20"/>
        <v>NSTC_Km_87p1_a_88p7</v>
      </c>
      <c r="X133" s="4" t="b">
        <f t="shared" si="27"/>
        <v>1</v>
      </c>
      <c r="Y133" s="1">
        <f>VLOOKUP(D133,'Orden de Imagen'!$A$1:D276,4,FALSE())</f>
        <v>103</v>
      </c>
      <c r="Z133" s="1" t="str">
        <f t="shared" si="28"/>
        <v>103_25_10_01_NSTC_Km_87p1_a_88p7</v>
      </c>
    </row>
    <row r="134" spans="1:26" ht="15" customHeight="1" x14ac:dyDescent="0.25">
      <c r="A134" s="1">
        <v>135</v>
      </c>
      <c r="B134" s="1" t="s">
        <v>384</v>
      </c>
      <c r="C134" s="1" t="str">
        <f t="shared" si="21"/>
        <v>CL_MLP_PAO_IF_Ortho_25_10_01_Pupio_I_sector_2_2.tiff</v>
      </c>
      <c r="D134" s="1" t="str">
        <f t="shared" si="19"/>
        <v>CL_MLP_PAO_IF_Ortho_25_10_01_Pupio_I_sector_2_2</v>
      </c>
      <c r="E134" s="1" t="s">
        <v>385</v>
      </c>
      <c r="F134" s="1" t="s">
        <v>28</v>
      </c>
      <c r="G134" s="1" t="s">
        <v>29</v>
      </c>
      <c r="H134" s="16">
        <v>45931.166666666701</v>
      </c>
      <c r="I134" s="16">
        <v>45932</v>
      </c>
      <c r="J134" s="1" t="s">
        <v>30</v>
      </c>
      <c r="K134" s="2" t="str">
        <f t="shared" si="22"/>
        <v>https://sig.aminerals.cl/imgdyn/rest/services/CL_MLP_PAO/CL_MLP_PAO_IF_Ortho_ALL/ImageServer/file?id=.\El_Mauro_Puerto_Punta_Chungo_Drone\25_10_01\CL_MLP_PAO_IF_Ortho_25_10_01_Pupio_I_sector_2_2.tiff&amp;rasterId=</v>
      </c>
      <c r="L134" s="1" t="s">
        <v>31</v>
      </c>
      <c r="M134" s="1" t="s">
        <v>32</v>
      </c>
      <c r="N134" s="1" t="s">
        <v>33</v>
      </c>
      <c r="O134" s="1" t="s">
        <v>34</v>
      </c>
      <c r="P134" s="3" t="str">
        <f t="shared" si="23"/>
        <v>01</v>
      </c>
      <c r="Q134" s="3" t="str">
        <f t="shared" si="24"/>
        <v>10</v>
      </c>
      <c r="R134" s="3" t="str">
        <f t="shared" si="25"/>
        <v>25</v>
      </c>
      <c r="S134" s="1" t="s">
        <v>50</v>
      </c>
      <c r="T134" s="1">
        <v>1</v>
      </c>
      <c r="U134" s="1" t="s">
        <v>36</v>
      </c>
      <c r="V134" s="1" t="str">
        <f t="shared" si="26"/>
        <v>Pupio_I_sector_2_2</v>
      </c>
      <c r="W134" s="1" t="str">
        <f t="shared" si="20"/>
        <v>Pupio_I_sector_2_2</v>
      </c>
      <c r="X134" s="4" t="b">
        <f t="shared" si="27"/>
        <v>1</v>
      </c>
      <c r="Y134" s="1">
        <f>VLOOKUP(D134,'Orden de Imagen'!$A$1:D277,4,FALSE())</f>
        <v>104</v>
      </c>
      <c r="Z134" s="1" t="str">
        <f t="shared" si="28"/>
        <v>104_25_10_01_Pupio_I_sector_2_2</v>
      </c>
    </row>
    <row r="135" spans="1:26" ht="15" customHeight="1" x14ac:dyDescent="0.25">
      <c r="A135" s="1">
        <v>136</v>
      </c>
      <c r="B135" s="1" t="s">
        <v>386</v>
      </c>
      <c r="C135" s="1" t="str">
        <f t="shared" si="21"/>
        <v>CL_MLP_PAO_IF_Ortho_25_10_02_NSTC_Km_91p5_a_92.tiff</v>
      </c>
      <c r="D135" s="1" t="str">
        <f t="shared" si="19"/>
        <v>CL_MLP_PAO_IF_Ortho_25_10_02_NSTC_Km_91p5_a_92</v>
      </c>
      <c r="E135" s="1" t="s">
        <v>387</v>
      </c>
      <c r="F135" s="1" t="s">
        <v>28</v>
      </c>
      <c r="G135" s="1" t="s">
        <v>29</v>
      </c>
      <c r="H135" s="16">
        <v>45932.166666666701</v>
      </c>
      <c r="I135" s="16">
        <v>45933</v>
      </c>
      <c r="J135" s="1" t="s">
        <v>30</v>
      </c>
      <c r="K135" s="2" t="str">
        <f t="shared" si="22"/>
        <v>https://sig.aminerals.cl/imgdyn/rest/services/CL_MLP_PAO/CL_MLP_PAO_IF_Ortho_ALL/ImageServer/file?id=.\El_Mauro_Puerto_Punta_Chungo_Drone\25_10_02\CL_MLP_PAO_IF_Ortho_25_10_02_NSTC_Km_91p5_a_92.tiff&amp;rasterId=</v>
      </c>
      <c r="L135" s="1" t="s">
        <v>31</v>
      </c>
      <c r="M135" s="1" t="s">
        <v>32</v>
      </c>
      <c r="N135" s="1" t="s">
        <v>33</v>
      </c>
      <c r="O135" s="1" t="s">
        <v>34</v>
      </c>
      <c r="P135" s="3" t="str">
        <f t="shared" si="23"/>
        <v>02</v>
      </c>
      <c r="Q135" s="3" t="str">
        <f t="shared" si="24"/>
        <v>10</v>
      </c>
      <c r="R135" s="3" t="str">
        <f t="shared" si="25"/>
        <v>25</v>
      </c>
      <c r="S135" s="1" t="s">
        <v>50</v>
      </c>
      <c r="T135" s="1">
        <v>1</v>
      </c>
      <c r="U135" s="1" t="s">
        <v>36</v>
      </c>
      <c r="V135" s="1" t="str">
        <f t="shared" si="26"/>
        <v>NSTC_Km_91p5_a_92</v>
      </c>
      <c r="W135" s="1" t="str">
        <f t="shared" si="20"/>
        <v>NSTC_Km_91p5_a_92</v>
      </c>
      <c r="X135" s="4" t="b">
        <f t="shared" si="27"/>
        <v>1</v>
      </c>
      <c r="Y135" s="1">
        <f>VLOOKUP(D135,'Orden de Imagen'!$A$1:D278,4,FALSE())</f>
        <v>105</v>
      </c>
      <c r="Z135" s="1" t="str">
        <f t="shared" si="28"/>
        <v>105_25_10_02_NSTC_Km_91p5_a_92</v>
      </c>
    </row>
    <row r="136" spans="1:26" ht="15" customHeight="1" x14ac:dyDescent="0.25">
      <c r="A136" s="1">
        <v>137</v>
      </c>
      <c r="B136" s="1" t="s">
        <v>388</v>
      </c>
      <c r="C136" s="1" t="str">
        <f t="shared" si="21"/>
        <v>CL_MLP_PAO_IF_Ortho_25_10_02_NSTC_Km_92_a_93.tiff</v>
      </c>
      <c r="D136" s="1" t="str">
        <f t="shared" si="19"/>
        <v>CL_MLP_PAO_IF_Ortho_25_10_02_NSTC_Km_92_a_93</v>
      </c>
      <c r="E136" s="1" t="s">
        <v>389</v>
      </c>
      <c r="F136" s="1" t="s">
        <v>28</v>
      </c>
      <c r="G136" s="1" t="s">
        <v>29</v>
      </c>
      <c r="H136" s="16">
        <v>45932.166666666701</v>
      </c>
      <c r="I136" s="16">
        <v>45933</v>
      </c>
      <c r="J136" s="1" t="s">
        <v>30</v>
      </c>
      <c r="K136" s="2" t="str">
        <f t="shared" si="22"/>
        <v>https://sig.aminerals.cl/imgdyn/rest/services/CL_MLP_PAO/CL_MLP_PAO_IF_Ortho_ALL/ImageServer/file?id=.\El_Mauro_Puerto_Punta_Chungo_Drone\25_10_02\CL_MLP_PAO_IF_Ortho_25_10_02_NSTC_Km_92_a_93.tiff&amp;rasterId=</v>
      </c>
      <c r="L136" s="1" t="s">
        <v>31</v>
      </c>
      <c r="M136" s="1" t="s">
        <v>32</v>
      </c>
      <c r="N136" s="1" t="s">
        <v>33</v>
      </c>
      <c r="O136" s="1" t="s">
        <v>34</v>
      </c>
      <c r="P136" s="3" t="str">
        <f t="shared" si="23"/>
        <v>02</v>
      </c>
      <c r="Q136" s="3" t="str">
        <f t="shared" si="24"/>
        <v>10</v>
      </c>
      <c r="R136" s="3" t="str">
        <f t="shared" si="25"/>
        <v>25</v>
      </c>
      <c r="S136" s="1" t="s">
        <v>50</v>
      </c>
      <c r="T136" s="1">
        <v>1</v>
      </c>
      <c r="U136" s="1" t="s">
        <v>36</v>
      </c>
      <c r="V136" s="1" t="str">
        <f t="shared" si="26"/>
        <v>NSTC_Km_92_a_93</v>
      </c>
      <c r="W136" s="1" t="str">
        <f t="shared" si="20"/>
        <v>NSTC_Km_92_a_93</v>
      </c>
      <c r="X136" s="4" t="b">
        <f t="shared" si="27"/>
        <v>1</v>
      </c>
      <c r="Y136" s="1">
        <f>VLOOKUP(D136,'Orden de Imagen'!$A$1:D279,4,FALSE())</f>
        <v>106</v>
      </c>
      <c r="Z136" s="1" t="str">
        <f t="shared" si="28"/>
        <v>106_25_10_02_NSTC_Km_92_a_93</v>
      </c>
    </row>
    <row r="137" spans="1:26" ht="15" customHeight="1" x14ac:dyDescent="0.25">
      <c r="A137" s="1">
        <v>138</v>
      </c>
      <c r="B137" s="1" t="s">
        <v>390</v>
      </c>
      <c r="C137" s="1" t="str">
        <f t="shared" si="21"/>
        <v>CL_MLP_PAO_IF_Ortho_25_10_02_NSTC_Km_93_a_94.tiff</v>
      </c>
      <c r="D137" s="1" t="str">
        <f t="shared" si="19"/>
        <v>CL_MLP_PAO_IF_Ortho_25_10_02_NSTC_Km_93_a_94</v>
      </c>
      <c r="E137" s="1" t="s">
        <v>391</v>
      </c>
      <c r="F137" s="1" t="s">
        <v>28</v>
      </c>
      <c r="G137" s="1" t="s">
        <v>29</v>
      </c>
      <c r="H137" s="16">
        <v>45932.166666666701</v>
      </c>
      <c r="I137" s="16">
        <v>45933</v>
      </c>
      <c r="J137" s="1" t="s">
        <v>30</v>
      </c>
      <c r="K137" s="2" t="str">
        <f t="shared" si="22"/>
        <v>https://sig.aminerals.cl/imgdyn/rest/services/CL_MLP_PAO/CL_MLP_PAO_IF_Ortho_ALL/ImageServer/file?id=.\El_Mauro_Puerto_Punta_Chungo_Drone\25_10_02\CL_MLP_PAO_IF_Ortho_25_10_02_NSTC_Km_93_a_94.tiff&amp;rasterId=</v>
      </c>
      <c r="L137" s="1" t="s">
        <v>31</v>
      </c>
      <c r="M137" s="1" t="s">
        <v>32</v>
      </c>
      <c r="N137" s="1" t="s">
        <v>33</v>
      </c>
      <c r="O137" s="1" t="s">
        <v>34</v>
      </c>
      <c r="P137" s="3" t="str">
        <f t="shared" si="23"/>
        <v>02</v>
      </c>
      <c r="Q137" s="3" t="str">
        <f t="shared" si="24"/>
        <v>10</v>
      </c>
      <c r="R137" s="3" t="str">
        <f t="shared" si="25"/>
        <v>25</v>
      </c>
      <c r="S137" s="1" t="s">
        <v>50</v>
      </c>
      <c r="T137" s="1">
        <v>1</v>
      </c>
      <c r="U137" s="1" t="s">
        <v>36</v>
      </c>
      <c r="V137" s="1" t="str">
        <f t="shared" si="26"/>
        <v>NSTC_Km_93_a_94</v>
      </c>
      <c r="W137" s="1" t="str">
        <f t="shared" si="20"/>
        <v>NSTC_Km_93_a_94</v>
      </c>
      <c r="X137" s="4" t="b">
        <f t="shared" si="27"/>
        <v>1</v>
      </c>
      <c r="Y137" s="1">
        <f>VLOOKUP(D137,'Orden de Imagen'!$A$1:D280,4,FALSE())</f>
        <v>107</v>
      </c>
      <c r="Z137" s="1" t="str">
        <f t="shared" si="28"/>
        <v>107_25_10_02_NSTC_Km_93_a_94</v>
      </c>
    </row>
    <row r="138" spans="1:26" ht="15" customHeight="1" x14ac:dyDescent="0.25">
      <c r="A138" s="1">
        <v>139</v>
      </c>
      <c r="B138" s="1" t="s">
        <v>392</v>
      </c>
      <c r="C138" s="1" t="str">
        <f t="shared" ref="C138:C172" si="29">CONCATENATE(L138,"_",M138,"_",G138,"_",N138,"_",O138,"_",R138,"_",Q138,"_",P138,"_",E138,".tiff")</f>
        <v>CL_MLP_PAO_IF_Ortho_25_10_02_NSTC_Km_94_a_95.tiff</v>
      </c>
      <c r="D138" s="1" t="str">
        <f t="shared" si="19"/>
        <v>CL_MLP_PAO_IF_Ortho_25_10_02_NSTC_Km_94_a_95</v>
      </c>
      <c r="E138" s="1" t="s">
        <v>393</v>
      </c>
      <c r="F138" s="1" t="s">
        <v>28</v>
      </c>
      <c r="G138" s="1" t="s">
        <v>29</v>
      </c>
      <c r="H138" s="16">
        <v>45932.166666666701</v>
      </c>
      <c r="I138" s="16">
        <v>45933</v>
      </c>
      <c r="J138" s="1" t="s">
        <v>30</v>
      </c>
      <c r="K138" s="2" t="str">
        <f t="shared" si="22"/>
        <v>https://sig.aminerals.cl/imgdyn/rest/services/CL_MLP_PAO/CL_MLP_PAO_IF_Ortho_ALL/ImageServer/file?id=.\El_Mauro_Puerto_Punta_Chungo_Drone\25_10_02\CL_MLP_PAO_IF_Ortho_25_10_02_NSTC_Km_94_a_95.tiff&amp;rasterId=</v>
      </c>
      <c r="L138" s="1" t="s">
        <v>31</v>
      </c>
      <c r="M138" s="1" t="s">
        <v>32</v>
      </c>
      <c r="N138" s="1" t="s">
        <v>33</v>
      </c>
      <c r="O138" s="1" t="s">
        <v>34</v>
      </c>
      <c r="P138" s="3" t="str">
        <f t="shared" si="23"/>
        <v>02</v>
      </c>
      <c r="Q138" s="3" t="str">
        <f t="shared" si="24"/>
        <v>10</v>
      </c>
      <c r="R138" s="3" t="str">
        <f t="shared" si="25"/>
        <v>25</v>
      </c>
      <c r="S138" s="1" t="s">
        <v>50</v>
      </c>
      <c r="T138" s="1">
        <v>1</v>
      </c>
      <c r="U138" s="1" t="s">
        <v>36</v>
      </c>
      <c r="V138" s="1" t="str">
        <f t="shared" si="26"/>
        <v>NSTC_Km_94_a_95</v>
      </c>
      <c r="W138" s="1" t="str">
        <f t="shared" si="20"/>
        <v>NSTC_Km_94_a_95</v>
      </c>
      <c r="X138" s="4" t="b">
        <f t="shared" si="27"/>
        <v>1</v>
      </c>
      <c r="Y138" s="1">
        <f>VLOOKUP(D138,'Orden de Imagen'!$A$1:D281,4,FALSE())</f>
        <v>108</v>
      </c>
      <c r="Z138" s="1" t="str">
        <f t="shared" si="28"/>
        <v>108_25_10_02_NSTC_Km_94_a_95</v>
      </c>
    </row>
    <row r="139" spans="1:26" ht="15" customHeight="1" x14ac:dyDescent="0.25">
      <c r="A139" s="1">
        <v>140</v>
      </c>
      <c r="B139" s="1" t="s">
        <v>394</v>
      </c>
      <c r="C139" s="1" t="str">
        <f t="shared" si="29"/>
        <v>CL_MLP_PAO_IF_Ortho_25_10_07_DME5A_DME17_a_NSTC_78p9.tiff</v>
      </c>
      <c r="D139" s="1" t="str">
        <f t="shared" si="19"/>
        <v>CL_MLP_PAO_IF_Ortho_25_10_07_DME5A_DME17_a_NSTC_78p9</v>
      </c>
      <c r="E139" s="1" t="s">
        <v>191</v>
      </c>
      <c r="F139" s="1" t="s">
        <v>28</v>
      </c>
      <c r="G139" s="1" t="s">
        <v>29</v>
      </c>
      <c r="H139" s="16">
        <v>45937.166666666701</v>
      </c>
      <c r="I139" s="16">
        <v>45938</v>
      </c>
      <c r="J139" s="1" t="s">
        <v>30</v>
      </c>
      <c r="K139" s="2" t="str">
        <f t="shared" si="22"/>
        <v>https://sig.aminerals.cl/imgdyn/rest/services/CL_MLP_PAO/CL_MLP_PAO_IF_Ortho_ALL/ImageServer/file?id=.\El_Mauro_Puerto_Punta_Chungo_Drone\25_10_07\CL_MLP_PAO_IF_Ortho_25_10_07_DME5A_DME17_a_NSTC_78p9.tiff&amp;rasterId=</v>
      </c>
      <c r="L139" s="1" t="s">
        <v>31</v>
      </c>
      <c r="M139" s="1" t="s">
        <v>32</v>
      </c>
      <c r="N139" s="1" t="s">
        <v>33</v>
      </c>
      <c r="O139" s="1" t="s">
        <v>34</v>
      </c>
      <c r="P139" s="3" t="str">
        <f t="shared" si="23"/>
        <v>07</v>
      </c>
      <c r="Q139" s="3" t="str">
        <f t="shared" si="24"/>
        <v>10</v>
      </c>
      <c r="R139" s="3" t="str">
        <f t="shared" si="25"/>
        <v>25</v>
      </c>
      <c r="S139" s="1" t="s">
        <v>50</v>
      </c>
      <c r="T139" s="1">
        <v>1</v>
      </c>
      <c r="U139" s="1" t="s">
        <v>36</v>
      </c>
      <c r="V139" s="1" t="str">
        <f t="shared" si="26"/>
        <v>DME5A_DME17_a_NSTC_78p9</v>
      </c>
      <c r="W139" s="1" t="str">
        <f t="shared" si="20"/>
        <v>DME5A_DME17_a_NSTC_78p9</v>
      </c>
      <c r="X139" s="4" t="b">
        <f t="shared" si="27"/>
        <v>1</v>
      </c>
      <c r="Y139" s="1">
        <f>VLOOKUP(D139,'Orden de Imagen'!$A$1:D282,4,FALSE())</f>
        <v>109</v>
      </c>
      <c r="Z139" s="1" t="str">
        <f t="shared" si="28"/>
        <v>109_25_10_07_DME5A_DME17_a_NSTC_78p9</v>
      </c>
    </row>
    <row r="140" spans="1:26" ht="15" customHeight="1" x14ac:dyDescent="0.25">
      <c r="A140" s="1">
        <v>141</v>
      </c>
      <c r="B140" s="1" t="s">
        <v>395</v>
      </c>
      <c r="C140" s="1" t="str">
        <f t="shared" si="29"/>
        <v>CL_MLP_PAO_IF_Ortho_25_10_07_DME5C_DME_16_a_NSTC_79p4.tiff</v>
      </c>
      <c r="D140" s="1" t="str">
        <f t="shared" si="19"/>
        <v>CL_MLP_PAO_IF_Ortho_25_10_07_DME5C_DME_16_a_NSTC_79p4</v>
      </c>
      <c r="E140" s="1" t="s">
        <v>331</v>
      </c>
      <c r="F140" s="1" t="s">
        <v>28</v>
      </c>
      <c r="G140" s="1" t="s">
        <v>29</v>
      </c>
      <c r="H140" s="16">
        <v>45937.166666666701</v>
      </c>
      <c r="I140" s="16">
        <v>45938</v>
      </c>
      <c r="J140" s="1" t="s">
        <v>30</v>
      </c>
      <c r="K140" s="2" t="str">
        <f t="shared" si="22"/>
        <v>https://sig.aminerals.cl/imgdyn/rest/services/CL_MLP_PAO/CL_MLP_PAO_IF_Ortho_ALL/ImageServer/file?id=.\El_Mauro_Puerto_Punta_Chungo_Drone\25_10_07\CL_MLP_PAO_IF_Ortho_25_10_07_DME5C_DME_16_a_NSTC_79p4.tiff&amp;rasterId=</v>
      </c>
      <c r="L140" s="1" t="s">
        <v>31</v>
      </c>
      <c r="M140" s="1" t="s">
        <v>32</v>
      </c>
      <c r="N140" s="1" t="s">
        <v>33</v>
      </c>
      <c r="O140" s="1" t="s">
        <v>34</v>
      </c>
      <c r="P140" s="3" t="str">
        <f t="shared" si="23"/>
        <v>07</v>
      </c>
      <c r="Q140" s="3" t="str">
        <f t="shared" si="24"/>
        <v>10</v>
      </c>
      <c r="R140" s="3" t="str">
        <f t="shared" si="25"/>
        <v>25</v>
      </c>
      <c r="S140" s="1" t="s">
        <v>50</v>
      </c>
      <c r="T140" s="1">
        <v>1</v>
      </c>
      <c r="U140" s="1" t="s">
        <v>36</v>
      </c>
      <c r="V140" s="1" t="str">
        <f t="shared" si="26"/>
        <v>DME5C_DME_16_a_NSTC_79p4</v>
      </c>
      <c r="W140" s="1" t="str">
        <f t="shared" si="20"/>
        <v>DME5C_DME_16_a_NSTC_79p4</v>
      </c>
      <c r="X140" s="4" t="b">
        <f t="shared" si="27"/>
        <v>1</v>
      </c>
      <c r="Y140" s="1">
        <f>VLOOKUP(D140,'Orden de Imagen'!$A$1:D283,4,FALSE())</f>
        <v>110</v>
      </c>
      <c r="Z140" s="1" t="str">
        <f t="shared" si="28"/>
        <v>110_25_10_07_DME5C_DME_16_a_NSTC_79p4</v>
      </c>
    </row>
    <row r="141" spans="1:26" ht="15" customHeight="1" x14ac:dyDescent="0.25">
      <c r="A141" s="1">
        <v>142</v>
      </c>
      <c r="B141" s="1" t="s">
        <v>396</v>
      </c>
      <c r="C141" s="1" t="str">
        <f t="shared" si="29"/>
        <v>CL_MLP_PAO_IF_Ortho_25_10_08_ElMauro_E7_E9.tiff</v>
      </c>
      <c r="D141" s="1" t="str">
        <f t="shared" si="19"/>
        <v>CL_MLP_PAO_IF_Ortho_25_10_08_ElMauro_E7_E9</v>
      </c>
      <c r="E141" s="1" t="s">
        <v>397</v>
      </c>
      <c r="F141" s="1" t="s">
        <v>28</v>
      </c>
      <c r="G141" s="1" t="s">
        <v>29</v>
      </c>
      <c r="H141" s="16">
        <v>45938.166666666701</v>
      </c>
      <c r="I141" s="16">
        <v>45940</v>
      </c>
      <c r="J141" s="1" t="s">
        <v>30</v>
      </c>
      <c r="K141" s="2" t="str">
        <f t="shared" si="22"/>
        <v>https://sig.aminerals.cl/imgdyn/rest/services/CL_MLP_PAO/CL_MLP_PAO_IF_Ortho_ALL/ImageServer/file?id=.\El_Mauro_Drone\25_10_08\CL_MLP_PAO_IF_Ortho_25_10_08_ElMauro_E7_E9.tiff&amp;rasterId=</v>
      </c>
      <c r="L141" s="1" t="s">
        <v>31</v>
      </c>
      <c r="M141" s="1" t="s">
        <v>32</v>
      </c>
      <c r="N141" s="1" t="s">
        <v>33</v>
      </c>
      <c r="O141" s="1" t="s">
        <v>34</v>
      </c>
      <c r="P141" s="3" t="str">
        <f t="shared" si="23"/>
        <v>08</v>
      </c>
      <c r="Q141" s="3" t="str">
        <f t="shared" si="24"/>
        <v>10</v>
      </c>
      <c r="R141" s="3" t="str">
        <f t="shared" si="25"/>
        <v>25</v>
      </c>
      <c r="S141" s="1" t="s">
        <v>87</v>
      </c>
      <c r="T141" s="1">
        <v>1</v>
      </c>
      <c r="U141" s="1" t="s">
        <v>36</v>
      </c>
      <c r="V141" s="1" t="str">
        <f t="shared" si="26"/>
        <v>ElMauro_E7_E9</v>
      </c>
      <c r="W141" s="1" t="str">
        <f t="shared" si="20"/>
        <v>ElMauro_E7_E9</v>
      </c>
      <c r="X141" s="4" t="b">
        <f t="shared" si="27"/>
        <v>1</v>
      </c>
      <c r="Y141" s="1">
        <f>VLOOKUP(D141,'Orden de Imagen'!$A$1:D284,4,FALSE())</f>
        <v>111</v>
      </c>
      <c r="Z141" s="1" t="str">
        <f t="shared" si="28"/>
        <v>111_25_10_08_ElMauro_E7_E9</v>
      </c>
    </row>
    <row r="142" spans="1:26" ht="15" customHeight="1" x14ac:dyDescent="0.25">
      <c r="A142" s="1">
        <v>143</v>
      </c>
      <c r="B142" s="1" t="s">
        <v>398</v>
      </c>
      <c r="C142" s="1" t="str">
        <f t="shared" si="29"/>
        <v>CL_MLP_PAO_IF_Ortho_25_10_09_ElMauro_E7_E8.tiff</v>
      </c>
      <c r="D142" s="1" t="str">
        <f t="shared" si="19"/>
        <v>CL_MLP_PAO_IF_Ortho_25_10_09_ElMauro_E7_E8</v>
      </c>
      <c r="E142" s="1" t="s">
        <v>399</v>
      </c>
      <c r="F142" s="1" t="s">
        <v>28</v>
      </c>
      <c r="G142" s="1" t="s">
        <v>29</v>
      </c>
      <c r="H142" s="16">
        <v>45939.166666666701</v>
      </c>
      <c r="I142" s="16">
        <v>45940</v>
      </c>
      <c r="J142" s="1" t="s">
        <v>30</v>
      </c>
      <c r="K142" s="2" t="str">
        <f t="shared" si="22"/>
        <v>https://sig.aminerals.cl/imgdyn/rest/services/CL_MLP_PAO/CL_MLP_PAO_IF_Ortho_ALL/ImageServer/file?id=.\El_Mauro_Drone\25_10_09\CL_MLP_PAO_IF_Ortho_25_10_09_ElMauro_E7_E8.tiff&amp;rasterId=</v>
      </c>
      <c r="L142" s="1" t="s">
        <v>31</v>
      </c>
      <c r="M142" s="1" t="s">
        <v>32</v>
      </c>
      <c r="N142" s="1" t="s">
        <v>33</v>
      </c>
      <c r="O142" s="1" t="s">
        <v>34</v>
      </c>
      <c r="P142" s="3" t="str">
        <f t="shared" si="23"/>
        <v>09</v>
      </c>
      <c r="Q142" s="3" t="str">
        <f t="shared" si="24"/>
        <v>10</v>
      </c>
      <c r="R142" s="3" t="str">
        <f t="shared" si="25"/>
        <v>25</v>
      </c>
      <c r="S142" s="1" t="s">
        <v>87</v>
      </c>
      <c r="T142" s="1">
        <v>1</v>
      </c>
      <c r="U142" s="1" t="s">
        <v>36</v>
      </c>
      <c r="V142" s="1" t="str">
        <f t="shared" si="26"/>
        <v>ElMauro_E7_E8</v>
      </c>
      <c r="W142" s="1" t="str">
        <f t="shared" si="20"/>
        <v>ElMauro_E7_E8</v>
      </c>
      <c r="X142" s="4" t="b">
        <f t="shared" si="27"/>
        <v>1</v>
      </c>
      <c r="Y142" s="1">
        <f>VLOOKUP(D142,'Orden de Imagen'!$A$1:D285,4,FALSE())</f>
        <v>112</v>
      </c>
      <c r="Z142" s="1" t="str">
        <f t="shared" si="28"/>
        <v>112_25_10_09_ElMauro_E7_E8</v>
      </c>
    </row>
    <row r="143" spans="1:26" ht="15" customHeight="1" x14ac:dyDescent="0.25">
      <c r="A143" s="1">
        <v>144</v>
      </c>
      <c r="B143" s="1" t="s">
        <v>400</v>
      </c>
      <c r="C143" s="1" t="str">
        <f t="shared" si="29"/>
        <v>CL_MLP_PAO_IF_Ortho_25_10_15_DME_13.tiff</v>
      </c>
      <c r="D143" s="1" t="str">
        <f t="shared" ref="D143:D206" si="30">CONCATENATE(L143,"_",M143,"_",G143,"_",N143,"_",O143,"_",R143,"_",Q143,"_",P143,"_",E143)</f>
        <v>CL_MLP_PAO_IF_Ortho_25_10_15_DME_13</v>
      </c>
      <c r="E143" s="1" t="s">
        <v>401</v>
      </c>
      <c r="F143" s="1" t="s">
        <v>28</v>
      </c>
      <c r="G143" s="1" t="s">
        <v>29</v>
      </c>
      <c r="H143" s="16">
        <v>45945.166666666701</v>
      </c>
      <c r="I143" s="16">
        <v>45947</v>
      </c>
      <c r="J143" s="1" t="s">
        <v>30</v>
      </c>
      <c r="K143" s="2" t="str">
        <f t="shared" si="22"/>
        <v>https://sig.aminerals.cl/imgdyn/rest/services/CL_MLP_PAO/CL_MLP_PAO_IF_Ortho_ALL/ImageServer/file?id=.\Chacay_El_Mauro_Drone\25_10_15\CL_MLP_PAO_IF_Ortho_25_10_15_DME_13.tiff&amp;rasterId=</v>
      </c>
      <c r="L143" s="1" t="s">
        <v>31</v>
      </c>
      <c r="M143" s="1" t="s">
        <v>32</v>
      </c>
      <c r="N143" s="1" t="s">
        <v>33</v>
      </c>
      <c r="O143" s="1" t="s">
        <v>34</v>
      </c>
      <c r="P143" s="3" t="str">
        <f t="shared" si="23"/>
        <v>15</v>
      </c>
      <c r="Q143" s="3" t="str">
        <f t="shared" si="24"/>
        <v>10</v>
      </c>
      <c r="R143" s="3" t="str">
        <f t="shared" si="25"/>
        <v>25</v>
      </c>
      <c r="S143" s="1" t="s">
        <v>40</v>
      </c>
      <c r="T143" s="1">
        <v>1</v>
      </c>
      <c r="U143" s="1" t="s">
        <v>36</v>
      </c>
      <c r="V143" s="1" t="str">
        <f t="shared" si="26"/>
        <v>DME_13</v>
      </c>
      <c r="W143" s="1" t="str">
        <f t="shared" si="20"/>
        <v>DME_13</v>
      </c>
      <c r="X143" s="4" t="b">
        <f t="shared" si="27"/>
        <v>1</v>
      </c>
      <c r="Y143" s="1">
        <f>VLOOKUP(D143,'Orden de Imagen'!$A$1:D286,4,FALSE())</f>
        <v>113</v>
      </c>
      <c r="Z143" s="1" t="str">
        <f t="shared" si="28"/>
        <v>113_25_10_15_DME_13</v>
      </c>
    </row>
    <row r="144" spans="1:26" ht="15" customHeight="1" x14ac:dyDescent="0.25">
      <c r="A144" s="1">
        <v>145</v>
      </c>
      <c r="B144" s="1" t="s">
        <v>402</v>
      </c>
      <c r="C144" s="1" t="str">
        <f t="shared" si="29"/>
        <v>CL_MLP_PAO_IF_Ortho_25_10_16_NSTC_Km_100_a_101.tiff</v>
      </c>
      <c r="D144" s="1" t="str">
        <f t="shared" si="30"/>
        <v>CL_MLP_PAO_IF_Ortho_25_10_16_NSTC_Km_100_a_101</v>
      </c>
      <c r="E144" s="1" t="s">
        <v>267</v>
      </c>
      <c r="F144" s="1" t="s">
        <v>28</v>
      </c>
      <c r="G144" s="1" t="s">
        <v>29</v>
      </c>
      <c r="H144" s="16">
        <v>45946.166666666701</v>
      </c>
      <c r="I144" s="16">
        <v>45947</v>
      </c>
      <c r="J144" s="1" t="s">
        <v>30</v>
      </c>
      <c r="K144" s="2" t="str">
        <f t="shared" si="22"/>
        <v>https://sig.aminerals.cl/imgdyn/rest/services/CL_MLP_PAO/CL_MLP_PAO_IF_Ortho_ALL/ImageServer/file?id=.\El_Mauro_Puerto_Punta_Chungo_Drone\25_10_16\CL_MLP_PAO_IF_Ortho_25_10_16_NSTC_Km_100_a_101.tiff&amp;rasterId=</v>
      </c>
      <c r="L144" s="1" t="s">
        <v>31</v>
      </c>
      <c r="M144" s="1" t="s">
        <v>32</v>
      </c>
      <c r="N144" s="1" t="s">
        <v>33</v>
      </c>
      <c r="O144" s="1" t="s">
        <v>34</v>
      </c>
      <c r="P144" s="3" t="str">
        <f t="shared" si="23"/>
        <v>16</v>
      </c>
      <c r="Q144" s="3" t="str">
        <f t="shared" si="24"/>
        <v>10</v>
      </c>
      <c r="R144" s="3" t="str">
        <f t="shared" si="25"/>
        <v>25</v>
      </c>
      <c r="S144" s="1" t="s">
        <v>50</v>
      </c>
      <c r="T144" s="1">
        <v>1</v>
      </c>
      <c r="U144" s="1" t="s">
        <v>36</v>
      </c>
      <c r="V144" s="1" t="str">
        <f t="shared" si="26"/>
        <v>NSTC_Km_100_a_101</v>
      </c>
      <c r="W144" s="1" t="str">
        <f t="shared" si="20"/>
        <v>NSTC_Km_100_a_101</v>
      </c>
      <c r="X144" s="4" t="b">
        <f t="shared" si="27"/>
        <v>1</v>
      </c>
      <c r="Y144" s="1">
        <f>VLOOKUP(D144,'Orden de Imagen'!$A$1:D287,4,FALSE())</f>
        <v>114</v>
      </c>
      <c r="Z144" s="1" t="str">
        <f t="shared" si="28"/>
        <v>114_25_10_16_NSTC_Km_100_a_101</v>
      </c>
    </row>
    <row r="145" spans="1:26" ht="15" customHeight="1" x14ac:dyDescent="0.25">
      <c r="A145" s="1">
        <v>146</v>
      </c>
      <c r="B145" s="1" t="s">
        <v>403</v>
      </c>
      <c r="C145" s="1" t="str">
        <f t="shared" si="29"/>
        <v>CL_MLP_PAO_IF_Ortho_25_10_16_Oreja_17_NSTC_103p7_a_104p9.tiff</v>
      </c>
      <c r="D145" s="1" t="str">
        <f t="shared" si="30"/>
        <v>CL_MLP_PAO_IF_Ortho_25_10_16_Oreja_17_NSTC_103p7_a_104p9</v>
      </c>
      <c r="E145" s="1" t="s">
        <v>404</v>
      </c>
      <c r="F145" s="1" t="s">
        <v>28</v>
      </c>
      <c r="G145" s="1" t="s">
        <v>29</v>
      </c>
      <c r="H145" s="16">
        <v>45946.166666666701</v>
      </c>
      <c r="I145" s="16">
        <v>45947</v>
      </c>
      <c r="J145" s="1" t="s">
        <v>30</v>
      </c>
      <c r="K145" s="2" t="str">
        <f t="shared" si="22"/>
        <v>https://sig.aminerals.cl/imgdyn/rest/services/CL_MLP_PAO/CL_MLP_PAO_IF_Ortho_ALL/ImageServer/file?id=.\El_Mauro_Puerto_Punta_Chungo_Drone\25_10_16\CL_MLP_PAO_IF_Ortho_25_10_16_Oreja_17_NSTC_103p7_a_104p9.tiff&amp;rasterId=</v>
      </c>
      <c r="L145" s="1" t="s">
        <v>31</v>
      </c>
      <c r="M145" s="1" t="s">
        <v>32</v>
      </c>
      <c r="N145" s="1" t="s">
        <v>33</v>
      </c>
      <c r="O145" s="1" t="s">
        <v>34</v>
      </c>
      <c r="P145" s="3" t="str">
        <f t="shared" si="23"/>
        <v>16</v>
      </c>
      <c r="Q145" s="3" t="str">
        <f t="shared" si="24"/>
        <v>10</v>
      </c>
      <c r="R145" s="3" t="str">
        <f t="shared" si="25"/>
        <v>25</v>
      </c>
      <c r="S145" s="1" t="s">
        <v>50</v>
      </c>
      <c r="T145" s="1">
        <v>1</v>
      </c>
      <c r="U145" s="1" t="s">
        <v>36</v>
      </c>
      <c r="V145" s="1" t="str">
        <f t="shared" si="26"/>
        <v>Oreja_17_NSTC_103p7_a_104p9</v>
      </c>
      <c r="W145" s="1" t="str">
        <f t="shared" si="20"/>
        <v>Oreja_17_NSTC_103p7_a_104p9</v>
      </c>
      <c r="X145" s="4" t="b">
        <f t="shared" si="27"/>
        <v>1</v>
      </c>
      <c r="Y145" s="1">
        <f>VLOOKUP(D145,'Orden de Imagen'!$A$1:D288,4,FALSE())</f>
        <v>115</v>
      </c>
      <c r="Z145" s="1" t="str">
        <f t="shared" si="28"/>
        <v>115_25_10_16_Oreja_17_NSTC_103p7_a_104p9</v>
      </c>
    </row>
    <row r="146" spans="1:26" ht="15" customHeight="1" x14ac:dyDescent="0.25">
      <c r="A146" s="1">
        <v>147</v>
      </c>
      <c r="B146" s="1" t="s">
        <v>405</v>
      </c>
      <c r="C146" s="1" t="str">
        <f t="shared" si="29"/>
        <v>CL_MLP_PAO_IF_Ortho_25_10_16_Oreja_18_NSTC_104p9_a_105p6.tiff</v>
      </c>
      <c r="D146" s="1" t="str">
        <f t="shared" si="30"/>
        <v>CL_MLP_PAO_IF_Ortho_25_10_16_Oreja_18_NSTC_104p9_a_105p6</v>
      </c>
      <c r="E146" s="1" t="s">
        <v>406</v>
      </c>
      <c r="F146" s="1" t="s">
        <v>28</v>
      </c>
      <c r="G146" s="1" t="s">
        <v>29</v>
      </c>
      <c r="H146" s="16">
        <v>45946.166666666701</v>
      </c>
      <c r="I146" s="16">
        <v>45947</v>
      </c>
      <c r="J146" s="1" t="s">
        <v>30</v>
      </c>
      <c r="K146" s="2" t="str">
        <f t="shared" si="22"/>
        <v>https://sig.aminerals.cl/imgdyn/rest/services/CL_MLP_PAO/CL_MLP_PAO_IF_Ortho_ALL/ImageServer/file?id=.\El_Mauro_Puerto_Punta_Chungo_Drone\25_10_16\CL_MLP_PAO_IF_Ortho_25_10_16_Oreja_18_NSTC_104p9_a_105p6.tiff&amp;rasterId=</v>
      </c>
      <c r="L146" s="1" t="s">
        <v>31</v>
      </c>
      <c r="M146" s="1" t="s">
        <v>32</v>
      </c>
      <c r="N146" s="1" t="s">
        <v>33</v>
      </c>
      <c r="O146" s="1" t="s">
        <v>34</v>
      </c>
      <c r="P146" s="3" t="str">
        <f t="shared" si="23"/>
        <v>16</v>
      </c>
      <c r="Q146" s="3" t="str">
        <f t="shared" si="24"/>
        <v>10</v>
      </c>
      <c r="R146" s="3" t="str">
        <f t="shared" si="25"/>
        <v>25</v>
      </c>
      <c r="S146" s="1" t="s">
        <v>50</v>
      </c>
      <c r="T146" s="1">
        <v>1</v>
      </c>
      <c r="U146" s="1" t="s">
        <v>36</v>
      </c>
      <c r="V146" s="1" t="str">
        <f t="shared" si="26"/>
        <v>Oreja_18_NSTC_104p9_a_105p6</v>
      </c>
      <c r="W146" s="1" t="str">
        <f t="shared" si="20"/>
        <v>Oreja_18_NSTC_104p9_a_105p6</v>
      </c>
      <c r="X146" s="4" t="b">
        <f t="shared" si="27"/>
        <v>1</v>
      </c>
      <c r="Y146" s="1">
        <f>VLOOKUP(D146,'Orden de Imagen'!$A$1:D289,4,FALSE())</f>
        <v>116</v>
      </c>
      <c r="Z146" s="1" t="str">
        <f t="shared" si="28"/>
        <v>116_25_10_16_Oreja_18_NSTC_104p9_a_105p6</v>
      </c>
    </row>
    <row r="147" spans="1:26" ht="15" customHeight="1" x14ac:dyDescent="0.25">
      <c r="A147" s="1">
        <v>148</v>
      </c>
      <c r="B147" s="1" t="s">
        <v>407</v>
      </c>
      <c r="C147" s="1" t="str">
        <f t="shared" si="29"/>
        <v>CL_MLP_PAO_IF_Ortho_25_10_21_NSTC_km_4p4_a_7p0.tiff</v>
      </c>
      <c r="D147" s="1" t="str">
        <f t="shared" si="30"/>
        <v>CL_MLP_PAO_IF_Ortho_25_10_21_NSTC_km_4p4_a_7p0</v>
      </c>
      <c r="E147" s="1" t="s">
        <v>408</v>
      </c>
      <c r="F147" s="1" t="s">
        <v>28</v>
      </c>
      <c r="G147" s="1" t="s">
        <v>29</v>
      </c>
      <c r="H147" s="16">
        <v>45951.166666666701</v>
      </c>
      <c r="I147" s="16">
        <v>45953</v>
      </c>
      <c r="J147" s="1" t="s">
        <v>30</v>
      </c>
      <c r="K147" s="2" t="str">
        <f t="shared" si="22"/>
        <v>https://sig.aminerals.cl/imgdyn/rest/services/CL_MLP_PAO/CL_MLP_PAO_IF_Ortho_ALL/ImageServer/file?id=.\Chacay_Drone\25_10_21\CL_MLP_PAO_IF_Ortho_25_10_21_NSTC_km_4p4_a_7p0.tiff&amp;rasterId=</v>
      </c>
      <c r="L147" s="1" t="s">
        <v>31</v>
      </c>
      <c r="M147" s="1" t="s">
        <v>32</v>
      </c>
      <c r="N147" s="1" t="s">
        <v>33</v>
      </c>
      <c r="O147" s="1" t="s">
        <v>34</v>
      </c>
      <c r="P147" s="3" t="str">
        <f t="shared" si="23"/>
        <v>21</v>
      </c>
      <c r="Q147" s="3" t="str">
        <f t="shared" si="24"/>
        <v>10</v>
      </c>
      <c r="R147" s="3" t="str">
        <f t="shared" si="25"/>
        <v>25</v>
      </c>
      <c r="S147" s="1" t="s">
        <v>56</v>
      </c>
      <c r="T147" s="1">
        <v>1</v>
      </c>
      <c r="U147" s="1" t="s">
        <v>36</v>
      </c>
      <c r="V147" s="1" t="str">
        <f t="shared" si="26"/>
        <v>NSTC_km_4p4_a_7p0</v>
      </c>
      <c r="W147" s="1" t="str">
        <f t="shared" si="20"/>
        <v>NSTC_km_4p4_a_7p0</v>
      </c>
      <c r="X147" s="4" t="b">
        <f t="shared" si="27"/>
        <v>1</v>
      </c>
      <c r="Y147" s="1">
        <f>VLOOKUP(D147,'Orden de Imagen'!$A$1:D290,4,FALSE())</f>
        <v>117</v>
      </c>
      <c r="Z147" s="1" t="str">
        <f t="shared" si="28"/>
        <v>117_25_10_21_NSTC_km_4p4_a_7p0</v>
      </c>
    </row>
    <row r="148" spans="1:26" ht="15" customHeight="1" x14ac:dyDescent="0.25">
      <c r="A148" s="1">
        <v>149</v>
      </c>
      <c r="B148" s="1" t="s">
        <v>409</v>
      </c>
      <c r="C148" s="1" t="str">
        <f t="shared" si="29"/>
        <v>CL_MLP_PAO_IF_Ortho_25_10_21_SRA_2_km_54p6_a_56p1_Area-1.tiff</v>
      </c>
      <c r="D148" s="1" t="str">
        <f t="shared" si="30"/>
        <v>CL_MLP_PAO_IF_Ortho_25_10_21_SRA_2_km_54p6_a_56p1_Area-1</v>
      </c>
      <c r="E148" s="1" t="s">
        <v>410</v>
      </c>
      <c r="F148" s="1" t="s">
        <v>28</v>
      </c>
      <c r="G148" s="1" t="s">
        <v>29</v>
      </c>
      <c r="H148" s="16">
        <v>45951.166666666701</v>
      </c>
      <c r="I148" s="16">
        <v>45953</v>
      </c>
      <c r="J148" s="1" t="s">
        <v>30</v>
      </c>
      <c r="K148" s="2" t="str">
        <f t="shared" si="22"/>
        <v>https://sig.aminerals.cl/imgdyn/rest/services/CL_MLP_PAO/CL_MLP_PAO_IF_Ortho_ALL/ImageServer/file?id=.\Chacay_Drone\25_10_21\CL_MLP_PAO_IF_Ortho_25_10_21_SRA_2_km_54p6_a_56p1_Area-1.tiff&amp;rasterId=</v>
      </c>
      <c r="L148" s="1" t="s">
        <v>31</v>
      </c>
      <c r="M148" s="1" t="s">
        <v>32</v>
      </c>
      <c r="N148" s="1" t="s">
        <v>33</v>
      </c>
      <c r="O148" s="1" t="s">
        <v>34</v>
      </c>
      <c r="P148" s="3" t="str">
        <f t="shared" si="23"/>
        <v>21</v>
      </c>
      <c r="Q148" s="3" t="str">
        <f t="shared" si="24"/>
        <v>10</v>
      </c>
      <c r="R148" s="3" t="str">
        <f t="shared" si="25"/>
        <v>25</v>
      </c>
      <c r="S148" s="1" t="s">
        <v>56</v>
      </c>
      <c r="T148" s="1">
        <v>1</v>
      </c>
      <c r="U148" s="1" t="s">
        <v>36</v>
      </c>
      <c r="V148" s="1" t="str">
        <f t="shared" si="26"/>
        <v>SRA_2_km_54p6_a_56p1_Area-1</v>
      </c>
      <c r="W148" s="1" t="str">
        <f t="shared" si="20"/>
        <v>SRA_2_km_54p6_a_56p1_Area-1</v>
      </c>
      <c r="X148" s="4" t="b">
        <f t="shared" si="27"/>
        <v>1</v>
      </c>
      <c r="Y148" s="1">
        <f>VLOOKUP(D148,'Orden de Imagen'!$A$1:D291,4,FALSE())</f>
        <v>118</v>
      </c>
      <c r="Z148" s="1" t="str">
        <f t="shared" si="28"/>
        <v>118_25_10_21_SRA_2_km_54p6_a_56p1_Area-1</v>
      </c>
    </row>
    <row r="149" spans="1:26" ht="15" customHeight="1" x14ac:dyDescent="0.25">
      <c r="A149" s="1">
        <v>150</v>
      </c>
      <c r="B149" s="1" t="s">
        <v>411</v>
      </c>
      <c r="C149" s="1" t="str">
        <f t="shared" si="29"/>
        <v>CL_MLP_PAO_IF_Ortho_25_11_11_CanalAraya_NSTC_Km_17_a_18.tiff</v>
      </c>
      <c r="D149" s="1" t="str">
        <f t="shared" si="30"/>
        <v>CL_MLP_PAO_IF_Ortho_25_11_11_CanalAraya_NSTC_Km_17_a_18</v>
      </c>
      <c r="E149" s="1" t="s">
        <v>412</v>
      </c>
      <c r="F149" s="1" t="s">
        <v>28</v>
      </c>
      <c r="G149" s="1" t="s">
        <v>29</v>
      </c>
      <c r="H149" s="16">
        <v>45972.166666666701</v>
      </c>
      <c r="I149" s="16">
        <v>45973</v>
      </c>
      <c r="J149" s="1" t="s">
        <v>30</v>
      </c>
      <c r="K149" s="2" t="str">
        <f t="shared" si="22"/>
        <v>https://sig.aminerals.cl/imgdyn/rest/services/CL_MLP_PAO/CL_MLP_PAO_IF_Ortho_ALL/ImageServer/file?id=.\Chacay_El_Mauro_Drone\25_11_11\CL_MLP_PAO_IF_Ortho_25_11_11_CanalAraya_NSTC_Km_17_a_18.tiff&amp;rasterId=</v>
      </c>
      <c r="L149" s="1" t="s">
        <v>31</v>
      </c>
      <c r="M149" s="1" t="s">
        <v>32</v>
      </c>
      <c r="N149" s="1" t="s">
        <v>33</v>
      </c>
      <c r="O149" s="1" t="s">
        <v>34</v>
      </c>
      <c r="P149" s="3" t="str">
        <f t="shared" si="23"/>
        <v>11</v>
      </c>
      <c r="Q149" s="3" t="str">
        <f t="shared" si="24"/>
        <v>11</v>
      </c>
      <c r="R149" s="3" t="str">
        <f t="shared" si="25"/>
        <v>25</v>
      </c>
      <c r="S149" s="1" t="s">
        <v>40</v>
      </c>
      <c r="T149" s="1">
        <v>1</v>
      </c>
      <c r="U149" s="1" t="s">
        <v>36</v>
      </c>
      <c r="V149" s="1" t="str">
        <f t="shared" si="26"/>
        <v>CanalAraya_NSTC_Km_17_a_18</v>
      </c>
      <c r="W149" s="1" t="str">
        <f t="shared" si="20"/>
        <v>CanalAraya_NSTC_Km_17_a_18</v>
      </c>
      <c r="X149" s="4" t="b">
        <f t="shared" si="27"/>
        <v>1</v>
      </c>
      <c r="Y149" s="1">
        <f>VLOOKUP(D149,'Orden de Imagen'!$A$1:D292,4,FALSE())</f>
        <v>119</v>
      </c>
      <c r="Z149" s="1" t="str">
        <f t="shared" si="28"/>
        <v>119_25_11_11_CanalAraya_NSTC_Km_17_a_18</v>
      </c>
    </row>
    <row r="150" spans="1:26" ht="15" customHeight="1" x14ac:dyDescent="0.25">
      <c r="A150" s="1">
        <v>151</v>
      </c>
      <c r="B150" s="1" t="s">
        <v>413</v>
      </c>
      <c r="C150" s="1" t="str">
        <f t="shared" si="29"/>
        <v>CL_MLP_PAO_IF_Ortho_25_11_11_DME7_PA7_IF6.tiff</v>
      </c>
      <c r="D150" s="1" t="str">
        <f t="shared" si="30"/>
        <v>CL_MLP_PAO_IF_Ortho_25_11_11_DME7_PA7_IF6</v>
      </c>
      <c r="E150" s="1" t="s">
        <v>414</v>
      </c>
      <c r="F150" s="1" t="s">
        <v>28</v>
      </c>
      <c r="G150" s="1" t="s">
        <v>29</v>
      </c>
      <c r="H150" s="16">
        <v>45972.166666666701</v>
      </c>
      <c r="I150" s="16">
        <v>45973</v>
      </c>
      <c r="J150" s="1" t="s">
        <v>30</v>
      </c>
      <c r="K150" s="2" t="str">
        <f t="shared" si="22"/>
        <v>https://sig.aminerals.cl/imgdyn/rest/services/CL_MLP_PAO/CL_MLP_PAO_IF_Ortho_ALL/ImageServer/file?id=.\Chacay_El_Mauro_Drone\25_11_11\CL_MLP_PAO_IF_Ortho_25_11_11_DME7_PA7_IF6.tiff&amp;rasterId=</v>
      </c>
      <c r="L150" s="1" t="s">
        <v>31</v>
      </c>
      <c r="M150" s="1" t="s">
        <v>32</v>
      </c>
      <c r="N150" s="1" t="s">
        <v>33</v>
      </c>
      <c r="O150" s="1" t="s">
        <v>34</v>
      </c>
      <c r="P150" s="3" t="str">
        <f t="shared" si="23"/>
        <v>11</v>
      </c>
      <c r="Q150" s="3" t="str">
        <f t="shared" si="24"/>
        <v>11</v>
      </c>
      <c r="R150" s="3" t="str">
        <f t="shared" si="25"/>
        <v>25</v>
      </c>
      <c r="S150" s="1" t="s">
        <v>40</v>
      </c>
      <c r="T150" s="1">
        <v>1</v>
      </c>
      <c r="U150" s="1" t="s">
        <v>36</v>
      </c>
      <c r="V150" s="1" t="str">
        <f t="shared" si="26"/>
        <v>DME7_PA7_IF6</v>
      </c>
      <c r="W150" s="1" t="str">
        <f t="shared" si="20"/>
        <v>DME7_PA7_IF6</v>
      </c>
      <c r="X150" s="4" t="b">
        <f t="shared" si="27"/>
        <v>1</v>
      </c>
      <c r="Y150" s="1">
        <f>VLOOKUP(D150,'Orden de Imagen'!$A$1:D293,4,FALSE())</f>
        <v>120</v>
      </c>
      <c r="Z150" s="1" t="str">
        <f t="shared" si="28"/>
        <v>120_25_11_11_DME7_PA7_IF6</v>
      </c>
    </row>
    <row r="151" spans="1:26" ht="15" customHeight="1" x14ac:dyDescent="0.25">
      <c r="A151" s="1">
        <v>152</v>
      </c>
      <c r="B151" s="1" t="s">
        <v>415</v>
      </c>
      <c r="C151" s="1" t="str">
        <f t="shared" si="29"/>
        <v>CL_MLP_PAO_IF_Ortho_25_11_11_NSTC_Km_21_a_22_DME5.tiff</v>
      </c>
      <c r="D151" s="1" t="str">
        <f t="shared" si="30"/>
        <v>CL_MLP_PAO_IF_Ortho_25_11_11_NSTC_Km_21_a_22_DME5</v>
      </c>
      <c r="E151" s="1" t="s">
        <v>337</v>
      </c>
      <c r="F151" s="1" t="s">
        <v>28</v>
      </c>
      <c r="G151" s="1" t="s">
        <v>29</v>
      </c>
      <c r="H151" s="16">
        <v>45972.166666666701</v>
      </c>
      <c r="I151" s="16">
        <v>45973</v>
      </c>
      <c r="J151" s="1" t="s">
        <v>30</v>
      </c>
      <c r="K151" s="2" t="str">
        <f t="shared" si="22"/>
        <v>https://sig.aminerals.cl/imgdyn/rest/services/CL_MLP_PAO/CL_MLP_PAO_IF_Ortho_ALL/ImageServer/file?id=.\Chacay_El_Mauro_Drone\25_11_11\CL_MLP_PAO_IF_Ortho_25_11_11_NSTC_Km_21_a_22_DME5.tiff&amp;rasterId=</v>
      </c>
      <c r="L151" s="1" t="s">
        <v>31</v>
      </c>
      <c r="M151" s="1" t="s">
        <v>32</v>
      </c>
      <c r="N151" s="1" t="s">
        <v>33</v>
      </c>
      <c r="O151" s="1" t="s">
        <v>34</v>
      </c>
      <c r="P151" s="3" t="str">
        <f t="shared" si="23"/>
        <v>11</v>
      </c>
      <c r="Q151" s="3" t="str">
        <f t="shared" si="24"/>
        <v>11</v>
      </c>
      <c r="R151" s="3" t="str">
        <f t="shared" si="25"/>
        <v>25</v>
      </c>
      <c r="S151" s="1" t="s">
        <v>40</v>
      </c>
      <c r="T151" s="1">
        <v>1</v>
      </c>
      <c r="U151" s="1" t="s">
        <v>36</v>
      </c>
      <c r="V151" s="1" t="str">
        <f t="shared" si="26"/>
        <v>NSTC_Km_21_a_22_DME5</v>
      </c>
      <c r="W151" s="1" t="str">
        <f t="shared" si="20"/>
        <v>NSTC_Km_21_a_22_DME5</v>
      </c>
      <c r="X151" s="4" t="b">
        <f t="shared" si="27"/>
        <v>1</v>
      </c>
      <c r="Y151" s="1">
        <f>VLOOKUP(D151,'Orden de Imagen'!$A$1:D294,4,FALSE())</f>
        <v>121</v>
      </c>
      <c r="Z151" s="1" t="str">
        <f t="shared" si="28"/>
        <v>121_25_11_11_NSTC_Km_21_a_22_DME5</v>
      </c>
    </row>
    <row r="152" spans="1:26" ht="15" customHeight="1" x14ac:dyDescent="0.25">
      <c r="A152" s="1">
        <v>153</v>
      </c>
      <c r="B152" s="1" t="s">
        <v>416</v>
      </c>
      <c r="C152" s="1" t="str">
        <f t="shared" si="29"/>
        <v>CL_MLP_PAO_IF_Ortho_25_11_11_NSTC_Km_31_a_32.tiff</v>
      </c>
      <c r="D152" s="1" t="str">
        <f t="shared" si="30"/>
        <v>CL_MLP_PAO_IF_Ortho_25_11_11_NSTC_Km_31_a_32</v>
      </c>
      <c r="E152" s="1" t="s">
        <v>417</v>
      </c>
      <c r="F152" s="1" t="s">
        <v>28</v>
      </c>
      <c r="G152" s="1" t="s">
        <v>29</v>
      </c>
      <c r="H152" s="16">
        <v>45972.166666666701</v>
      </c>
      <c r="I152" s="16">
        <v>45973</v>
      </c>
      <c r="J152" s="1" t="s">
        <v>30</v>
      </c>
      <c r="K152" s="2" t="str">
        <f t="shared" si="22"/>
        <v>https://sig.aminerals.cl/imgdyn/rest/services/CL_MLP_PAO/CL_MLP_PAO_IF_Ortho_ALL/ImageServer/file?id=.\Chacay_El_Mauro_Drone\25_11_11\CL_MLP_PAO_IF_Ortho_25_11_11_NSTC_Km_31_a_32.tiff&amp;rasterId=</v>
      </c>
      <c r="L152" s="1" t="s">
        <v>31</v>
      </c>
      <c r="M152" s="1" t="s">
        <v>32</v>
      </c>
      <c r="N152" s="1" t="s">
        <v>33</v>
      </c>
      <c r="O152" s="1" t="s">
        <v>34</v>
      </c>
      <c r="P152" s="3" t="str">
        <f t="shared" si="23"/>
        <v>11</v>
      </c>
      <c r="Q152" s="3" t="str">
        <f t="shared" si="24"/>
        <v>11</v>
      </c>
      <c r="R152" s="3" t="str">
        <f t="shared" si="25"/>
        <v>25</v>
      </c>
      <c r="S152" s="1" t="s">
        <v>40</v>
      </c>
      <c r="T152" s="1">
        <v>1</v>
      </c>
      <c r="U152" s="1" t="s">
        <v>36</v>
      </c>
      <c r="V152" s="1" t="str">
        <f t="shared" si="26"/>
        <v>NSTC_Km_31_a_32</v>
      </c>
      <c r="W152" s="1" t="str">
        <f t="shared" si="20"/>
        <v>NSTC_Km_31_a_32</v>
      </c>
      <c r="X152" s="4" t="b">
        <f t="shared" si="27"/>
        <v>1</v>
      </c>
      <c r="Y152" s="1">
        <f>VLOOKUP(D152,'Orden de Imagen'!$A$1:D295,4,FALSE())</f>
        <v>122</v>
      </c>
      <c r="Z152" s="1" t="str">
        <f t="shared" si="28"/>
        <v>122_25_11_11_NSTC_Km_31_a_32</v>
      </c>
    </row>
    <row r="153" spans="1:26" ht="15" customHeight="1" x14ac:dyDescent="0.25">
      <c r="A153" s="1">
        <v>154</v>
      </c>
      <c r="B153" s="1" t="s">
        <v>418</v>
      </c>
      <c r="C153" s="1" t="str">
        <f t="shared" si="29"/>
        <v>CL_MLP_PAO_IF_Ortho_25_11_13_DME9-PA12-IIFF8_03.tiff</v>
      </c>
      <c r="D153" s="1" t="str">
        <f t="shared" si="30"/>
        <v>CL_MLP_PAO_IF_Ortho_25_11_13_DME9-PA12-IIFF8_03</v>
      </c>
      <c r="E153" s="1" t="s">
        <v>419</v>
      </c>
      <c r="F153" s="1" t="s">
        <v>28</v>
      </c>
      <c r="G153" s="1" t="s">
        <v>29</v>
      </c>
      <c r="H153" s="16">
        <v>45974.166666666701</v>
      </c>
      <c r="I153" s="16">
        <v>45988</v>
      </c>
      <c r="J153" s="1" t="s">
        <v>30</v>
      </c>
      <c r="K153" s="2" t="str">
        <f t="shared" si="22"/>
        <v>https://sig.aminerals.cl/imgdyn/rest/services/CL_MLP_PAO/CL_MLP_PAO_IF_Ortho_ALL/ImageServer/file?id=.\Chacay_El_Mauro_Drone\25_11_13\CL_MLP_PAO_IF_Ortho_25_11_13_DME9-PA12-IIFF8_03.tiff&amp;rasterId=</v>
      </c>
      <c r="L153" s="1" t="s">
        <v>31</v>
      </c>
      <c r="M153" s="1" t="s">
        <v>32</v>
      </c>
      <c r="N153" s="1" t="s">
        <v>33</v>
      </c>
      <c r="O153" s="1" t="s">
        <v>34</v>
      </c>
      <c r="P153" s="3" t="str">
        <f t="shared" si="23"/>
        <v>13</v>
      </c>
      <c r="Q153" s="3" t="str">
        <f t="shared" si="24"/>
        <v>11</v>
      </c>
      <c r="R153" s="3" t="str">
        <f t="shared" si="25"/>
        <v>25</v>
      </c>
      <c r="S153" s="1" t="s">
        <v>40</v>
      </c>
      <c r="T153" s="1">
        <v>1</v>
      </c>
      <c r="U153" s="1" t="s">
        <v>36</v>
      </c>
      <c r="V153" s="1" t="str">
        <f t="shared" si="26"/>
        <v>DME9-PA12-IIFF8_03</v>
      </c>
      <c r="W153" s="1" t="str">
        <f t="shared" si="20"/>
        <v>DME9-PA12-IIFF8_03</v>
      </c>
      <c r="X153" s="4" t="b">
        <f t="shared" si="27"/>
        <v>1</v>
      </c>
      <c r="Y153" s="1">
        <f>VLOOKUP(D153,'Orden de Imagen'!$A$1:D296,4,FALSE())</f>
        <v>123</v>
      </c>
      <c r="Z153" s="1" t="str">
        <f t="shared" si="28"/>
        <v>123_25_11_13_DME9-PA12-IIFF8_03</v>
      </c>
    </row>
    <row r="154" spans="1:26" ht="15" customHeight="1" x14ac:dyDescent="0.25">
      <c r="A154" s="1">
        <v>155</v>
      </c>
      <c r="B154" s="1" t="s">
        <v>420</v>
      </c>
      <c r="C154" s="1" t="str">
        <f t="shared" si="29"/>
        <v>CL_MLP_PAO_IF_Ortho_25_11_13_Drenaje-Bajo-Quelen.tiff</v>
      </c>
      <c r="D154" s="1" t="str">
        <f t="shared" si="30"/>
        <v>CL_MLP_PAO_IF_Ortho_25_11_13_Drenaje-Bajo-Quelen</v>
      </c>
      <c r="E154" s="1" t="s">
        <v>421</v>
      </c>
      <c r="F154" s="1" t="s">
        <v>28</v>
      </c>
      <c r="G154" s="1" t="s">
        <v>29</v>
      </c>
      <c r="H154" s="16">
        <v>45974.166666666701</v>
      </c>
      <c r="I154" s="16">
        <v>45988</v>
      </c>
      <c r="J154" s="1" t="s">
        <v>30</v>
      </c>
      <c r="K154" s="2" t="str">
        <f t="shared" si="22"/>
        <v>https://sig.aminerals.cl/imgdyn/rest/services/CL_MLP_PAO/CL_MLP_PAO_IF_Ortho_ALL/ImageServer/file?id=.\Chacay_El_Mauro_Drone\25_11_13\CL_MLP_PAO_IF_Ortho_25_11_13_Drenaje-Bajo-Quelen.tiff&amp;rasterId=</v>
      </c>
      <c r="L154" s="1" t="s">
        <v>31</v>
      </c>
      <c r="M154" s="1" t="s">
        <v>32</v>
      </c>
      <c r="N154" s="1" t="s">
        <v>33</v>
      </c>
      <c r="O154" s="1" t="s">
        <v>34</v>
      </c>
      <c r="P154" s="3" t="str">
        <f t="shared" si="23"/>
        <v>13</v>
      </c>
      <c r="Q154" s="3" t="str">
        <f t="shared" si="24"/>
        <v>11</v>
      </c>
      <c r="R154" s="3" t="str">
        <f t="shared" si="25"/>
        <v>25</v>
      </c>
      <c r="S154" s="1" t="s">
        <v>40</v>
      </c>
      <c r="T154" s="1">
        <v>1</v>
      </c>
      <c r="U154" s="1" t="s">
        <v>36</v>
      </c>
      <c r="V154" s="1" t="str">
        <f t="shared" si="26"/>
        <v>Drenaje-Bajo-Quelen</v>
      </c>
      <c r="W154" s="1" t="str">
        <f t="shared" si="20"/>
        <v>Drenaje-Bajo-Quelen</v>
      </c>
      <c r="X154" s="4" t="b">
        <f t="shared" si="27"/>
        <v>1</v>
      </c>
      <c r="Y154" s="1">
        <f>VLOOKUP(D154,'Orden de Imagen'!$A$1:D297,4,FALSE())</f>
        <v>124</v>
      </c>
      <c r="Z154" s="1" t="str">
        <f t="shared" si="28"/>
        <v>124_25_11_13_Drenaje-Bajo-Quelen</v>
      </c>
    </row>
    <row r="155" spans="1:26" ht="15" customHeight="1" x14ac:dyDescent="0.25">
      <c r="A155" s="1">
        <v>156</v>
      </c>
      <c r="B155" s="1" t="s">
        <v>422</v>
      </c>
      <c r="C155" s="1" t="str">
        <f t="shared" si="29"/>
        <v>CL_MLP_PAO_IF_Ortho_25_11_13_ED1-IIFF7-DME8_02.tiff</v>
      </c>
      <c r="D155" s="1" t="str">
        <f t="shared" si="30"/>
        <v>CL_MLP_PAO_IF_Ortho_25_11_13_ED1-IIFF7-DME8_02</v>
      </c>
      <c r="E155" s="1" t="s">
        <v>423</v>
      </c>
      <c r="F155" s="1" t="s">
        <v>28</v>
      </c>
      <c r="G155" s="1" t="s">
        <v>29</v>
      </c>
      <c r="H155" s="16">
        <v>45974.166666666701</v>
      </c>
      <c r="I155" s="16">
        <v>45988</v>
      </c>
      <c r="J155" s="1" t="s">
        <v>30</v>
      </c>
      <c r="K155" s="2" t="str">
        <f t="shared" si="22"/>
        <v>https://sig.aminerals.cl/imgdyn/rest/services/CL_MLP_PAO/CL_MLP_PAO_IF_Ortho_ALL/ImageServer/file?id=.\Chacay_El_Mauro_Drone\25_11_13\CL_MLP_PAO_IF_Ortho_25_11_13_ED1-IIFF7-DME8_02.tiff&amp;rasterId=</v>
      </c>
      <c r="L155" s="1" t="s">
        <v>31</v>
      </c>
      <c r="M155" s="1" t="s">
        <v>32</v>
      </c>
      <c r="N155" s="1" t="s">
        <v>33</v>
      </c>
      <c r="O155" s="1" t="s">
        <v>34</v>
      </c>
      <c r="P155" s="3" t="str">
        <f t="shared" si="23"/>
        <v>13</v>
      </c>
      <c r="Q155" s="3" t="str">
        <f t="shared" si="24"/>
        <v>11</v>
      </c>
      <c r="R155" s="3" t="str">
        <f t="shared" si="25"/>
        <v>25</v>
      </c>
      <c r="S155" s="1" t="s">
        <v>40</v>
      </c>
      <c r="T155" s="1">
        <v>1</v>
      </c>
      <c r="U155" s="1" t="s">
        <v>36</v>
      </c>
      <c r="V155" s="1" t="str">
        <f t="shared" si="26"/>
        <v>ED1-IIFF7-DME8_02</v>
      </c>
      <c r="W155" s="1" t="str">
        <f t="shared" si="20"/>
        <v>ED1-IIFF7-DME8_02</v>
      </c>
      <c r="X155" s="4" t="b">
        <f t="shared" si="27"/>
        <v>1</v>
      </c>
      <c r="Y155" s="1">
        <f>VLOOKUP(D155,'Orden de Imagen'!$A$1:D298,4,FALSE())</f>
        <v>125</v>
      </c>
      <c r="Z155" s="1" t="str">
        <f t="shared" si="28"/>
        <v>125_25_11_13_ED1-IIFF7-DME8_02</v>
      </c>
    </row>
    <row r="156" spans="1:26" ht="15" customHeight="1" x14ac:dyDescent="0.25">
      <c r="A156" s="1">
        <v>157</v>
      </c>
      <c r="B156" s="1" t="s">
        <v>424</v>
      </c>
      <c r="C156" s="1" t="str">
        <f t="shared" si="29"/>
        <v>CL_MLP_PAO_IF_Ortho_25_11_13_EM2-PA10-PA11_03.tiff</v>
      </c>
      <c r="D156" s="1" t="str">
        <f t="shared" si="30"/>
        <v>CL_MLP_PAO_IF_Ortho_25_11_13_EM2-PA10-PA11_03</v>
      </c>
      <c r="E156" s="1" t="s">
        <v>425</v>
      </c>
      <c r="F156" s="1" t="s">
        <v>28</v>
      </c>
      <c r="G156" s="1" t="s">
        <v>29</v>
      </c>
      <c r="H156" s="16">
        <v>45974.166666666701</v>
      </c>
      <c r="I156" s="16">
        <v>45988</v>
      </c>
      <c r="J156" s="1" t="s">
        <v>30</v>
      </c>
      <c r="K156" s="2" t="str">
        <f t="shared" si="22"/>
        <v>https://sig.aminerals.cl/imgdyn/rest/services/CL_MLP_PAO/CL_MLP_PAO_IF_Ortho_ALL/ImageServer/file?id=.\Chacay_El_Mauro_Drone\25_11_13\CL_MLP_PAO_IF_Ortho_25_11_13_EM2-PA10-PA11_03.tiff&amp;rasterId=</v>
      </c>
      <c r="L156" s="1" t="s">
        <v>31</v>
      </c>
      <c r="M156" s="1" t="s">
        <v>32</v>
      </c>
      <c r="N156" s="1" t="s">
        <v>33</v>
      </c>
      <c r="O156" s="1" t="s">
        <v>34</v>
      </c>
      <c r="P156" s="3" t="str">
        <f t="shared" si="23"/>
        <v>13</v>
      </c>
      <c r="Q156" s="3" t="str">
        <f t="shared" si="24"/>
        <v>11</v>
      </c>
      <c r="R156" s="3" t="str">
        <f t="shared" si="25"/>
        <v>25</v>
      </c>
      <c r="S156" s="1" t="s">
        <v>40</v>
      </c>
      <c r="T156" s="1">
        <v>1</v>
      </c>
      <c r="U156" s="1" t="s">
        <v>36</v>
      </c>
      <c r="V156" s="1" t="str">
        <f t="shared" si="26"/>
        <v>EM2-PA10-PA11_03</v>
      </c>
      <c r="W156" s="1" t="str">
        <f t="shared" si="20"/>
        <v>EM2-PA10-PA11_03</v>
      </c>
      <c r="X156" s="4" t="b">
        <f t="shared" si="27"/>
        <v>1</v>
      </c>
      <c r="Y156" s="1">
        <f>VLOOKUP(D156,'Orden de Imagen'!$A$1:D299,4,FALSE())</f>
        <v>126</v>
      </c>
      <c r="Z156" s="1" t="str">
        <f t="shared" si="28"/>
        <v>126_25_11_13_EM2-PA10-PA11_03</v>
      </c>
    </row>
    <row r="157" spans="1:26" ht="15" customHeight="1" x14ac:dyDescent="0.25">
      <c r="A157" s="1">
        <v>158</v>
      </c>
      <c r="B157" s="6" t="s">
        <v>426</v>
      </c>
      <c r="C157" s="1" t="str">
        <f t="shared" si="29"/>
        <v>CL_MLP_PAO_IF_Ortho_25_11_18_EB2_03.tiff</v>
      </c>
      <c r="D157" s="1" t="str">
        <f t="shared" si="30"/>
        <v>CL_MLP_PAO_IF_Ortho_25_11_18_EB2_03</v>
      </c>
      <c r="E157" s="6" t="s">
        <v>427</v>
      </c>
      <c r="F157" s="1" t="s">
        <v>28</v>
      </c>
      <c r="G157" s="1" t="s">
        <v>29</v>
      </c>
      <c r="H157" s="16">
        <v>45979.166666666701</v>
      </c>
      <c r="I157" s="16">
        <v>45988</v>
      </c>
      <c r="J157" s="1" t="s">
        <v>30</v>
      </c>
      <c r="K157" s="2" t="str">
        <f t="shared" si="22"/>
        <v>https://sig.aminerals.cl/imgdyn/rest/services/CL_MLP_PAO/CL_MLP_PAO_IF_Ortho_ALL/ImageServer/file?id=.\El_Mauro_Puerto_Punta_Chungo_Drone\25_11_18\CL_MLP_PAO_IF_Ortho_25_11_18_EB2_03.tiff&amp;rasterId=</v>
      </c>
      <c r="L157" s="1" t="s">
        <v>31</v>
      </c>
      <c r="M157" s="1" t="s">
        <v>32</v>
      </c>
      <c r="N157" s="1" t="s">
        <v>33</v>
      </c>
      <c r="O157" s="1" t="s">
        <v>34</v>
      </c>
      <c r="P157" s="3" t="str">
        <f t="shared" si="23"/>
        <v>18</v>
      </c>
      <c r="Q157" s="3" t="str">
        <f t="shared" si="24"/>
        <v>11</v>
      </c>
      <c r="R157" s="3" t="str">
        <f t="shared" si="25"/>
        <v>25</v>
      </c>
      <c r="S157" s="1" t="s">
        <v>50</v>
      </c>
      <c r="T157" s="1">
        <v>1</v>
      </c>
      <c r="U157" s="1" t="s">
        <v>36</v>
      </c>
      <c r="V157" s="1" t="str">
        <f t="shared" si="26"/>
        <v>EB2_03</v>
      </c>
      <c r="W157" s="1" t="str">
        <f t="shared" si="20"/>
        <v>EB2_03</v>
      </c>
      <c r="X157" s="4" t="b">
        <f t="shared" si="27"/>
        <v>1</v>
      </c>
      <c r="Y157" s="1">
        <f>VLOOKUP(D157,'Orden de Imagen'!$A$1:D300,4,FALSE())</f>
        <v>127</v>
      </c>
      <c r="Z157" s="1" t="str">
        <f t="shared" si="28"/>
        <v>127_25_11_18_EB2_03</v>
      </c>
    </row>
    <row r="158" spans="1:26" ht="15" customHeight="1" x14ac:dyDescent="0.25">
      <c r="A158" s="1">
        <v>159</v>
      </c>
      <c r="B158" s="6" t="s">
        <v>428</v>
      </c>
      <c r="C158" s="1" t="str">
        <f t="shared" si="29"/>
        <v>CL_MLP_PAO_IF_Ortho_25_11_18_EV2_04.tiff</v>
      </c>
      <c r="D158" s="1" t="str">
        <f t="shared" si="30"/>
        <v>CL_MLP_PAO_IF_Ortho_25_11_18_EV2_04</v>
      </c>
      <c r="E158" s="6" t="s">
        <v>429</v>
      </c>
      <c r="F158" s="1" t="s">
        <v>28</v>
      </c>
      <c r="G158" s="1" t="s">
        <v>29</v>
      </c>
      <c r="H158" s="16">
        <v>45979.166666666701</v>
      </c>
      <c r="I158" s="16">
        <v>45988</v>
      </c>
      <c r="J158" s="1" t="s">
        <v>30</v>
      </c>
      <c r="K158" s="2" t="str">
        <f t="shared" si="22"/>
        <v>https://sig.aminerals.cl/imgdyn/rest/services/CL_MLP_PAO/CL_MLP_PAO_IF_Ortho_ALL/ImageServer/file?id=.\El_Mauro_Puerto_Punta_Chungo_Drone\25_11_18\CL_MLP_PAO_IF_Ortho_25_11_18_EV2_04.tiff&amp;rasterId=</v>
      </c>
      <c r="L158" s="1" t="s">
        <v>31</v>
      </c>
      <c r="M158" s="1" t="s">
        <v>32</v>
      </c>
      <c r="N158" s="1" t="s">
        <v>33</v>
      </c>
      <c r="O158" s="1" t="s">
        <v>34</v>
      </c>
      <c r="P158" s="3" t="str">
        <f t="shared" si="23"/>
        <v>18</v>
      </c>
      <c r="Q158" s="3" t="str">
        <f t="shared" si="24"/>
        <v>11</v>
      </c>
      <c r="R158" s="3" t="str">
        <f t="shared" si="25"/>
        <v>25</v>
      </c>
      <c r="S158" s="1" t="s">
        <v>50</v>
      </c>
      <c r="T158" s="1">
        <v>1</v>
      </c>
      <c r="U158" s="1" t="s">
        <v>36</v>
      </c>
      <c r="V158" s="1" t="str">
        <f t="shared" si="26"/>
        <v>EV2_04</v>
      </c>
      <c r="W158" s="1" t="str">
        <f t="shared" si="20"/>
        <v>EV2_04</v>
      </c>
      <c r="X158" s="4" t="b">
        <f t="shared" si="27"/>
        <v>1</v>
      </c>
      <c r="Y158" s="1">
        <f>VLOOKUP(D158,'Orden de Imagen'!$A$1:D301,4,FALSE())</f>
        <v>128</v>
      </c>
      <c r="Z158" s="1" t="str">
        <f t="shared" si="28"/>
        <v>128_25_11_18_EV2_04</v>
      </c>
    </row>
    <row r="159" spans="1:26" ht="15" customHeight="1" x14ac:dyDescent="0.25">
      <c r="A159" s="1">
        <v>160</v>
      </c>
      <c r="B159" s="6" t="s">
        <v>430</v>
      </c>
      <c r="C159" s="1" t="str">
        <f t="shared" si="29"/>
        <v>CL_MLP_PAO_IF_Ortho_25_11_18_IIFFN13A.tiff</v>
      </c>
      <c r="D159" s="1" t="str">
        <f t="shared" si="30"/>
        <v>CL_MLP_PAO_IF_Ortho_25_11_18_IIFFN13A</v>
      </c>
      <c r="E159" s="6" t="s">
        <v>431</v>
      </c>
      <c r="F159" s="1" t="s">
        <v>28</v>
      </c>
      <c r="G159" s="1" t="s">
        <v>29</v>
      </c>
      <c r="H159" s="16">
        <v>45979.166666666701</v>
      </c>
      <c r="I159" s="16">
        <v>45988</v>
      </c>
      <c r="J159" s="1" t="s">
        <v>30</v>
      </c>
      <c r="K159" s="2" t="str">
        <f t="shared" si="22"/>
        <v>https://sig.aminerals.cl/imgdyn/rest/services/CL_MLP_PAO/CL_MLP_PAO_IF_Ortho_ALL/ImageServer/file?id=.\El_Mauro_Puerto_Punta_Chungo_Drone\25_11_18\CL_MLP_PAO_IF_Ortho_25_11_18_IIFFN13A.tiff&amp;rasterId=</v>
      </c>
      <c r="L159" s="1" t="s">
        <v>31</v>
      </c>
      <c r="M159" s="1" t="s">
        <v>32</v>
      </c>
      <c r="N159" s="1" t="s">
        <v>33</v>
      </c>
      <c r="O159" s="1" t="s">
        <v>34</v>
      </c>
      <c r="P159" s="3" t="str">
        <f t="shared" si="23"/>
        <v>18</v>
      </c>
      <c r="Q159" s="3" t="str">
        <f t="shared" si="24"/>
        <v>11</v>
      </c>
      <c r="R159" s="3" t="str">
        <f t="shared" si="25"/>
        <v>25</v>
      </c>
      <c r="S159" s="1" t="s">
        <v>50</v>
      </c>
      <c r="T159" s="1">
        <v>1</v>
      </c>
      <c r="U159" s="1" t="s">
        <v>36</v>
      </c>
      <c r="V159" s="1" t="str">
        <f t="shared" si="26"/>
        <v>IIFFN13A</v>
      </c>
      <c r="W159" s="1" t="str">
        <f t="shared" ref="W159:W222" si="31">E159</f>
        <v>IIFFN13A</v>
      </c>
      <c r="X159" s="4" t="b">
        <f t="shared" si="27"/>
        <v>1</v>
      </c>
      <c r="Y159" s="1">
        <f>VLOOKUP(D159,'Orden de Imagen'!$A$1:D302,4,FALSE())</f>
        <v>129</v>
      </c>
      <c r="Z159" s="1" t="str">
        <f t="shared" si="28"/>
        <v>129_25_11_18_IIFFN13A</v>
      </c>
    </row>
    <row r="160" spans="1:26" ht="15" customHeight="1" x14ac:dyDescent="0.25">
      <c r="A160" s="1">
        <v>161</v>
      </c>
      <c r="B160" s="1" t="s">
        <v>432</v>
      </c>
      <c r="C160" s="1" t="str">
        <f t="shared" si="29"/>
        <v>CL_MLP_PAO_IF_Ortho_25_11_18_Tramo-EV2-a-EB2_03.tiff</v>
      </c>
      <c r="D160" s="1" t="str">
        <f t="shared" si="30"/>
        <v>CL_MLP_PAO_IF_Ortho_25_11_18_Tramo-EV2-a-EB2_03</v>
      </c>
      <c r="E160" s="1" t="s">
        <v>433</v>
      </c>
      <c r="F160" s="1" t="s">
        <v>28</v>
      </c>
      <c r="G160" s="1" t="s">
        <v>29</v>
      </c>
      <c r="H160" s="16">
        <v>45979.166666666701</v>
      </c>
      <c r="I160" s="16">
        <v>45988</v>
      </c>
      <c r="J160" s="1" t="s">
        <v>30</v>
      </c>
      <c r="K160" s="2" t="str">
        <f t="shared" si="22"/>
        <v>https://sig.aminerals.cl/imgdyn/rest/services/CL_MLP_PAO/CL_MLP_PAO_IF_Ortho_ALL/ImageServer/file?id=.\El_Mauro_Puerto_Punta_Chungo_Drone\25_11_18\CL_MLP_PAO_IF_Ortho_25_11_18_Tramo-EV2-a-EB2_03.tiff&amp;rasterId=</v>
      </c>
      <c r="L160" s="1" t="s">
        <v>31</v>
      </c>
      <c r="M160" s="1" t="s">
        <v>32</v>
      </c>
      <c r="N160" s="1" t="s">
        <v>33</v>
      </c>
      <c r="O160" s="1" t="s">
        <v>34</v>
      </c>
      <c r="P160" s="3" t="str">
        <f t="shared" si="23"/>
        <v>18</v>
      </c>
      <c r="Q160" s="3" t="str">
        <f t="shared" si="24"/>
        <v>11</v>
      </c>
      <c r="R160" s="3" t="str">
        <f t="shared" si="25"/>
        <v>25</v>
      </c>
      <c r="S160" s="1" t="s">
        <v>50</v>
      </c>
      <c r="T160" s="1">
        <v>1</v>
      </c>
      <c r="U160" s="1" t="s">
        <v>36</v>
      </c>
      <c r="V160" s="1" t="str">
        <f t="shared" si="26"/>
        <v>Tramo-EV2-a-EB2_03</v>
      </c>
      <c r="W160" s="1" t="str">
        <f t="shared" si="31"/>
        <v>Tramo-EV2-a-EB2_03</v>
      </c>
      <c r="X160" s="4" t="b">
        <f t="shared" si="27"/>
        <v>1</v>
      </c>
      <c r="Y160" s="1">
        <f>VLOOKUP(D160,'Orden de Imagen'!$A$1:D303,4,FALSE())</f>
        <v>130</v>
      </c>
      <c r="Z160" s="1" t="str">
        <f t="shared" si="28"/>
        <v>130_25_11_18_Tramo-EV2-a-EB2_03</v>
      </c>
    </row>
    <row r="161" spans="1:26" ht="15" customHeight="1" x14ac:dyDescent="0.25">
      <c r="A161" s="1">
        <v>162</v>
      </c>
      <c r="B161" s="6" t="s">
        <v>434</v>
      </c>
      <c r="C161" s="1" t="str">
        <f t="shared" si="29"/>
        <v>CL_MLP_PAO_IF_Ortho_25_11_19_ED2_02.tiff</v>
      </c>
      <c r="D161" s="1" t="str">
        <f t="shared" si="30"/>
        <v>CL_MLP_PAO_IF_Ortho_25_11_19_ED2_02</v>
      </c>
      <c r="E161" s="6" t="s">
        <v>435</v>
      </c>
      <c r="F161" s="1" t="s">
        <v>28</v>
      </c>
      <c r="G161" s="1" t="s">
        <v>29</v>
      </c>
      <c r="H161" s="16">
        <v>45980.166666666701</v>
      </c>
      <c r="I161" s="16">
        <v>45988</v>
      </c>
      <c r="J161" s="1" t="s">
        <v>30</v>
      </c>
      <c r="K161" s="2" t="str">
        <f t="shared" si="22"/>
        <v>https://sig.aminerals.cl/imgdyn/rest/services/CL_MLP_PAO/CL_MLP_PAO_IF_Ortho_ALL/ImageServer/file?id=.\Chacay_El_Mauro_Drone\25_11_19\CL_MLP_PAO_IF_Ortho_25_11_19_ED2_02.tiff&amp;rasterId=</v>
      </c>
      <c r="L161" s="1" t="s">
        <v>31</v>
      </c>
      <c r="M161" s="1" t="s">
        <v>32</v>
      </c>
      <c r="N161" s="1" t="s">
        <v>33</v>
      </c>
      <c r="O161" s="1" t="s">
        <v>34</v>
      </c>
      <c r="P161" s="3" t="str">
        <f t="shared" si="23"/>
        <v>19</v>
      </c>
      <c r="Q161" s="3" t="str">
        <f t="shared" si="24"/>
        <v>11</v>
      </c>
      <c r="R161" s="3" t="str">
        <f t="shared" si="25"/>
        <v>25</v>
      </c>
      <c r="S161" s="1" t="s">
        <v>40</v>
      </c>
      <c r="T161" s="1">
        <v>1</v>
      </c>
      <c r="U161" s="1" t="s">
        <v>36</v>
      </c>
      <c r="V161" s="1" t="str">
        <f t="shared" si="26"/>
        <v>ED2_02</v>
      </c>
      <c r="W161" s="1" t="str">
        <f t="shared" si="31"/>
        <v>ED2_02</v>
      </c>
      <c r="X161" s="4" t="b">
        <f t="shared" si="27"/>
        <v>1</v>
      </c>
      <c r="Y161" s="1">
        <f>VLOOKUP(D161,'Orden de Imagen'!$A$1:D304,4,FALSE())</f>
        <v>131</v>
      </c>
      <c r="Z161" s="1" t="str">
        <f t="shared" si="28"/>
        <v>131_25_11_19_ED2_02</v>
      </c>
    </row>
    <row r="162" spans="1:26" ht="15" customHeight="1" x14ac:dyDescent="0.25">
      <c r="A162" s="1">
        <v>163</v>
      </c>
      <c r="B162" s="6" t="s">
        <v>436</v>
      </c>
      <c r="C162" s="1" t="str">
        <f t="shared" si="29"/>
        <v>CL_MLP_PAO_IF_Ortho_25_11_19_EM3_02.tiff</v>
      </c>
      <c r="D162" s="1" t="str">
        <f t="shared" si="30"/>
        <v>CL_MLP_PAO_IF_Ortho_25_11_19_EM3_02</v>
      </c>
      <c r="E162" s="6" t="s">
        <v>437</v>
      </c>
      <c r="F162" s="1" t="s">
        <v>28</v>
      </c>
      <c r="G162" s="1" t="s">
        <v>29</v>
      </c>
      <c r="H162" s="16">
        <v>45980.166666666701</v>
      </c>
      <c r="I162" s="16">
        <v>45988</v>
      </c>
      <c r="J162" s="1" t="s">
        <v>30</v>
      </c>
      <c r="K162" s="2" t="str">
        <f t="shared" si="22"/>
        <v>https://sig.aminerals.cl/imgdyn/rest/services/CL_MLP_PAO/CL_MLP_PAO_IF_Ortho_ALL/ImageServer/file?id=.\Chacay_El_Mauro_Drone\25_11_19\CL_MLP_PAO_IF_Ortho_25_11_19_EM3_02.tiff&amp;rasterId=</v>
      </c>
      <c r="L162" s="1" t="s">
        <v>31</v>
      </c>
      <c r="M162" s="1" t="s">
        <v>32</v>
      </c>
      <c r="N162" s="1" t="s">
        <v>33</v>
      </c>
      <c r="O162" s="1" t="s">
        <v>34</v>
      </c>
      <c r="P162" s="3" t="str">
        <f t="shared" si="23"/>
        <v>19</v>
      </c>
      <c r="Q162" s="3" t="str">
        <f t="shared" si="24"/>
        <v>11</v>
      </c>
      <c r="R162" s="3" t="str">
        <f t="shared" si="25"/>
        <v>25</v>
      </c>
      <c r="S162" s="1" t="s">
        <v>40</v>
      </c>
      <c r="T162" s="1">
        <v>1</v>
      </c>
      <c r="U162" s="1" t="s">
        <v>36</v>
      </c>
      <c r="V162" s="1" t="str">
        <f t="shared" si="26"/>
        <v>EM3_02</v>
      </c>
      <c r="W162" s="1" t="str">
        <f t="shared" si="31"/>
        <v>EM3_02</v>
      </c>
      <c r="X162" s="4" t="b">
        <f t="shared" si="27"/>
        <v>1</v>
      </c>
      <c r="Y162" s="1">
        <f>VLOOKUP(D162,'Orden de Imagen'!$A$1:D305,4,FALSE())</f>
        <v>132</v>
      </c>
      <c r="Z162" s="1" t="str">
        <f t="shared" si="28"/>
        <v>132_25_11_19_EM3_02</v>
      </c>
    </row>
    <row r="163" spans="1:26" ht="15" customHeight="1" x14ac:dyDescent="0.25">
      <c r="A163" s="1">
        <v>164</v>
      </c>
      <c r="B163" s="6" t="s">
        <v>438</v>
      </c>
      <c r="C163" s="1" t="str">
        <f t="shared" si="29"/>
        <v>CL_MLP_PAO_IF_Ortho_25_11_19_NSTC-Km-50p3-a-51.tiff</v>
      </c>
      <c r="D163" s="1" t="str">
        <f t="shared" si="30"/>
        <v>CL_MLP_PAO_IF_Ortho_25_11_19_NSTC-Km-50p3-a-51</v>
      </c>
      <c r="E163" s="6" t="s">
        <v>439</v>
      </c>
      <c r="F163" s="1" t="s">
        <v>28</v>
      </c>
      <c r="G163" s="1" t="s">
        <v>29</v>
      </c>
      <c r="H163" s="16">
        <v>45980.166666666701</v>
      </c>
      <c r="I163" s="16">
        <v>45988</v>
      </c>
      <c r="J163" s="1" t="s">
        <v>30</v>
      </c>
      <c r="K163" s="2" t="str">
        <f t="shared" si="22"/>
        <v>https://sig.aminerals.cl/imgdyn/rest/services/CL_MLP_PAO/CL_MLP_PAO_IF_Ortho_ALL/ImageServer/file?id=.\Chacay_El_Mauro_Drone\25_11_19\CL_MLP_PAO_IF_Ortho_25_11_19_NSTC-Km-50p3-a-51.tiff&amp;rasterId=</v>
      </c>
      <c r="L163" s="1" t="s">
        <v>31</v>
      </c>
      <c r="M163" s="1" t="s">
        <v>32</v>
      </c>
      <c r="N163" s="1" t="s">
        <v>33</v>
      </c>
      <c r="O163" s="1" t="s">
        <v>34</v>
      </c>
      <c r="P163" s="3" t="str">
        <f t="shared" si="23"/>
        <v>19</v>
      </c>
      <c r="Q163" s="3" t="str">
        <f t="shared" si="24"/>
        <v>11</v>
      </c>
      <c r="R163" s="3" t="str">
        <f t="shared" si="25"/>
        <v>25</v>
      </c>
      <c r="S163" s="1" t="s">
        <v>40</v>
      </c>
      <c r="T163" s="1">
        <v>1</v>
      </c>
      <c r="U163" s="1" t="s">
        <v>36</v>
      </c>
      <c r="V163" s="1" t="str">
        <f t="shared" si="26"/>
        <v>NSTC-Km-50p3-a-51</v>
      </c>
      <c r="W163" s="1" t="str">
        <f t="shared" si="31"/>
        <v>NSTC-Km-50p3-a-51</v>
      </c>
      <c r="X163" s="4" t="b">
        <f t="shared" si="27"/>
        <v>1</v>
      </c>
      <c r="Y163" s="1">
        <f>VLOOKUP(D163,'Orden de Imagen'!$A$1:D306,4,FALSE())</f>
        <v>133</v>
      </c>
      <c r="Z163" s="1" t="str">
        <f t="shared" si="28"/>
        <v>133_25_11_19_NSTC-Km-50p3-a-51</v>
      </c>
    </row>
    <row r="164" spans="1:26" ht="15" customHeight="1" x14ac:dyDescent="0.25">
      <c r="A164" s="1">
        <v>165</v>
      </c>
      <c r="B164" s="6" t="s">
        <v>440</v>
      </c>
      <c r="C164" s="1" t="str">
        <f t="shared" si="29"/>
        <v>CL_MLP_PAO_IF_Ortho_25_11_19_NSTC-Km-56-a-57p2.tiff</v>
      </c>
      <c r="D164" s="1" t="str">
        <f t="shared" si="30"/>
        <v>CL_MLP_PAO_IF_Ortho_25_11_19_NSTC-Km-56-a-57p2</v>
      </c>
      <c r="E164" s="6" t="s">
        <v>441</v>
      </c>
      <c r="F164" s="1" t="s">
        <v>28</v>
      </c>
      <c r="G164" s="1" t="s">
        <v>29</v>
      </c>
      <c r="H164" s="16">
        <v>45980.166666666701</v>
      </c>
      <c r="I164" s="16">
        <v>45988</v>
      </c>
      <c r="J164" s="1" t="s">
        <v>30</v>
      </c>
      <c r="K164" s="2" t="str">
        <f t="shared" si="22"/>
        <v>https://sig.aminerals.cl/imgdyn/rest/services/CL_MLP_PAO/CL_MLP_PAO_IF_Ortho_ALL/ImageServer/file?id=.\Chacay_El_Mauro_Drone\25_11_19\CL_MLP_PAO_IF_Ortho_25_11_19_NSTC-Km-56-a-57p2.tiff&amp;rasterId=</v>
      </c>
      <c r="L164" s="1" t="s">
        <v>31</v>
      </c>
      <c r="M164" s="1" t="s">
        <v>32</v>
      </c>
      <c r="N164" s="1" t="s">
        <v>33</v>
      </c>
      <c r="O164" s="1" t="s">
        <v>34</v>
      </c>
      <c r="P164" s="3" t="str">
        <f t="shared" si="23"/>
        <v>19</v>
      </c>
      <c r="Q164" s="3" t="str">
        <f t="shared" si="24"/>
        <v>11</v>
      </c>
      <c r="R164" s="3" t="str">
        <f t="shared" si="25"/>
        <v>25</v>
      </c>
      <c r="S164" s="1" t="s">
        <v>40</v>
      </c>
      <c r="T164" s="1">
        <v>1</v>
      </c>
      <c r="U164" s="1" t="s">
        <v>36</v>
      </c>
      <c r="V164" s="1" t="str">
        <f t="shared" si="26"/>
        <v>NSTC-Km-56-a-57p2</v>
      </c>
      <c r="W164" s="1" t="str">
        <f t="shared" si="31"/>
        <v>NSTC-Km-56-a-57p2</v>
      </c>
      <c r="X164" s="4" t="b">
        <f t="shared" si="27"/>
        <v>1</v>
      </c>
      <c r="Y164" s="1">
        <f>VLOOKUP(D164,'Orden de Imagen'!$A$1:D307,4,FALSE())</f>
        <v>134</v>
      </c>
      <c r="Z164" s="1" t="str">
        <f t="shared" si="28"/>
        <v>134_25_11_19_NSTC-Km-56-a-57p2</v>
      </c>
    </row>
    <row r="165" spans="1:26" ht="15" customHeight="1" x14ac:dyDescent="0.25">
      <c r="A165" s="1">
        <v>166</v>
      </c>
      <c r="B165" s="6" t="s">
        <v>442</v>
      </c>
      <c r="C165" s="1" t="str">
        <f t="shared" si="29"/>
        <v>CL_MLP_PAO_IF_Ortho_25_11_25_Linea-33-kV-NorteElMauro-Area11_02.tiff</v>
      </c>
      <c r="D165" s="1" t="str">
        <f t="shared" si="30"/>
        <v>CL_MLP_PAO_IF_Ortho_25_11_25_Linea-33-kV-NorteElMauro-Area11_02</v>
      </c>
      <c r="E165" s="6" t="s">
        <v>443</v>
      </c>
      <c r="F165" s="1" t="s">
        <v>28</v>
      </c>
      <c r="G165" s="1" t="s">
        <v>29</v>
      </c>
      <c r="H165" s="16">
        <v>45986.166666666701</v>
      </c>
      <c r="I165" s="16">
        <v>45988</v>
      </c>
      <c r="J165" s="1" t="s">
        <v>30</v>
      </c>
      <c r="K165" s="2" t="str">
        <f t="shared" si="22"/>
        <v>https://sig.aminerals.cl/imgdyn/rest/services/CL_MLP_PAO/CL_MLP_PAO_IF_Ortho_ALL/ImageServer/file?id=.\El_Mauro_Drone\25_11_25\CL_MLP_PAO_IF_Ortho_25_11_25_Linea-33-kV-NorteElMauro-Area11_02.tiff&amp;rasterId=</v>
      </c>
      <c r="L165" s="1" t="s">
        <v>31</v>
      </c>
      <c r="M165" s="1" t="s">
        <v>32</v>
      </c>
      <c r="N165" s="1" t="s">
        <v>33</v>
      </c>
      <c r="O165" s="1" t="s">
        <v>34</v>
      </c>
      <c r="P165" s="3" t="str">
        <f t="shared" si="23"/>
        <v>25</v>
      </c>
      <c r="Q165" s="3" t="str">
        <f t="shared" si="24"/>
        <v>11</v>
      </c>
      <c r="R165" s="3" t="str">
        <f t="shared" si="25"/>
        <v>25</v>
      </c>
      <c r="S165" s="1" t="s">
        <v>87</v>
      </c>
      <c r="T165" s="1">
        <v>1</v>
      </c>
      <c r="U165" s="1" t="s">
        <v>36</v>
      </c>
      <c r="V165" s="1" t="str">
        <f t="shared" si="26"/>
        <v>Linea-33-kV-NorteElMauro-Area11_02</v>
      </c>
      <c r="W165" s="1" t="str">
        <f t="shared" si="31"/>
        <v>Linea-33-kV-NorteElMauro-Area11_02</v>
      </c>
      <c r="X165" s="4" t="b">
        <f t="shared" si="27"/>
        <v>1</v>
      </c>
      <c r="Y165" s="1">
        <f>VLOOKUP(D165,'Orden de Imagen'!$A$1:D308,4,FALSE())</f>
        <v>135</v>
      </c>
      <c r="Z165" s="1" t="str">
        <f t="shared" si="28"/>
        <v>135_25_11_25_Linea-33-kV-NorteElMauro-Area11_02</v>
      </c>
    </row>
    <row r="166" spans="1:26" ht="15" customHeight="1" x14ac:dyDescent="0.25">
      <c r="A166" s="1">
        <v>167</v>
      </c>
      <c r="B166" s="6" t="s">
        <v>444</v>
      </c>
      <c r="C166" s="1" t="str">
        <f t="shared" si="29"/>
        <v>CL_MLP_PAO_IF_Ortho_25_11_25_Linea-33-kV-NorteElMauro-Area12_02.tiff</v>
      </c>
      <c r="D166" s="1" t="str">
        <f t="shared" si="30"/>
        <v>CL_MLP_PAO_IF_Ortho_25_11_25_Linea-33-kV-NorteElMauro-Area12_02</v>
      </c>
      <c r="E166" s="6" t="s">
        <v>445</v>
      </c>
      <c r="F166" s="1" t="s">
        <v>28</v>
      </c>
      <c r="G166" s="1" t="s">
        <v>29</v>
      </c>
      <c r="H166" s="16">
        <v>45986.166666666701</v>
      </c>
      <c r="I166" s="16">
        <v>45988</v>
      </c>
      <c r="J166" s="1" t="s">
        <v>30</v>
      </c>
      <c r="K166" s="2" t="str">
        <f t="shared" si="22"/>
        <v>https://sig.aminerals.cl/imgdyn/rest/services/CL_MLP_PAO/CL_MLP_PAO_IF_Ortho_ALL/ImageServer/file?id=.\El_Mauro_Drone\25_11_25\CL_MLP_PAO_IF_Ortho_25_11_25_Linea-33-kV-NorteElMauro-Area12_02.tiff&amp;rasterId=</v>
      </c>
      <c r="L166" s="1" t="s">
        <v>31</v>
      </c>
      <c r="M166" s="1" t="s">
        <v>32</v>
      </c>
      <c r="N166" s="1" t="s">
        <v>33</v>
      </c>
      <c r="O166" s="1" t="s">
        <v>34</v>
      </c>
      <c r="P166" s="3" t="str">
        <f t="shared" si="23"/>
        <v>25</v>
      </c>
      <c r="Q166" s="3" t="str">
        <f t="shared" si="24"/>
        <v>11</v>
      </c>
      <c r="R166" s="3" t="str">
        <f t="shared" si="25"/>
        <v>25</v>
      </c>
      <c r="S166" s="1" t="s">
        <v>87</v>
      </c>
      <c r="T166" s="1">
        <v>1</v>
      </c>
      <c r="U166" s="1" t="s">
        <v>36</v>
      </c>
      <c r="V166" s="1" t="str">
        <f t="shared" si="26"/>
        <v>Linea-33-kV-NorteElMauro-Area12_02</v>
      </c>
      <c r="W166" s="1" t="str">
        <f t="shared" si="31"/>
        <v>Linea-33-kV-NorteElMauro-Area12_02</v>
      </c>
      <c r="X166" s="4" t="b">
        <f t="shared" si="27"/>
        <v>1</v>
      </c>
      <c r="Y166" s="1">
        <f>VLOOKUP(D166,'Orden de Imagen'!$A$1:D309,4,FALSE())</f>
        <v>136</v>
      </c>
      <c r="Z166" s="1" t="str">
        <f t="shared" si="28"/>
        <v>136_25_11_25_Linea-33-kV-NorteElMauro-Area12_02</v>
      </c>
    </row>
    <row r="167" spans="1:26" ht="15" customHeight="1" x14ac:dyDescent="0.25">
      <c r="A167" s="1">
        <v>168</v>
      </c>
      <c r="B167" s="7" t="s">
        <v>446</v>
      </c>
      <c r="C167" s="1" t="str">
        <f t="shared" si="29"/>
        <v>CL_MLP_PAO_IF_Ortho_25_11_27_Linea-33-kV-NorteElMauro-Area10_02.tiff</v>
      </c>
      <c r="D167" s="1" t="str">
        <f t="shared" si="30"/>
        <v>CL_MLP_PAO_IF_Ortho_25_11_27_Linea-33-kV-NorteElMauro-Area10_02</v>
      </c>
      <c r="E167" s="7" t="s">
        <v>447</v>
      </c>
      <c r="F167" s="1" t="s">
        <v>28</v>
      </c>
      <c r="G167" s="1" t="s">
        <v>29</v>
      </c>
      <c r="H167" s="16">
        <v>45988.166666666701</v>
      </c>
      <c r="I167" s="16">
        <v>45989</v>
      </c>
      <c r="J167" s="1" t="s">
        <v>30</v>
      </c>
      <c r="K167" s="2" t="str">
        <f t="shared" si="22"/>
        <v>https://sig.aminerals.cl/imgdyn/rest/services/CL_MLP_PAO/CL_MLP_PAO_IF_Ortho_ALL/ImageServer/file?id=.\El_Mauro_Drone\25_11_27\CL_MLP_PAO_IF_Ortho_25_11_27_Linea-33-kV-NorteElMauro-Area10_02.tiff&amp;rasterId=</v>
      </c>
      <c r="L167" s="1" t="s">
        <v>31</v>
      </c>
      <c r="M167" s="1" t="s">
        <v>32</v>
      </c>
      <c r="N167" s="1" t="s">
        <v>33</v>
      </c>
      <c r="O167" s="1" t="s">
        <v>34</v>
      </c>
      <c r="P167" s="3" t="str">
        <f t="shared" si="23"/>
        <v>27</v>
      </c>
      <c r="Q167" s="3" t="str">
        <f t="shared" si="24"/>
        <v>11</v>
      </c>
      <c r="R167" s="3" t="str">
        <f t="shared" si="25"/>
        <v>25</v>
      </c>
      <c r="S167" s="1" t="s">
        <v>87</v>
      </c>
      <c r="T167" s="1">
        <v>1</v>
      </c>
      <c r="U167" s="1" t="s">
        <v>36</v>
      </c>
      <c r="V167" s="1" t="str">
        <f t="shared" si="26"/>
        <v>Linea-33-kV-NorteElMauro-Area10_02</v>
      </c>
      <c r="W167" s="1" t="str">
        <f t="shared" si="31"/>
        <v>Linea-33-kV-NorteElMauro-Area10_02</v>
      </c>
      <c r="X167" s="4" t="b">
        <f t="shared" si="27"/>
        <v>1</v>
      </c>
      <c r="Y167" s="1">
        <f>VLOOKUP(D167,'Orden de Imagen'!$A$1:D310,4,FALSE())</f>
        <v>137</v>
      </c>
      <c r="Z167" s="1" t="str">
        <f t="shared" si="28"/>
        <v>137_25_11_27_Linea-33-kV-NorteElMauro-Area10_02</v>
      </c>
    </row>
    <row r="168" spans="1:26" ht="15" customHeight="1" x14ac:dyDescent="0.25">
      <c r="A168" s="1">
        <v>169</v>
      </c>
      <c r="B168" s="7" t="s">
        <v>448</v>
      </c>
      <c r="C168" s="1" t="str">
        <f t="shared" si="29"/>
        <v>CL_MLP_PAO_IF_Ortho_25_11_27_Linea-33-kV-NorteElMauro-Area9_02.tiff</v>
      </c>
      <c r="D168" s="1" t="str">
        <f t="shared" si="30"/>
        <v>CL_MLP_PAO_IF_Ortho_25_11_27_Linea-33-kV-NorteElMauro-Area9_02</v>
      </c>
      <c r="E168" s="7" t="s">
        <v>449</v>
      </c>
      <c r="F168" s="1" t="s">
        <v>28</v>
      </c>
      <c r="G168" s="1" t="s">
        <v>29</v>
      </c>
      <c r="H168" s="16">
        <v>45988.166666666701</v>
      </c>
      <c r="I168" s="16">
        <v>45989</v>
      </c>
      <c r="J168" s="1" t="s">
        <v>30</v>
      </c>
      <c r="K168" s="2" t="str">
        <f t="shared" si="22"/>
        <v>https://sig.aminerals.cl/imgdyn/rest/services/CL_MLP_PAO/CL_MLP_PAO_IF_Ortho_ALL/ImageServer/file?id=.\El_Mauro_Drone\25_11_27\CL_MLP_PAO_IF_Ortho_25_11_27_Linea-33-kV-NorteElMauro-Area9_02.tiff&amp;rasterId=</v>
      </c>
      <c r="L168" s="1" t="s">
        <v>31</v>
      </c>
      <c r="M168" s="1" t="s">
        <v>32</v>
      </c>
      <c r="N168" s="1" t="s">
        <v>33</v>
      </c>
      <c r="O168" s="1" t="s">
        <v>34</v>
      </c>
      <c r="P168" s="3" t="str">
        <f t="shared" si="23"/>
        <v>27</v>
      </c>
      <c r="Q168" s="3" t="str">
        <f t="shared" si="24"/>
        <v>11</v>
      </c>
      <c r="R168" s="3" t="str">
        <f t="shared" si="25"/>
        <v>25</v>
      </c>
      <c r="S168" s="1" t="s">
        <v>87</v>
      </c>
      <c r="T168" s="1">
        <v>1</v>
      </c>
      <c r="U168" s="1" t="s">
        <v>36</v>
      </c>
      <c r="V168" s="1" t="str">
        <f t="shared" si="26"/>
        <v>Linea-33-kV-NorteElMauro-Area9_02</v>
      </c>
      <c r="W168" s="1" t="str">
        <f t="shared" si="31"/>
        <v>Linea-33-kV-NorteElMauro-Area9_02</v>
      </c>
      <c r="X168" s="4" t="b">
        <f t="shared" si="27"/>
        <v>1</v>
      </c>
      <c r="Y168" s="1">
        <f>VLOOKUP(D168,'Orden de Imagen'!$A$1:D311,4,FALSE())</f>
        <v>138</v>
      </c>
      <c r="Z168" s="1" t="str">
        <f t="shared" si="28"/>
        <v>138_25_11_27_Linea-33-kV-NorteElMauro-Area9_02</v>
      </c>
    </row>
    <row r="169" spans="1:26" ht="15" customHeight="1" x14ac:dyDescent="0.25">
      <c r="A169" s="1">
        <v>170</v>
      </c>
      <c r="B169" s="1" t="s">
        <v>450</v>
      </c>
      <c r="C169" s="1" t="str">
        <f t="shared" si="29"/>
        <v>CL_MLP_PAO_IF_Ortho_25_12_02_Linea-33-kV-NorteElMauro-Area7_02.tiff</v>
      </c>
      <c r="D169" s="1" t="str">
        <f t="shared" si="30"/>
        <v>CL_MLP_PAO_IF_Ortho_25_12_02_Linea-33-kV-NorteElMauro-Area7_02</v>
      </c>
      <c r="E169" s="1" t="s">
        <v>451</v>
      </c>
      <c r="F169" s="1" t="s">
        <v>28</v>
      </c>
      <c r="G169" s="1" t="s">
        <v>29</v>
      </c>
      <c r="H169" s="16">
        <v>45993.166666666701</v>
      </c>
      <c r="I169" s="16">
        <v>45994</v>
      </c>
      <c r="J169" s="1" t="s">
        <v>30</v>
      </c>
      <c r="K169" s="2" t="str">
        <f t="shared" si="22"/>
        <v>https://sig.aminerals.cl/imgdyn/rest/services/CL_MLP_PAO/CL_MLP_PAO_IF_Ortho_ALL/ImageServer/file?id=.\El_Mauro_Drone\25_12_02\CL_MLP_PAO_IF_Ortho_25_12_02_Linea-33-kV-NorteElMauro-Area7_02.tiff&amp;rasterId=</v>
      </c>
      <c r="L169" s="1" t="s">
        <v>31</v>
      </c>
      <c r="M169" s="1" t="s">
        <v>32</v>
      </c>
      <c r="N169" s="1" t="s">
        <v>33</v>
      </c>
      <c r="O169" s="1" t="s">
        <v>34</v>
      </c>
      <c r="P169" s="3" t="str">
        <f t="shared" si="23"/>
        <v>02</v>
      </c>
      <c r="Q169" s="3" t="str">
        <f t="shared" si="24"/>
        <v>12</v>
      </c>
      <c r="R169" s="3" t="str">
        <f t="shared" si="25"/>
        <v>25</v>
      </c>
      <c r="S169" s="1" t="s">
        <v>87</v>
      </c>
      <c r="T169" s="1">
        <v>1</v>
      </c>
      <c r="U169" s="1" t="s">
        <v>36</v>
      </c>
      <c r="V169" s="1" t="str">
        <f t="shared" si="26"/>
        <v>Linea-33-kV-NorteElMauro-Area7_02</v>
      </c>
      <c r="W169" s="1" t="str">
        <f t="shared" si="31"/>
        <v>Linea-33-kV-NorteElMauro-Area7_02</v>
      </c>
      <c r="X169" s="4" t="b">
        <f t="shared" si="27"/>
        <v>1</v>
      </c>
      <c r="Y169" s="1">
        <f>VLOOKUP(D169,'Orden de Imagen'!$A$1:D312,4,FALSE())</f>
        <v>139</v>
      </c>
      <c r="Z169" s="1" t="str">
        <f t="shared" si="28"/>
        <v>139_25_12_02_Linea-33-kV-NorteElMauro-Area7_02</v>
      </c>
    </row>
    <row r="170" spans="1:26" ht="15" customHeight="1" x14ac:dyDescent="0.25">
      <c r="A170" s="1">
        <v>171</v>
      </c>
      <c r="B170" s="7" t="s">
        <v>452</v>
      </c>
      <c r="C170" s="1" t="str">
        <f t="shared" si="29"/>
        <v>CL_MLP_PAO_IF_Ortho_25_12_02_Linea-33-kV-NorteElMauro-Area8_02.tiff</v>
      </c>
      <c r="D170" s="1" t="str">
        <f t="shared" si="30"/>
        <v>CL_MLP_PAO_IF_Ortho_25_12_02_Linea-33-kV-NorteElMauro-Area8_02</v>
      </c>
      <c r="E170" s="7" t="s">
        <v>453</v>
      </c>
      <c r="F170" s="1" t="s">
        <v>28</v>
      </c>
      <c r="G170" s="1" t="s">
        <v>29</v>
      </c>
      <c r="H170" s="16">
        <v>45993.166666666701</v>
      </c>
      <c r="I170" s="16">
        <v>45994</v>
      </c>
      <c r="J170" s="1" t="s">
        <v>30</v>
      </c>
      <c r="K170" s="2" t="str">
        <f t="shared" si="22"/>
        <v>https://sig.aminerals.cl/imgdyn/rest/services/CL_MLP_PAO/CL_MLP_PAO_IF_Ortho_ALL/ImageServer/file?id=.\El_Mauro_Drone\25_12_02\CL_MLP_PAO_IF_Ortho_25_12_02_Linea-33-kV-NorteElMauro-Area8_02.tiff&amp;rasterId=</v>
      </c>
      <c r="L170" s="1" t="s">
        <v>31</v>
      </c>
      <c r="M170" s="1" t="s">
        <v>32</v>
      </c>
      <c r="N170" s="1" t="s">
        <v>33</v>
      </c>
      <c r="O170" s="1" t="s">
        <v>34</v>
      </c>
      <c r="P170" s="3" t="str">
        <f t="shared" si="23"/>
        <v>02</v>
      </c>
      <c r="Q170" s="3" t="str">
        <f t="shared" si="24"/>
        <v>12</v>
      </c>
      <c r="R170" s="3" t="str">
        <f t="shared" si="25"/>
        <v>25</v>
      </c>
      <c r="S170" s="1" t="s">
        <v>87</v>
      </c>
      <c r="T170" s="1">
        <v>1</v>
      </c>
      <c r="U170" s="1" t="s">
        <v>36</v>
      </c>
      <c r="V170" s="1" t="str">
        <f t="shared" si="26"/>
        <v>Linea-33-kV-NorteElMauro-Area8_02</v>
      </c>
      <c r="W170" s="1" t="str">
        <f t="shared" si="31"/>
        <v>Linea-33-kV-NorteElMauro-Area8_02</v>
      </c>
      <c r="X170" s="4" t="b">
        <f t="shared" si="27"/>
        <v>1</v>
      </c>
      <c r="Y170" s="1">
        <f>VLOOKUP(D170,'Orden de Imagen'!$A$1:D313,4,FALSE())</f>
        <v>140</v>
      </c>
      <c r="Z170" s="1" t="str">
        <f t="shared" si="28"/>
        <v>140_25_12_02_Linea-33-kV-NorteElMauro-Area8_02</v>
      </c>
    </row>
    <row r="171" spans="1:26" ht="15" customHeight="1" x14ac:dyDescent="0.25">
      <c r="A171" s="1">
        <v>172</v>
      </c>
      <c r="B171" s="1" t="s">
        <v>454</v>
      </c>
      <c r="C171" s="1" t="str">
        <f t="shared" si="29"/>
        <v>CL_MLP_PAO_IF_Ortho_25_12_03_Linea-33-kV-NorteElMauro-Area5_02.tiff</v>
      </c>
      <c r="D171" s="1" t="str">
        <f t="shared" si="30"/>
        <v>CL_MLP_PAO_IF_Ortho_25_12_03_Linea-33-kV-NorteElMauro-Area5_02</v>
      </c>
      <c r="E171" s="1" t="s">
        <v>455</v>
      </c>
      <c r="F171" s="1" t="s">
        <v>28</v>
      </c>
      <c r="G171" s="1" t="s">
        <v>29</v>
      </c>
      <c r="H171" s="16">
        <v>45994.166666666701</v>
      </c>
      <c r="I171" s="16">
        <v>46000</v>
      </c>
      <c r="J171" s="1" t="s">
        <v>30</v>
      </c>
      <c r="K171" s="2" t="str">
        <f t="shared" si="22"/>
        <v>https://sig.aminerals.cl/imgdyn/rest/services/CL_MLP_PAO/CL_MLP_PAO_IF_Ortho_ALL/ImageServer/file?id=.\El_Mauro_Drone\25_12_03\CL_MLP_PAO_IF_Ortho_25_12_03_Linea-33-kV-NorteElMauro-Area5_02.tiff&amp;rasterId=</v>
      </c>
      <c r="L171" s="1" t="s">
        <v>31</v>
      </c>
      <c r="M171" s="1" t="s">
        <v>32</v>
      </c>
      <c r="N171" s="1" t="s">
        <v>33</v>
      </c>
      <c r="O171" s="1" t="s">
        <v>34</v>
      </c>
      <c r="P171" s="3" t="str">
        <f t="shared" si="23"/>
        <v>03</v>
      </c>
      <c r="Q171" s="3" t="str">
        <f t="shared" si="24"/>
        <v>12</v>
      </c>
      <c r="R171" s="3" t="str">
        <f t="shared" si="25"/>
        <v>25</v>
      </c>
      <c r="S171" s="1" t="s">
        <v>87</v>
      </c>
      <c r="T171" s="1">
        <v>1</v>
      </c>
      <c r="U171" s="1" t="s">
        <v>36</v>
      </c>
      <c r="V171" s="1" t="str">
        <f t="shared" si="26"/>
        <v>Linea-33-kV-NorteElMauro-Area5_02</v>
      </c>
      <c r="W171" s="1" t="str">
        <f t="shared" si="31"/>
        <v>Linea-33-kV-NorteElMauro-Area5_02</v>
      </c>
      <c r="X171" s="4" t="b">
        <f t="shared" si="27"/>
        <v>1</v>
      </c>
      <c r="Y171" s="1">
        <f>VLOOKUP(D171,'Orden de Imagen'!$A$1:D314,4,FALSE())</f>
        <v>141</v>
      </c>
      <c r="Z171" s="1" t="str">
        <f t="shared" si="28"/>
        <v>141_25_12_03_Linea-33-kV-NorteElMauro-Area5_02</v>
      </c>
    </row>
    <row r="172" spans="1:26" ht="15" customHeight="1" x14ac:dyDescent="0.25">
      <c r="A172" s="1">
        <v>173</v>
      </c>
      <c r="B172" s="1" t="s">
        <v>456</v>
      </c>
      <c r="C172" s="1" t="str">
        <f t="shared" si="29"/>
        <v>CL_MLP_PAO_IF_Ortho_25_12_03_Linea-33-kV-NorteElMauro-Area6_02.tiff</v>
      </c>
      <c r="D172" s="1" t="str">
        <f t="shared" si="30"/>
        <v>CL_MLP_PAO_IF_Ortho_25_12_03_Linea-33-kV-NorteElMauro-Area6_02</v>
      </c>
      <c r="E172" s="1" t="s">
        <v>457</v>
      </c>
      <c r="F172" s="1" t="s">
        <v>28</v>
      </c>
      <c r="G172" s="1" t="s">
        <v>29</v>
      </c>
      <c r="H172" s="16">
        <v>45994.166666666701</v>
      </c>
      <c r="I172" s="16">
        <v>46000</v>
      </c>
      <c r="J172" s="1" t="s">
        <v>30</v>
      </c>
      <c r="K172" s="2" t="str">
        <f t="shared" si="22"/>
        <v>https://sig.aminerals.cl/imgdyn/rest/services/CL_MLP_PAO/CL_MLP_PAO_IF_Ortho_ALL/ImageServer/file?id=.\El_Mauro_Drone\25_12_03\CL_MLP_PAO_IF_Ortho_25_12_03_Linea-33-kV-NorteElMauro-Area6_02.tiff&amp;rasterId=</v>
      </c>
      <c r="L172" s="1" t="s">
        <v>31</v>
      </c>
      <c r="M172" s="1" t="s">
        <v>32</v>
      </c>
      <c r="N172" s="1" t="s">
        <v>33</v>
      </c>
      <c r="O172" s="1" t="s">
        <v>34</v>
      </c>
      <c r="P172" s="3" t="str">
        <f t="shared" si="23"/>
        <v>03</v>
      </c>
      <c r="Q172" s="3" t="str">
        <f t="shared" si="24"/>
        <v>12</v>
      </c>
      <c r="R172" s="3" t="str">
        <f t="shared" si="25"/>
        <v>25</v>
      </c>
      <c r="S172" s="1" t="s">
        <v>87</v>
      </c>
      <c r="T172" s="1">
        <v>1</v>
      </c>
      <c r="U172" s="1" t="s">
        <v>36</v>
      </c>
      <c r="V172" s="1" t="str">
        <f t="shared" si="26"/>
        <v>Linea-33-kV-NorteElMauro-Area6_02</v>
      </c>
      <c r="W172" s="1" t="str">
        <f t="shared" si="31"/>
        <v>Linea-33-kV-NorteElMauro-Area6_02</v>
      </c>
      <c r="X172" s="4" t="b">
        <f t="shared" si="27"/>
        <v>1</v>
      </c>
      <c r="Y172" s="1">
        <f>VLOOKUP(D172,'Orden de Imagen'!$A$1:D315,4,FALSE())</f>
        <v>142</v>
      </c>
      <c r="Z172" s="1" t="str">
        <f t="shared" si="28"/>
        <v>142_25_12_03_Linea-33-kV-NorteElMauro-Area6_02</v>
      </c>
    </row>
    <row r="173" spans="1:26" ht="15" customHeight="1" x14ac:dyDescent="0.25">
      <c r="A173" s="1">
        <v>174</v>
      </c>
      <c r="B173" s="1" t="s">
        <v>458</v>
      </c>
      <c r="C173" s="1" t="str">
        <f>CONCATENATE(L173,"_",M173,"_",G173,"_",N173,"_",O173,"_",R173,"_",Q173,"_",P173,"_",E173,".tif")</f>
        <v>CL_MLP_PAO_IF_Ortho_25_12_19_Plataforma_Integrada_El_Mauro.tif</v>
      </c>
      <c r="D173" s="1" t="str">
        <f t="shared" si="30"/>
        <v>CL_MLP_PAO_IF_Ortho_25_12_19_Plataforma_Integrada_El_Mauro</v>
      </c>
      <c r="E173" s="1" t="s">
        <v>459</v>
      </c>
      <c r="F173" s="1" t="s">
        <v>460</v>
      </c>
      <c r="G173" s="1" t="s">
        <v>29</v>
      </c>
      <c r="H173" s="16">
        <v>46010</v>
      </c>
      <c r="I173" s="16">
        <v>46091</v>
      </c>
      <c r="J173" s="1" t="s">
        <v>30</v>
      </c>
      <c r="K173" s="2" t="str">
        <f t="shared" si="22"/>
        <v>https://sig.aminerals.cl/imgdyn/rest/services/CL_MLP_PAO/CL_MLP_PAO_IF_Ortho_Geosupport/ImageServer/file?id=.\El_Mauro_Drone\25_12_19\CL_MLP_PAO_IF_Ortho_25_12_19_Plataforma_Integrada_El_Mauro.tif&amp;rasterId=</v>
      </c>
      <c r="L173" s="1" t="s">
        <v>31</v>
      </c>
      <c r="M173" s="1" t="s">
        <v>32</v>
      </c>
      <c r="N173" s="1" t="s">
        <v>33</v>
      </c>
      <c r="O173" s="1" t="s">
        <v>34</v>
      </c>
      <c r="P173" s="3" t="str">
        <f t="shared" si="23"/>
        <v>19</v>
      </c>
      <c r="Q173" s="3" t="str">
        <f t="shared" si="24"/>
        <v>12</v>
      </c>
      <c r="R173" s="3" t="str">
        <f t="shared" si="25"/>
        <v>25</v>
      </c>
      <c r="S173" s="1" t="s">
        <v>87</v>
      </c>
      <c r="T173" s="1">
        <v>1</v>
      </c>
      <c r="U173" s="1" t="s">
        <v>461</v>
      </c>
      <c r="V173" s="1" t="str">
        <f t="shared" si="26"/>
        <v>Plataforma_Integrada_El_Mauro</v>
      </c>
      <c r="W173" s="1" t="str">
        <f t="shared" si="31"/>
        <v>Plataforma_Integrada_El_Mauro</v>
      </c>
      <c r="X173" s="4" t="b">
        <f t="shared" si="27"/>
        <v>1</v>
      </c>
      <c r="Y173" s="1">
        <f>VLOOKUP(D173,'Orden de Imagen'!$A$1:D316,4,FALSE())</f>
        <v>143</v>
      </c>
      <c r="Z173" s="1" t="str">
        <f t="shared" si="28"/>
        <v>143_25_12_19_Plataforma_Integrada_El_Mauro</v>
      </c>
    </row>
    <row r="174" spans="1:26" ht="15" customHeight="1" x14ac:dyDescent="0.25">
      <c r="A174" s="1">
        <v>175</v>
      </c>
      <c r="B174" s="1" t="s">
        <v>462</v>
      </c>
      <c r="C174" s="1" t="str">
        <f>CONCATENATE(L174,"_",M174,"_",G174,"_",N174,"_",O174,"_",R174,"_",Q174,"_",P174,"_",E174,".tif")</f>
        <v>CL_MLP_PAO_IF_Ortho_25_12_26_Plataforma_Integrada_El_Mauro.tif</v>
      </c>
      <c r="D174" s="1" t="str">
        <f t="shared" si="30"/>
        <v>CL_MLP_PAO_IF_Ortho_25_12_26_Plataforma_Integrada_El_Mauro</v>
      </c>
      <c r="E174" s="1" t="s">
        <v>459</v>
      </c>
      <c r="F174" s="1" t="s">
        <v>460</v>
      </c>
      <c r="G174" s="1" t="s">
        <v>29</v>
      </c>
      <c r="H174" s="16">
        <v>46017</v>
      </c>
      <c r="I174" s="16">
        <v>46091</v>
      </c>
      <c r="J174" s="1" t="s">
        <v>30</v>
      </c>
      <c r="K174" s="2" t="str">
        <f t="shared" si="22"/>
        <v>https://sig.aminerals.cl/imgdyn/rest/services/CL_MLP_PAO/CL_MLP_PAO_IF_Ortho_Geosupport/ImageServer/file?id=.\El_Mauro_Drone\25_12_26\CL_MLP_PAO_IF_Ortho_25_12_26_Plataforma_Integrada_El_Mauro.tif&amp;rasterId=</v>
      </c>
      <c r="L174" s="1" t="s">
        <v>31</v>
      </c>
      <c r="M174" s="1" t="s">
        <v>32</v>
      </c>
      <c r="N174" s="1" t="s">
        <v>33</v>
      </c>
      <c r="O174" s="1" t="s">
        <v>34</v>
      </c>
      <c r="P174" s="3" t="str">
        <f t="shared" si="23"/>
        <v>26</v>
      </c>
      <c r="Q174" s="3" t="str">
        <f t="shared" si="24"/>
        <v>12</v>
      </c>
      <c r="R174" s="3" t="str">
        <f t="shared" si="25"/>
        <v>25</v>
      </c>
      <c r="S174" s="1" t="s">
        <v>87</v>
      </c>
      <c r="T174" s="1">
        <v>1</v>
      </c>
      <c r="U174" s="1" t="s">
        <v>461</v>
      </c>
      <c r="V174" s="1" t="str">
        <f t="shared" si="26"/>
        <v>Plataforma_Integrada_El_Mauro</v>
      </c>
      <c r="W174" s="1" t="str">
        <f t="shared" si="31"/>
        <v>Plataforma_Integrada_El_Mauro</v>
      </c>
      <c r="X174" s="4" t="b">
        <f t="shared" si="27"/>
        <v>1</v>
      </c>
      <c r="Y174" s="1">
        <f>VLOOKUP(D174,'Orden de Imagen'!$A$1:D317,4,FALSE())</f>
        <v>144</v>
      </c>
      <c r="Z174" s="1" t="str">
        <f t="shared" si="28"/>
        <v>144_25_12_26_Plataforma_Integrada_El_Mauro</v>
      </c>
    </row>
    <row r="175" spans="1:26" ht="15" customHeight="1" x14ac:dyDescent="0.25">
      <c r="A175" s="1">
        <v>176</v>
      </c>
      <c r="B175" s="1" t="s">
        <v>463</v>
      </c>
      <c r="C175" s="1" t="str">
        <f>CONCATENATE(L175,"_",M175,"_",G175,"_",N175,"_",O175,"_",R175,"_",Q175,"_",P175,"_",E175,".tif")</f>
        <v>CL_MLP_PAO_IF_Ortho_26_01_02_Plataforma_Integrada_El_Mauro.tif</v>
      </c>
      <c r="D175" s="1" t="str">
        <f t="shared" si="30"/>
        <v>CL_MLP_PAO_IF_Ortho_26_01_02_Plataforma_Integrada_El_Mauro</v>
      </c>
      <c r="E175" s="1" t="s">
        <v>459</v>
      </c>
      <c r="F175" s="1" t="s">
        <v>460</v>
      </c>
      <c r="G175" s="1" t="s">
        <v>29</v>
      </c>
      <c r="H175" s="16">
        <v>46024</v>
      </c>
      <c r="I175" s="16">
        <v>46091</v>
      </c>
      <c r="J175" s="1" t="s">
        <v>30</v>
      </c>
      <c r="K175" s="2" t="str">
        <f t="shared" si="22"/>
        <v>https://sig.aminerals.cl/imgdyn/rest/services/CL_MLP_PAO/CL_MLP_PAO_IF_Ortho_Geosupport/ImageServer/file?id=.\El_Mauro_Drone\26_01_02\CL_MLP_PAO_IF_Ortho_26_01_02_Plataforma_Integrada_El_Mauro.tif&amp;rasterId=</v>
      </c>
      <c r="L175" s="1" t="s">
        <v>31</v>
      </c>
      <c r="M175" s="1" t="s">
        <v>32</v>
      </c>
      <c r="N175" s="1" t="s">
        <v>33</v>
      </c>
      <c r="O175" s="1" t="s">
        <v>34</v>
      </c>
      <c r="P175" s="3" t="str">
        <f t="shared" si="23"/>
        <v>02</v>
      </c>
      <c r="Q175" s="3" t="str">
        <f t="shared" si="24"/>
        <v>01</v>
      </c>
      <c r="R175" s="3" t="str">
        <f t="shared" si="25"/>
        <v>26</v>
      </c>
      <c r="S175" s="1" t="s">
        <v>87</v>
      </c>
      <c r="T175" s="1">
        <v>1</v>
      </c>
      <c r="U175" s="1" t="s">
        <v>461</v>
      </c>
      <c r="V175" s="1" t="str">
        <f t="shared" si="26"/>
        <v>Plataforma_Integrada_El_Mauro</v>
      </c>
      <c r="W175" s="1" t="str">
        <f t="shared" si="31"/>
        <v>Plataforma_Integrada_El_Mauro</v>
      </c>
      <c r="X175" s="4" t="b">
        <f t="shared" si="27"/>
        <v>1</v>
      </c>
      <c r="Y175" s="1">
        <f>VLOOKUP(D175,'Orden de Imagen'!$A$1:D318,4,FALSE())</f>
        <v>145</v>
      </c>
      <c r="Z175" s="1" t="str">
        <f t="shared" si="28"/>
        <v>145_26_01_02_Plataforma_Integrada_El_Mauro</v>
      </c>
    </row>
    <row r="176" spans="1:26" ht="15" customHeight="1" x14ac:dyDescent="0.25">
      <c r="A176" s="1">
        <v>177</v>
      </c>
      <c r="B176" s="1" t="s">
        <v>464</v>
      </c>
      <c r="C176" s="1" t="str">
        <f>CONCATENATE(L176,"_",M176,"_",G176,"_",N176,"_",O176,"_",R176,"_",Q176,"_",P176,"_",E176,".tif")</f>
        <v>CL_MLP_PAO_IF_Ortho_26_01_03_DME5A-DME17-a-NSTC-78p9.tif</v>
      </c>
      <c r="D176" s="1" t="str">
        <f t="shared" si="30"/>
        <v>CL_MLP_PAO_IF_Ortho_26_01_03_DME5A-DME17-a-NSTC-78p9</v>
      </c>
      <c r="E176" s="1" t="s">
        <v>465</v>
      </c>
      <c r="F176" s="1" t="s">
        <v>460</v>
      </c>
      <c r="G176" s="1" t="s">
        <v>29</v>
      </c>
      <c r="H176" s="16">
        <v>46025.166666666701</v>
      </c>
      <c r="I176" s="16">
        <v>46050</v>
      </c>
      <c r="J176" s="1" t="s">
        <v>30</v>
      </c>
      <c r="K176" s="2" t="str">
        <f t="shared" si="22"/>
        <v>https://sig.aminerals.cl/imgdyn/rest/services/CL_MLP_PAO/CL_MLP_PAO_IF_Ortho_Geosupport/ImageServer/file?id=.\El_Mauro_Puerto_Punta_Chungo_Drone\26_01_03\CL_MLP_PAO_IF_Ortho_26_01_03_DME5A-DME17-a-NSTC-78p9.tif&amp;rasterId=</v>
      </c>
      <c r="L176" s="1" t="s">
        <v>31</v>
      </c>
      <c r="M176" s="1" t="s">
        <v>32</v>
      </c>
      <c r="N176" s="1" t="s">
        <v>33</v>
      </c>
      <c r="O176" s="1" t="s">
        <v>34</v>
      </c>
      <c r="P176" s="3" t="str">
        <f t="shared" si="23"/>
        <v>03</v>
      </c>
      <c r="Q176" s="3" t="str">
        <f t="shared" si="24"/>
        <v>01</v>
      </c>
      <c r="R176" s="3" t="str">
        <f t="shared" si="25"/>
        <v>26</v>
      </c>
      <c r="S176" s="1" t="s">
        <v>50</v>
      </c>
      <c r="T176" s="1">
        <v>1</v>
      </c>
      <c r="U176" s="1" t="s">
        <v>461</v>
      </c>
      <c r="V176" s="1" t="str">
        <f t="shared" si="26"/>
        <v>DME5A-DME17-a-NSTC-78p9</v>
      </c>
      <c r="W176" s="1" t="str">
        <f t="shared" si="31"/>
        <v>DME5A-DME17-a-NSTC-78p9</v>
      </c>
      <c r="X176" s="4" t="b">
        <f t="shared" si="27"/>
        <v>1</v>
      </c>
      <c r="Y176" s="1">
        <f>VLOOKUP(D176,'Orden de Imagen'!$A$1:D319,4,FALSE())</f>
        <v>146</v>
      </c>
      <c r="Z176" s="1" t="str">
        <f t="shared" si="28"/>
        <v>146_26_01_03_DME5A-DME17-a-NSTC-78p9</v>
      </c>
    </row>
    <row r="177" spans="1:26" ht="15" customHeight="1" x14ac:dyDescent="0.25">
      <c r="A177" s="1">
        <v>178</v>
      </c>
      <c r="B177" s="1" t="s">
        <v>466</v>
      </c>
      <c r="C177" s="1" t="str">
        <f>CONCATENATE(L177,"_",M177,"_",G177,"_",N177,"_",O177,"_",R177,"_",Q177,"_",P177,"_",E177,".tiff")</f>
        <v>CL_MLP_PAO_IF_Ortho_26_01_04_EV2.tiff</v>
      </c>
      <c r="D177" s="1" t="str">
        <f t="shared" si="30"/>
        <v>CL_MLP_PAO_IF_Ortho_26_01_04_EV2</v>
      </c>
      <c r="E177" s="1" t="s">
        <v>74</v>
      </c>
      <c r="F177" s="1" t="s">
        <v>460</v>
      </c>
      <c r="G177" s="1" t="s">
        <v>29</v>
      </c>
      <c r="H177" s="16">
        <v>46026.166666666701</v>
      </c>
      <c r="I177" s="16">
        <v>46043</v>
      </c>
      <c r="J177" s="1" t="s">
        <v>30</v>
      </c>
      <c r="K177" s="2" t="str">
        <f t="shared" si="22"/>
        <v>https://sig.aminerals.cl/imgdyn/rest/services/CL_MLP_PAO/CL_MLP_PAO_IF_Ortho_Geosupport/ImageServer/file?id=.\El_Mauro_Puerto_Punta_Chungo_Drone\26_01_04\CL_MLP_PAO_IF_Ortho_26_01_04_EV2.tiff&amp;rasterId=</v>
      </c>
      <c r="L177" s="1" t="s">
        <v>31</v>
      </c>
      <c r="M177" s="1" t="s">
        <v>32</v>
      </c>
      <c r="N177" s="1" t="s">
        <v>33</v>
      </c>
      <c r="O177" s="1" t="s">
        <v>34</v>
      </c>
      <c r="P177" s="3" t="str">
        <f t="shared" si="23"/>
        <v>04</v>
      </c>
      <c r="Q177" s="3" t="str">
        <f t="shared" si="24"/>
        <v>01</v>
      </c>
      <c r="R177" s="3" t="str">
        <f t="shared" si="25"/>
        <v>26</v>
      </c>
      <c r="S177" s="1" t="s">
        <v>50</v>
      </c>
      <c r="T177" s="1">
        <v>1</v>
      </c>
      <c r="U177" s="1" t="s">
        <v>461</v>
      </c>
      <c r="V177" s="1" t="str">
        <f t="shared" si="26"/>
        <v>EV2</v>
      </c>
      <c r="W177" s="1" t="str">
        <f t="shared" si="31"/>
        <v>EV2</v>
      </c>
      <c r="X177" s="4" t="b">
        <f t="shared" si="27"/>
        <v>1</v>
      </c>
      <c r="Y177" s="1">
        <f>VLOOKUP(D177,'Orden de Imagen'!$A$1:D320,4,FALSE())</f>
        <v>147</v>
      </c>
      <c r="Z177" s="1" t="str">
        <f t="shared" si="28"/>
        <v>147_26_01_04_EV2</v>
      </c>
    </row>
    <row r="178" spans="1:26" ht="15" customHeight="1" x14ac:dyDescent="0.25">
      <c r="A178" s="1">
        <v>179</v>
      </c>
      <c r="B178" s="1" t="s">
        <v>467</v>
      </c>
      <c r="C178" s="1" t="str">
        <f>CONCATENATE(L178,"_",M178,"_",G178,"_",N178,"_",O178,"_",R178,"_",Q178,"_",P178,"_",E178,".tif")</f>
        <v>CL_MLP_PAO_IF_Ortho_26_01_07_ED2.tif</v>
      </c>
      <c r="D178" s="1" t="str">
        <f t="shared" si="30"/>
        <v>CL_MLP_PAO_IF_Ortho_26_01_07_ED2</v>
      </c>
      <c r="E178" s="1" t="s">
        <v>468</v>
      </c>
      <c r="F178" s="1" t="s">
        <v>460</v>
      </c>
      <c r="G178" s="1" t="s">
        <v>29</v>
      </c>
      <c r="H178" s="16">
        <v>46029.166666666701</v>
      </c>
      <c r="I178" s="16">
        <v>46050</v>
      </c>
      <c r="J178" s="1" t="s">
        <v>30</v>
      </c>
      <c r="K178" s="2" t="str">
        <f t="shared" si="22"/>
        <v>https://sig.aminerals.cl/imgdyn/rest/services/CL_MLP_PAO/CL_MLP_PAO_IF_Ortho_Geosupport/ImageServer/file?id=.\Chacay_El_Mauro_Drone\26_01_07\CL_MLP_PAO_IF_Ortho_26_01_07_ED2.tif&amp;rasterId=</v>
      </c>
      <c r="L178" s="1" t="s">
        <v>31</v>
      </c>
      <c r="M178" s="1" t="s">
        <v>32</v>
      </c>
      <c r="N178" s="1" t="s">
        <v>33</v>
      </c>
      <c r="O178" s="1" t="s">
        <v>34</v>
      </c>
      <c r="P178" s="3" t="str">
        <f t="shared" si="23"/>
        <v>07</v>
      </c>
      <c r="Q178" s="3" t="str">
        <f t="shared" si="24"/>
        <v>01</v>
      </c>
      <c r="R178" s="3" t="str">
        <f t="shared" si="25"/>
        <v>26</v>
      </c>
      <c r="S178" s="1" t="s">
        <v>40</v>
      </c>
      <c r="T178" s="1">
        <v>1</v>
      </c>
      <c r="U178" s="1" t="s">
        <v>461</v>
      </c>
      <c r="V178" s="1" t="str">
        <f t="shared" si="26"/>
        <v>ED2</v>
      </c>
      <c r="W178" s="1" t="str">
        <f t="shared" si="31"/>
        <v>ED2</v>
      </c>
      <c r="X178" s="4" t="b">
        <f t="shared" si="27"/>
        <v>1</v>
      </c>
      <c r="Y178" s="1">
        <f>VLOOKUP(D178,'Orden de Imagen'!$A$1:D321,4,FALSE())</f>
        <v>148</v>
      </c>
      <c r="Z178" s="1" t="str">
        <f t="shared" si="28"/>
        <v>148_26_01_07_ED2</v>
      </c>
    </row>
    <row r="179" spans="1:26" ht="15" customHeight="1" x14ac:dyDescent="0.25">
      <c r="A179" s="1">
        <v>180</v>
      </c>
      <c r="B179" s="1" t="s">
        <v>469</v>
      </c>
      <c r="C179" s="1" t="str">
        <f t="shared" ref="C179:C184" si="32">CONCATENATE(L179,"_",M179,"_",G179,"_",N179,"_",O179,"_",R179,"_",Q179,"_",P179,"_",E179,".tiff")</f>
        <v>CL_MLP_PAO_IF_Ortho_26_01_07_Linea-33-kV-NorteElMauro-Area12.tiff</v>
      </c>
      <c r="D179" s="1" t="str">
        <f t="shared" si="30"/>
        <v>CL_MLP_PAO_IF_Ortho_26_01_07_Linea-33-kV-NorteElMauro-Area12</v>
      </c>
      <c r="E179" s="1" t="s">
        <v>470</v>
      </c>
      <c r="F179" s="1" t="s">
        <v>460</v>
      </c>
      <c r="G179" s="1" t="s">
        <v>29</v>
      </c>
      <c r="H179" s="16">
        <v>46029.166666666701</v>
      </c>
      <c r="I179" s="16">
        <v>46043</v>
      </c>
      <c r="J179" s="1" t="s">
        <v>30</v>
      </c>
      <c r="K179" s="2" t="str">
        <f t="shared" si="22"/>
        <v>https://sig.aminerals.cl/imgdyn/rest/services/CL_MLP_PAO/CL_MLP_PAO_IF_Ortho_Geosupport/ImageServer/file?id=.\El_Mauro_Drone\26_01_07\CL_MLP_PAO_IF_Ortho_26_01_07_Linea-33-kV-NorteElMauro-Area12.tiff&amp;rasterId=</v>
      </c>
      <c r="L179" s="1" t="s">
        <v>31</v>
      </c>
      <c r="M179" s="1" t="s">
        <v>32</v>
      </c>
      <c r="N179" s="1" t="s">
        <v>33</v>
      </c>
      <c r="O179" s="1" t="s">
        <v>34</v>
      </c>
      <c r="P179" s="3" t="str">
        <f t="shared" si="23"/>
        <v>07</v>
      </c>
      <c r="Q179" s="3" t="str">
        <f t="shared" si="24"/>
        <v>01</v>
      </c>
      <c r="R179" s="3" t="str">
        <f t="shared" si="25"/>
        <v>26</v>
      </c>
      <c r="S179" s="1" t="s">
        <v>87</v>
      </c>
      <c r="T179" s="1">
        <v>1</v>
      </c>
      <c r="U179" s="1" t="s">
        <v>461</v>
      </c>
      <c r="V179" s="1" t="str">
        <f t="shared" si="26"/>
        <v>Linea-33-kV-NorteElMauro-Area12</v>
      </c>
      <c r="W179" s="1" t="str">
        <f t="shared" si="31"/>
        <v>Linea-33-kV-NorteElMauro-Area12</v>
      </c>
      <c r="X179" s="4" t="b">
        <f t="shared" si="27"/>
        <v>1</v>
      </c>
      <c r="Y179" s="1">
        <f>VLOOKUP(D179,'Orden de Imagen'!$A$1:D322,4,FALSE())</f>
        <v>149</v>
      </c>
      <c r="Z179" s="1" t="str">
        <f t="shared" si="28"/>
        <v>149_26_01_07_Linea-33-kV-NorteElMauro-Area12</v>
      </c>
    </row>
    <row r="180" spans="1:26" ht="15" customHeight="1" x14ac:dyDescent="0.25">
      <c r="A180" s="1">
        <v>181</v>
      </c>
      <c r="B180" s="1" t="s">
        <v>471</v>
      </c>
      <c r="C180" s="1" t="str">
        <f t="shared" si="32"/>
        <v>CL_MLP_PAO_IF_Ortho_26_01_07_Patio-19B-y-Armado.tiff</v>
      </c>
      <c r="D180" s="1" t="str">
        <f t="shared" si="30"/>
        <v>CL_MLP_PAO_IF_Ortho_26_01_07_Patio-19B-y-Armado</v>
      </c>
      <c r="E180" s="1" t="s">
        <v>472</v>
      </c>
      <c r="F180" s="1" t="s">
        <v>460</v>
      </c>
      <c r="G180" s="1" t="s">
        <v>29</v>
      </c>
      <c r="H180" s="16">
        <v>46029.166666666701</v>
      </c>
      <c r="I180" s="16">
        <v>46043</v>
      </c>
      <c r="J180" s="1" t="s">
        <v>30</v>
      </c>
      <c r="K180" s="2" t="str">
        <f t="shared" si="22"/>
        <v>https://sig.aminerals.cl/imgdyn/rest/services/CL_MLP_PAO/CL_MLP_PAO_IF_Ortho_Geosupport/ImageServer/file?id=.\El_Mauro_Drone\26_01_07\CL_MLP_PAO_IF_Ortho_26_01_07_Patio-19B-y-Armado.tiff&amp;rasterId=</v>
      </c>
      <c r="L180" s="1" t="s">
        <v>31</v>
      </c>
      <c r="M180" s="1" t="s">
        <v>32</v>
      </c>
      <c r="N180" s="1" t="s">
        <v>33</v>
      </c>
      <c r="O180" s="1" t="s">
        <v>34</v>
      </c>
      <c r="P180" s="3" t="str">
        <f t="shared" si="23"/>
        <v>07</v>
      </c>
      <c r="Q180" s="3" t="str">
        <f t="shared" si="24"/>
        <v>01</v>
      </c>
      <c r="R180" s="3" t="str">
        <f t="shared" si="25"/>
        <v>26</v>
      </c>
      <c r="S180" s="1" t="s">
        <v>87</v>
      </c>
      <c r="T180" s="1">
        <v>1</v>
      </c>
      <c r="U180" s="1" t="s">
        <v>461</v>
      </c>
      <c r="V180" s="1" t="str">
        <f t="shared" si="26"/>
        <v>Patio-19B-y-Armado</v>
      </c>
      <c r="W180" s="1" t="str">
        <f t="shared" si="31"/>
        <v>Patio-19B-y-Armado</v>
      </c>
      <c r="X180" s="4" t="b">
        <f t="shared" si="27"/>
        <v>1</v>
      </c>
      <c r="Y180" s="1">
        <f>VLOOKUP(D180,'Orden de Imagen'!$A$1:D323,4,FALSE())</f>
        <v>150</v>
      </c>
      <c r="Z180" s="1" t="str">
        <f t="shared" si="28"/>
        <v>150_26_01_07_Patio-19B-y-Armado</v>
      </c>
    </row>
    <row r="181" spans="1:26" ht="15" customHeight="1" x14ac:dyDescent="0.25">
      <c r="A181" s="1">
        <v>182</v>
      </c>
      <c r="B181" s="1" t="s">
        <v>473</v>
      </c>
      <c r="C181" s="1" t="str">
        <f t="shared" si="32"/>
        <v>CL_MLP_PAO_IF_Ortho_26_01_07_TORRE_E48_A_E84_PV4.tiff</v>
      </c>
      <c r="D181" s="1" t="str">
        <f t="shared" si="30"/>
        <v>CL_MLP_PAO_IF_Ortho_26_01_07_TORRE_E48_A_E84_PV4</v>
      </c>
      <c r="E181" s="1" t="s">
        <v>474</v>
      </c>
      <c r="F181" s="1" t="s">
        <v>460</v>
      </c>
      <c r="G181" s="1" t="s">
        <v>29</v>
      </c>
      <c r="H181" s="16">
        <v>46029.166666666701</v>
      </c>
      <c r="I181" s="16">
        <v>46043</v>
      </c>
      <c r="J181" s="1" t="s">
        <v>30</v>
      </c>
      <c r="K181" s="2" t="str">
        <f t="shared" si="22"/>
        <v>https://sig.aminerals.cl/imgdyn/rest/services/CL_MLP_PAO/CL_MLP_PAO_IF_Ortho_Geosupport/ImageServer/file?id=.\El_Mauro_Puerto_Punta_Chungo_Drone\26_01_07\CL_MLP_PAO_IF_Ortho_26_01_07_TORRE_E48_A_E84_PV4.tiff&amp;rasterId=</v>
      </c>
      <c r="L181" s="1" t="s">
        <v>31</v>
      </c>
      <c r="M181" s="1" t="s">
        <v>32</v>
      </c>
      <c r="N181" s="1" t="s">
        <v>33</v>
      </c>
      <c r="O181" s="1" t="s">
        <v>34</v>
      </c>
      <c r="P181" s="3" t="str">
        <f t="shared" si="23"/>
        <v>07</v>
      </c>
      <c r="Q181" s="3" t="str">
        <f t="shared" si="24"/>
        <v>01</v>
      </c>
      <c r="R181" s="3" t="str">
        <f t="shared" si="25"/>
        <v>26</v>
      </c>
      <c r="S181" s="1" t="s">
        <v>50</v>
      </c>
      <c r="T181" s="1">
        <v>1</v>
      </c>
      <c r="U181" s="1" t="s">
        <v>461</v>
      </c>
      <c r="V181" s="1" t="str">
        <f t="shared" si="26"/>
        <v>TORRE_E48_A_E84_PV4</v>
      </c>
      <c r="W181" s="1" t="str">
        <f t="shared" si="31"/>
        <v>TORRE_E48_A_E84_PV4</v>
      </c>
      <c r="X181" s="4" t="b">
        <f t="shared" si="27"/>
        <v>1</v>
      </c>
      <c r="Y181" s="1">
        <f>VLOOKUP(D181,'Orden de Imagen'!$A$1:D324,4,FALSE())</f>
        <v>151</v>
      </c>
      <c r="Z181" s="1" t="str">
        <f t="shared" si="28"/>
        <v>151_26_01_07_TORRE_E48_A_E84_PV4</v>
      </c>
    </row>
    <row r="182" spans="1:26" ht="15" customHeight="1" x14ac:dyDescent="0.25">
      <c r="A182" s="1">
        <v>183</v>
      </c>
      <c r="B182" s="1" t="s">
        <v>475</v>
      </c>
      <c r="C182" s="1" t="str">
        <f t="shared" si="32"/>
        <v>CL_MLP_PAO_IF_Ortho_26_01_07_TORRES_E12_-_E30_PV4.tiff</v>
      </c>
      <c r="D182" s="1" t="str">
        <f t="shared" si="30"/>
        <v>CL_MLP_PAO_IF_Ortho_26_01_07_TORRES_E12_-_E30_PV4</v>
      </c>
      <c r="E182" s="1" t="s">
        <v>476</v>
      </c>
      <c r="F182" s="1" t="s">
        <v>460</v>
      </c>
      <c r="G182" s="1" t="s">
        <v>29</v>
      </c>
      <c r="H182" s="16">
        <v>46029.166666666701</v>
      </c>
      <c r="I182" s="16">
        <v>46043</v>
      </c>
      <c r="J182" s="1" t="s">
        <v>30</v>
      </c>
      <c r="K182" s="2" t="str">
        <f t="shared" si="22"/>
        <v>https://sig.aminerals.cl/imgdyn/rest/services/CL_MLP_PAO/CL_MLP_PAO_IF_Ortho_Geosupport/ImageServer/file?id=.\El_Mauro_Drone\26_01_07\CL_MLP_PAO_IF_Ortho_26_01_07_TORRES_E12_-_E30_PV4.tiff&amp;rasterId=</v>
      </c>
      <c r="L182" s="1" t="s">
        <v>31</v>
      </c>
      <c r="M182" s="1" t="s">
        <v>32</v>
      </c>
      <c r="N182" s="1" t="s">
        <v>33</v>
      </c>
      <c r="O182" s="1" t="s">
        <v>34</v>
      </c>
      <c r="P182" s="3" t="str">
        <f t="shared" si="23"/>
        <v>07</v>
      </c>
      <c r="Q182" s="3" t="str">
        <f t="shared" si="24"/>
        <v>01</v>
      </c>
      <c r="R182" s="3" t="str">
        <f t="shared" si="25"/>
        <v>26</v>
      </c>
      <c r="S182" s="1" t="s">
        <v>87</v>
      </c>
      <c r="T182" s="1">
        <v>1</v>
      </c>
      <c r="U182" s="1" t="s">
        <v>461</v>
      </c>
      <c r="V182" s="1" t="str">
        <f t="shared" si="26"/>
        <v>TORRES_E12_-_E30_PV4</v>
      </c>
      <c r="W182" s="1" t="str">
        <f t="shared" si="31"/>
        <v>TORRES_E12_-_E30_PV4</v>
      </c>
      <c r="X182" s="4" t="b">
        <f t="shared" si="27"/>
        <v>1</v>
      </c>
      <c r="Y182" s="1">
        <f>VLOOKUP(D182,'Orden de Imagen'!$A$1:D325,4,FALSE())</f>
        <v>152</v>
      </c>
      <c r="Z182" s="1" t="str">
        <f t="shared" si="28"/>
        <v>152_26_01_07_TORRES_E12_-_E30_PV4</v>
      </c>
    </row>
    <row r="183" spans="1:26" ht="15" customHeight="1" x14ac:dyDescent="0.25">
      <c r="A183" s="1">
        <v>184</v>
      </c>
      <c r="B183" s="1" t="s">
        <v>477</v>
      </c>
      <c r="C183" s="1" t="str">
        <f t="shared" si="32"/>
        <v>CL_MLP_PAO_IF_Ortho_26_01_08_TORRES_E31_A_E48_PV4.tiff</v>
      </c>
      <c r="D183" s="1" t="str">
        <f t="shared" si="30"/>
        <v>CL_MLP_PAO_IF_Ortho_26_01_08_TORRES_E31_A_E48_PV4</v>
      </c>
      <c r="E183" s="1" t="s">
        <v>478</v>
      </c>
      <c r="F183" s="1" t="s">
        <v>460</v>
      </c>
      <c r="G183" s="1" t="s">
        <v>29</v>
      </c>
      <c r="H183" s="16">
        <v>46030.166666666701</v>
      </c>
      <c r="I183" s="16">
        <v>46043</v>
      </c>
      <c r="J183" s="1" t="s">
        <v>30</v>
      </c>
      <c r="K183" s="2" t="str">
        <f t="shared" si="22"/>
        <v>https://sig.aminerals.cl/imgdyn/rest/services/CL_MLP_PAO/CL_MLP_PAO_IF_Ortho_Geosupport/ImageServer/file?id=.\El_Mauro_Drone\26_01_08\CL_MLP_PAO_IF_Ortho_26_01_08_TORRES_E31_A_E48_PV4.tiff&amp;rasterId=</v>
      </c>
      <c r="L183" s="1" t="s">
        <v>31</v>
      </c>
      <c r="M183" s="1" t="s">
        <v>32</v>
      </c>
      <c r="N183" s="1" t="s">
        <v>33</v>
      </c>
      <c r="O183" s="1" t="s">
        <v>34</v>
      </c>
      <c r="P183" s="3" t="str">
        <f t="shared" si="23"/>
        <v>08</v>
      </c>
      <c r="Q183" s="3" t="str">
        <f t="shared" si="24"/>
        <v>01</v>
      </c>
      <c r="R183" s="3" t="str">
        <f t="shared" si="25"/>
        <v>26</v>
      </c>
      <c r="S183" s="1" t="s">
        <v>87</v>
      </c>
      <c r="T183" s="1">
        <v>1</v>
      </c>
      <c r="U183" s="1" t="s">
        <v>461</v>
      </c>
      <c r="V183" s="1" t="str">
        <f t="shared" si="26"/>
        <v>TORRES_E31_A_E48_PV4</v>
      </c>
      <c r="W183" s="1" t="str">
        <f t="shared" si="31"/>
        <v>TORRES_E31_A_E48_PV4</v>
      </c>
      <c r="X183" s="4" t="b">
        <f t="shared" si="27"/>
        <v>1</v>
      </c>
      <c r="Y183" s="1">
        <f>VLOOKUP(D183,'Orden de Imagen'!$A$1:D326,4,FALSE())</f>
        <v>153</v>
      </c>
      <c r="Z183" s="1" t="str">
        <f t="shared" si="28"/>
        <v>153_26_01_08_TORRES_E31_A_E48_PV4</v>
      </c>
    </row>
    <row r="184" spans="1:26" ht="15" customHeight="1" x14ac:dyDescent="0.25">
      <c r="A184" s="1">
        <v>186</v>
      </c>
      <c r="B184" s="1" t="s">
        <v>479</v>
      </c>
      <c r="C184" s="1" t="str">
        <f t="shared" si="32"/>
        <v>CL_MLP_PAO_IF_Ortho_26_01_09_Linea-33-kV-NorteElMauro-Area3.tiff</v>
      </c>
      <c r="D184" s="1" t="str">
        <f t="shared" si="30"/>
        <v>CL_MLP_PAO_IF_Ortho_26_01_09_Linea-33-kV-NorteElMauro-Area3</v>
      </c>
      <c r="E184" s="1" t="s">
        <v>480</v>
      </c>
      <c r="F184" s="1" t="s">
        <v>460</v>
      </c>
      <c r="G184" s="1" t="s">
        <v>29</v>
      </c>
      <c r="H184" s="16">
        <v>46031.166666666701</v>
      </c>
      <c r="I184" s="16">
        <v>46043</v>
      </c>
      <c r="J184" s="1" t="s">
        <v>30</v>
      </c>
      <c r="K184" s="2" t="str">
        <f t="shared" si="22"/>
        <v>https://sig.aminerals.cl/imgdyn/rest/services/CL_MLP_PAO/CL_MLP_PAO_IF_Ortho_Geosupport/ImageServer/file?id=.\El_Mauro_Drone\26_01_09\CL_MLP_PAO_IF_Ortho_26_01_09_Linea-33-kV-NorteElMauro-Area3.tiff&amp;rasterId=</v>
      </c>
      <c r="L184" s="1" t="s">
        <v>31</v>
      </c>
      <c r="M184" s="1" t="s">
        <v>32</v>
      </c>
      <c r="N184" s="1" t="s">
        <v>33</v>
      </c>
      <c r="O184" s="1" t="s">
        <v>34</v>
      </c>
      <c r="P184" s="3" t="str">
        <f t="shared" si="23"/>
        <v>09</v>
      </c>
      <c r="Q184" s="3" t="str">
        <f t="shared" si="24"/>
        <v>01</v>
      </c>
      <c r="R184" s="3" t="str">
        <f t="shared" si="25"/>
        <v>26</v>
      </c>
      <c r="S184" s="1" t="s">
        <v>87</v>
      </c>
      <c r="T184" s="1">
        <v>1</v>
      </c>
      <c r="U184" s="1" t="s">
        <v>461</v>
      </c>
      <c r="V184" s="1" t="str">
        <f t="shared" si="26"/>
        <v>Linea-33-kV-NorteElMauro-Area3</v>
      </c>
      <c r="W184" s="1" t="str">
        <f t="shared" si="31"/>
        <v>Linea-33-kV-NorteElMauro-Area3</v>
      </c>
      <c r="X184" s="4" t="b">
        <f t="shared" si="27"/>
        <v>1</v>
      </c>
      <c r="Y184" s="1">
        <f>VLOOKUP(D184,'Orden de Imagen'!$A$1:D328,4,FALSE())</f>
        <v>154</v>
      </c>
      <c r="Z184" s="1" t="str">
        <f t="shared" si="28"/>
        <v>154_26_01_09_Linea-33-kV-NorteElMauro-Area3</v>
      </c>
    </row>
    <row r="185" spans="1:26" ht="15" customHeight="1" x14ac:dyDescent="0.25">
      <c r="A185" s="1">
        <v>185</v>
      </c>
      <c r="B185" s="1" t="s">
        <v>481</v>
      </c>
      <c r="C185" s="1" t="str">
        <f>CONCATENATE(L185,"_",M185,"_",G185,"_",N185,"_",O185,"_",R185,"_",Q185,"_",P185,"_",E185,".tif")</f>
        <v>CL_MLP_PAO_IF_Ortho_26_01_09_Plataforma_Integrada_El_Mauro.tif</v>
      </c>
      <c r="D185" s="1" t="str">
        <f t="shared" si="30"/>
        <v>CL_MLP_PAO_IF_Ortho_26_01_09_Plataforma_Integrada_El_Mauro</v>
      </c>
      <c r="E185" s="1" t="s">
        <v>459</v>
      </c>
      <c r="F185" s="1" t="s">
        <v>460</v>
      </c>
      <c r="G185" s="1" t="s">
        <v>29</v>
      </c>
      <c r="H185" s="16">
        <v>46031</v>
      </c>
      <c r="I185" s="16">
        <v>46091</v>
      </c>
      <c r="J185" s="1" t="s">
        <v>30</v>
      </c>
      <c r="K185" s="2" t="str">
        <f t="shared" si="22"/>
        <v>https://sig.aminerals.cl/imgdyn/rest/services/CL_MLP_PAO/CL_MLP_PAO_IF_Ortho_Geosupport/ImageServer/file?id=.\El_Mauro_Drone\26_01_09\CL_MLP_PAO_IF_Ortho_26_01_09_Plataforma_Integrada_El_Mauro.tif&amp;rasterId=</v>
      </c>
      <c r="L185" s="1" t="s">
        <v>31</v>
      </c>
      <c r="M185" s="1" t="s">
        <v>32</v>
      </c>
      <c r="N185" s="1" t="s">
        <v>33</v>
      </c>
      <c r="O185" s="1" t="s">
        <v>34</v>
      </c>
      <c r="P185" s="3" t="str">
        <f t="shared" si="23"/>
        <v>09</v>
      </c>
      <c r="Q185" s="3" t="str">
        <f t="shared" si="24"/>
        <v>01</v>
      </c>
      <c r="R185" s="3" t="str">
        <f t="shared" si="25"/>
        <v>26</v>
      </c>
      <c r="S185" s="1" t="s">
        <v>87</v>
      </c>
      <c r="T185" s="1">
        <v>1</v>
      </c>
      <c r="U185" s="1" t="s">
        <v>461</v>
      </c>
      <c r="V185" s="1" t="str">
        <f t="shared" si="26"/>
        <v>Plataforma_Integrada_El_Mauro</v>
      </c>
      <c r="W185" s="1" t="str">
        <f t="shared" si="31"/>
        <v>Plataforma_Integrada_El_Mauro</v>
      </c>
      <c r="X185" s="4" t="b">
        <f t="shared" si="27"/>
        <v>1</v>
      </c>
      <c r="Y185" s="1">
        <f>VLOOKUP(D185,'Orden de Imagen'!$A$1:D327,4,FALSE())</f>
        <v>155</v>
      </c>
      <c r="Z185" s="1" t="str">
        <f t="shared" si="28"/>
        <v>155_26_01_09_Plataforma_Integrada_El_Mauro</v>
      </c>
    </row>
    <row r="186" spans="1:26" ht="15" customHeight="1" x14ac:dyDescent="0.25">
      <c r="A186" s="1">
        <v>187</v>
      </c>
      <c r="B186" s="1" t="s">
        <v>482</v>
      </c>
      <c r="C186" s="1" t="str">
        <f>CONCATENATE(L186,"_",M186,"_",G186,"_",N186,"_",O186,"_",R186,"_",Q186,"_",P186,"_",E186,".tiff")</f>
        <v>CL_MLP_PAO_IF_Ortho_26_01_09_TORRE_E85_A_E_125.tiff</v>
      </c>
      <c r="D186" s="1" t="str">
        <f t="shared" si="30"/>
        <v>CL_MLP_PAO_IF_Ortho_26_01_09_TORRE_E85_A_E_125</v>
      </c>
      <c r="E186" s="1" t="s">
        <v>483</v>
      </c>
      <c r="F186" s="1" t="s">
        <v>460</v>
      </c>
      <c r="G186" s="1" t="s">
        <v>29</v>
      </c>
      <c r="H186" s="16">
        <v>46031.166666666701</v>
      </c>
      <c r="I186" s="16">
        <v>46043</v>
      </c>
      <c r="J186" s="1" t="s">
        <v>30</v>
      </c>
      <c r="K186" s="2" t="str">
        <f t="shared" si="22"/>
        <v>https://sig.aminerals.cl/imgdyn/rest/services/CL_MLP_PAO/CL_MLP_PAO_IF_Ortho_Geosupport/ImageServer/file?id=.\El_Mauro_Puerto_Punta_Chungo_Drone\26_01_09\CL_MLP_PAO_IF_Ortho_26_01_09_TORRE_E85_A_E_125.tiff&amp;rasterId=</v>
      </c>
      <c r="L186" s="1" t="s">
        <v>31</v>
      </c>
      <c r="M186" s="1" t="s">
        <v>32</v>
      </c>
      <c r="N186" s="1" t="s">
        <v>33</v>
      </c>
      <c r="O186" s="1" t="s">
        <v>34</v>
      </c>
      <c r="P186" s="3" t="str">
        <f t="shared" si="23"/>
        <v>09</v>
      </c>
      <c r="Q186" s="3" t="str">
        <f t="shared" si="24"/>
        <v>01</v>
      </c>
      <c r="R186" s="3" t="str">
        <f t="shared" si="25"/>
        <v>26</v>
      </c>
      <c r="S186" s="1" t="s">
        <v>50</v>
      </c>
      <c r="T186" s="1">
        <v>1</v>
      </c>
      <c r="U186" s="1" t="s">
        <v>461</v>
      </c>
      <c r="V186" s="1" t="str">
        <f t="shared" si="26"/>
        <v>TORRE_E85_A_E_125</v>
      </c>
      <c r="W186" s="1" t="str">
        <f t="shared" si="31"/>
        <v>TORRE_E85_A_E_125</v>
      </c>
      <c r="X186" s="4" t="b">
        <f t="shared" si="27"/>
        <v>1</v>
      </c>
      <c r="Y186" s="1">
        <f>VLOOKUP(D186,'Orden de Imagen'!$A$1:D329,4,FALSE())</f>
        <v>156</v>
      </c>
      <c r="Z186" s="1" t="str">
        <f t="shared" si="28"/>
        <v>156_26_01_09_TORRE_E85_A_E_125</v>
      </c>
    </row>
    <row r="187" spans="1:26" ht="15" customHeight="1" x14ac:dyDescent="0.25">
      <c r="A187" s="1">
        <v>188</v>
      </c>
      <c r="B187" s="1" t="s">
        <v>484</v>
      </c>
      <c r="C187" s="1" t="str">
        <f>CONCATENATE(L187,"_",M187,"_",G187,"_",N187,"_",O187,"_",R187,"_",Q187,"_",P187,"_",E187,".tif")</f>
        <v>CL_MLP_PAO_IF_Ortho_26_01_10_ED1-IIFF7-DME8.tif</v>
      </c>
      <c r="D187" s="1" t="str">
        <f t="shared" si="30"/>
        <v>CL_MLP_PAO_IF_Ortho_26_01_10_ED1-IIFF7-DME8</v>
      </c>
      <c r="E187" s="1" t="s">
        <v>485</v>
      </c>
      <c r="F187" s="1" t="s">
        <v>460</v>
      </c>
      <c r="G187" s="1" t="s">
        <v>29</v>
      </c>
      <c r="H187" s="16">
        <v>46032.166666666701</v>
      </c>
      <c r="I187" s="16">
        <v>46043</v>
      </c>
      <c r="J187" s="1" t="s">
        <v>30</v>
      </c>
      <c r="K187" s="2" t="str">
        <f t="shared" si="22"/>
        <v>https://sig.aminerals.cl/imgdyn/rest/services/CL_MLP_PAO/CL_MLP_PAO_IF_Ortho_Geosupport/ImageServer/file?id=.\Chacay_El_Mauro_Drone\26_01_10\CL_MLP_PAO_IF_Ortho_26_01_10_ED1-IIFF7-DME8.tif&amp;rasterId=</v>
      </c>
      <c r="L187" s="1" t="s">
        <v>31</v>
      </c>
      <c r="M187" s="1" t="s">
        <v>32</v>
      </c>
      <c r="N187" s="1" t="s">
        <v>33</v>
      </c>
      <c r="O187" s="1" t="s">
        <v>34</v>
      </c>
      <c r="P187" s="3" t="str">
        <f t="shared" si="23"/>
        <v>10</v>
      </c>
      <c r="Q187" s="3" t="str">
        <f t="shared" si="24"/>
        <v>01</v>
      </c>
      <c r="R187" s="3" t="str">
        <f t="shared" si="25"/>
        <v>26</v>
      </c>
      <c r="S187" s="1" t="s">
        <v>40</v>
      </c>
      <c r="T187" s="1">
        <v>1</v>
      </c>
      <c r="U187" s="1" t="s">
        <v>461</v>
      </c>
      <c r="V187" s="1" t="str">
        <f t="shared" si="26"/>
        <v>ED1-IIFF7-DME8</v>
      </c>
      <c r="W187" s="1" t="str">
        <f t="shared" si="31"/>
        <v>ED1-IIFF7-DME8</v>
      </c>
      <c r="X187" s="4" t="b">
        <f t="shared" si="27"/>
        <v>1</v>
      </c>
      <c r="Y187" s="1">
        <f>VLOOKUP(D187,'Orden de Imagen'!$A$1:D330,4,FALSE())</f>
        <v>157</v>
      </c>
      <c r="Z187" s="1" t="str">
        <f t="shared" si="28"/>
        <v>157_26_01_10_ED1-IIFF7-DME8</v>
      </c>
    </row>
    <row r="188" spans="1:26" ht="15" customHeight="1" x14ac:dyDescent="0.25">
      <c r="A188" s="1">
        <v>189</v>
      </c>
      <c r="B188" s="1" t="s">
        <v>486</v>
      </c>
      <c r="C188" s="1" t="str">
        <f>CONCATENATE(L188,"_",M188,"_",G188,"_",N188,"_",O188,"_",R188,"_",Q188,"_",P188,"_",E188,".tiff")</f>
        <v>CL_MLP_PAO_IF_Ortho_26_01_10_ED2.tiff</v>
      </c>
      <c r="D188" s="1" t="str">
        <f t="shared" si="30"/>
        <v>CL_MLP_PAO_IF_Ortho_26_01_10_ED2</v>
      </c>
      <c r="E188" s="1" t="s">
        <v>468</v>
      </c>
      <c r="F188" s="1" t="s">
        <v>460</v>
      </c>
      <c r="G188" s="1" t="s">
        <v>29</v>
      </c>
      <c r="H188" s="16">
        <v>46032.166666666701</v>
      </c>
      <c r="I188" s="16">
        <v>46043</v>
      </c>
      <c r="J188" s="1" t="s">
        <v>30</v>
      </c>
      <c r="K188" s="2" t="str">
        <f t="shared" si="22"/>
        <v>https://sig.aminerals.cl/imgdyn/rest/services/CL_MLP_PAO/CL_MLP_PAO_IF_Ortho_Geosupport/ImageServer/file?id=.\Chacay_El_Mauro_Drone\26_01_10\CL_MLP_PAO_IF_Ortho_26_01_10_ED2.tiff&amp;rasterId=</v>
      </c>
      <c r="L188" s="1" t="s">
        <v>31</v>
      </c>
      <c r="M188" s="1" t="s">
        <v>32</v>
      </c>
      <c r="N188" s="1" t="s">
        <v>33</v>
      </c>
      <c r="O188" s="1" t="s">
        <v>34</v>
      </c>
      <c r="P188" s="3" t="str">
        <f t="shared" si="23"/>
        <v>10</v>
      </c>
      <c r="Q188" s="3" t="str">
        <f t="shared" si="24"/>
        <v>01</v>
      </c>
      <c r="R188" s="3" t="str">
        <f t="shared" si="25"/>
        <v>26</v>
      </c>
      <c r="S188" s="1" t="s">
        <v>40</v>
      </c>
      <c r="T188" s="1">
        <v>1</v>
      </c>
      <c r="U188" s="1" t="s">
        <v>461</v>
      </c>
      <c r="V188" s="1" t="str">
        <f t="shared" si="26"/>
        <v>ED2</v>
      </c>
      <c r="W188" s="1" t="str">
        <f t="shared" si="31"/>
        <v>ED2</v>
      </c>
      <c r="X188" s="4" t="b">
        <f t="shared" si="27"/>
        <v>1</v>
      </c>
      <c r="Y188" s="1">
        <f>VLOOKUP(D188,'Orden de Imagen'!$A$1:D331,4,FALSE())</f>
        <v>158</v>
      </c>
      <c r="Z188" s="1" t="str">
        <f t="shared" si="28"/>
        <v>158_26_01_10_ED2</v>
      </c>
    </row>
    <row r="189" spans="1:26" ht="15" customHeight="1" x14ac:dyDescent="0.25">
      <c r="A189" s="1">
        <v>190</v>
      </c>
      <c r="B189" s="1" t="s">
        <v>487</v>
      </c>
      <c r="C189" s="1" t="str">
        <f>CONCATENATE(L189,"_",M189,"_",G189,"_",N189,"_",O189,"_",R189,"_",Q189,"_",P189,"_",E189,".tiff")</f>
        <v>CL_MLP_PAO_IF_Ortho_26_01_10_MonteAranda-NSTC-Km-84p2-a-82p3.tiff</v>
      </c>
      <c r="D189" s="1" t="str">
        <f t="shared" si="30"/>
        <v>CL_MLP_PAO_IF_Ortho_26_01_10_MonteAranda-NSTC-Km-84p2-a-82p3</v>
      </c>
      <c r="E189" s="1" t="s">
        <v>488</v>
      </c>
      <c r="F189" s="1" t="s">
        <v>460</v>
      </c>
      <c r="G189" s="1" t="s">
        <v>29</v>
      </c>
      <c r="H189" s="16">
        <v>46032.166666666701</v>
      </c>
      <c r="I189" s="16">
        <v>46043</v>
      </c>
      <c r="J189" s="1" t="s">
        <v>30</v>
      </c>
      <c r="K189" s="2" t="str">
        <f t="shared" si="22"/>
        <v>https://sig.aminerals.cl/imgdyn/rest/services/CL_MLP_PAO/CL_MLP_PAO_IF_Ortho_Geosupport/ImageServer/file?id=.\El_Mauro_Puerto_Punta_Chungo_Drone\26_01_10\CL_MLP_PAO_IF_Ortho_26_01_10_MonteAranda-NSTC-Km-84p2-a-82p3.tiff&amp;rasterId=</v>
      </c>
      <c r="L189" s="1" t="s">
        <v>31</v>
      </c>
      <c r="M189" s="1" t="s">
        <v>32</v>
      </c>
      <c r="N189" s="1" t="s">
        <v>33</v>
      </c>
      <c r="O189" s="1" t="s">
        <v>34</v>
      </c>
      <c r="P189" s="3" t="str">
        <f t="shared" si="23"/>
        <v>10</v>
      </c>
      <c r="Q189" s="3" t="str">
        <f t="shared" si="24"/>
        <v>01</v>
      </c>
      <c r="R189" s="3" t="str">
        <f t="shared" si="25"/>
        <v>26</v>
      </c>
      <c r="S189" s="1" t="s">
        <v>50</v>
      </c>
      <c r="T189" s="1">
        <v>1</v>
      </c>
      <c r="U189" s="1" t="s">
        <v>461</v>
      </c>
      <c r="V189" s="1" t="str">
        <f t="shared" si="26"/>
        <v>MonteAranda-NSTC-Km-84p2-a-82p3</v>
      </c>
      <c r="W189" s="1" t="str">
        <f t="shared" si="31"/>
        <v>MonteAranda-NSTC-Km-84p2-a-82p3</v>
      </c>
      <c r="X189" s="4" t="b">
        <f t="shared" si="27"/>
        <v>1</v>
      </c>
      <c r="Y189" s="1">
        <f>VLOOKUP(D189,'Orden de Imagen'!$A$1:D332,4,FALSE())</f>
        <v>159</v>
      </c>
      <c r="Z189" s="1" t="str">
        <f t="shared" si="28"/>
        <v>159_26_01_10_MonteAranda-NSTC-Km-84p2-a-82p3</v>
      </c>
    </row>
    <row r="190" spans="1:26" ht="15" customHeight="1" x14ac:dyDescent="0.25">
      <c r="A190" s="1">
        <v>191</v>
      </c>
      <c r="B190" s="1" t="s">
        <v>489</v>
      </c>
      <c r="C190" s="1" t="str">
        <f>CONCATENATE(L190,"_",M190,"_",G190,"_",N190,"_",O190,"_",R190,"_",Q190,"_",P190,"_",E190,".tiff")</f>
        <v>CL_MLP_PAO_IF_Ortho_26_01_11_EM1.tiff</v>
      </c>
      <c r="D190" s="1" t="str">
        <f t="shared" si="30"/>
        <v>CL_MLP_PAO_IF_Ortho_26_01_11_EM1</v>
      </c>
      <c r="E190" s="1" t="s">
        <v>375</v>
      </c>
      <c r="F190" s="1" t="s">
        <v>460</v>
      </c>
      <c r="G190" s="1" t="s">
        <v>29</v>
      </c>
      <c r="H190" s="16">
        <v>46033.166666666701</v>
      </c>
      <c r="I190" s="16">
        <v>46043</v>
      </c>
      <c r="J190" s="1" t="s">
        <v>30</v>
      </c>
      <c r="K190" s="2" t="str">
        <f t="shared" si="22"/>
        <v>https://sig.aminerals.cl/imgdyn/rest/services/CL_MLP_PAO/CL_MLP_PAO_IF_Ortho_Geosupport/ImageServer/file?id=.\Chacay_Drone\26_01_11\CL_MLP_PAO_IF_Ortho_26_01_11_EM1.tiff&amp;rasterId=</v>
      </c>
      <c r="L190" s="1" t="s">
        <v>31</v>
      </c>
      <c r="M190" s="1" t="s">
        <v>32</v>
      </c>
      <c r="N190" s="1" t="s">
        <v>33</v>
      </c>
      <c r="O190" s="1" t="s">
        <v>34</v>
      </c>
      <c r="P190" s="3" t="str">
        <f t="shared" si="23"/>
        <v>11</v>
      </c>
      <c r="Q190" s="3" t="str">
        <f t="shared" si="24"/>
        <v>01</v>
      </c>
      <c r="R190" s="3" t="str">
        <f t="shared" si="25"/>
        <v>26</v>
      </c>
      <c r="S190" s="1" t="s">
        <v>56</v>
      </c>
      <c r="T190" s="1">
        <v>1</v>
      </c>
      <c r="U190" s="1" t="s">
        <v>461</v>
      </c>
      <c r="V190" s="1" t="str">
        <f t="shared" si="26"/>
        <v>EM1</v>
      </c>
      <c r="W190" s="1" t="str">
        <f t="shared" si="31"/>
        <v>EM1</v>
      </c>
      <c r="X190" s="4" t="b">
        <f t="shared" si="27"/>
        <v>1</v>
      </c>
      <c r="Y190" s="1">
        <f>VLOOKUP(D190,'Orden de Imagen'!$A$1:D333,4,FALSE())</f>
        <v>160</v>
      </c>
      <c r="Z190" s="1" t="str">
        <f t="shared" si="28"/>
        <v>160_26_01_11_EM1</v>
      </c>
    </row>
    <row r="191" spans="1:26" ht="15" customHeight="1" x14ac:dyDescent="0.25">
      <c r="A191" s="1">
        <v>192</v>
      </c>
      <c r="B191" s="1" t="s">
        <v>490</v>
      </c>
      <c r="C191" s="1" t="str">
        <f t="shared" ref="C191:C254" si="33">CONCATENATE(L191,"_",M191,"_",G191,"_",N191,"_",O191,"_",R191,"_",Q191,"_",P191,"_",E191,".tif")</f>
        <v>CL_MLP_PAO_IF_Ortho_26_01_14_Linea-33-kV-NorteElMauro-Area1.tif</v>
      </c>
      <c r="D191" s="1" t="str">
        <f t="shared" si="30"/>
        <v>CL_MLP_PAO_IF_Ortho_26_01_14_Linea-33-kV-NorteElMauro-Area1</v>
      </c>
      <c r="E191" s="1" t="s">
        <v>491</v>
      </c>
      <c r="F191" s="1" t="s">
        <v>460</v>
      </c>
      <c r="G191" s="1" t="s">
        <v>29</v>
      </c>
      <c r="H191" s="16">
        <v>46036.166666666701</v>
      </c>
      <c r="I191" s="16">
        <v>46050</v>
      </c>
      <c r="J191" s="1" t="s">
        <v>30</v>
      </c>
      <c r="K191" s="2" t="str">
        <f t="shared" si="22"/>
        <v>https://sig.aminerals.cl/imgdyn/rest/services/CL_MLP_PAO/CL_MLP_PAO_IF_Ortho_Geosupport/ImageServer/file?id=.\El_Mauro_Drone\26_01_14\CL_MLP_PAO_IF_Ortho_26_01_14_Linea-33-kV-NorteElMauro-Area1.tif&amp;rasterId=</v>
      </c>
      <c r="L191" s="1" t="s">
        <v>31</v>
      </c>
      <c r="M191" s="1" t="s">
        <v>32</v>
      </c>
      <c r="N191" s="1" t="s">
        <v>33</v>
      </c>
      <c r="O191" s="1" t="s">
        <v>34</v>
      </c>
      <c r="P191" s="3" t="str">
        <f t="shared" si="23"/>
        <v>14</v>
      </c>
      <c r="Q191" s="3" t="str">
        <f t="shared" si="24"/>
        <v>01</v>
      </c>
      <c r="R191" s="3" t="str">
        <f t="shared" si="25"/>
        <v>26</v>
      </c>
      <c r="S191" s="1" t="s">
        <v>87</v>
      </c>
      <c r="T191" s="1">
        <v>1</v>
      </c>
      <c r="U191" s="1" t="s">
        <v>461</v>
      </c>
      <c r="V191" s="1" t="str">
        <f t="shared" si="26"/>
        <v>Linea-33-kV-NorteElMauro-Area1</v>
      </c>
      <c r="W191" s="1" t="str">
        <f t="shared" si="31"/>
        <v>Linea-33-kV-NorteElMauro-Area1</v>
      </c>
      <c r="X191" s="4" t="b">
        <f t="shared" si="27"/>
        <v>1</v>
      </c>
      <c r="Y191" s="1">
        <f>VLOOKUP(D191,'Orden de Imagen'!$A$1:D334,4,FALSE())</f>
        <v>161</v>
      </c>
      <c r="Z191" s="1" t="str">
        <f t="shared" si="28"/>
        <v>161_26_01_14_Linea-33-kV-NorteElMauro-Area1</v>
      </c>
    </row>
    <row r="192" spans="1:26" ht="15" customHeight="1" x14ac:dyDescent="0.25">
      <c r="A192" s="1">
        <v>193</v>
      </c>
      <c r="B192" s="1" t="s">
        <v>492</v>
      </c>
      <c r="C192" s="1" t="str">
        <f t="shared" si="33"/>
        <v>CL_MLP_PAO_IF_Ortho_26_01_14_Linea-33-kV-NorteElMauro-Area6.tif</v>
      </c>
      <c r="D192" s="1" t="str">
        <f t="shared" si="30"/>
        <v>CL_MLP_PAO_IF_Ortho_26_01_14_Linea-33-kV-NorteElMauro-Area6</v>
      </c>
      <c r="E192" s="1" t="s">
        <v>493</v>
      </c>
      <c r="F192" s="1" t="s">
        <v>460</v>
      </c>
      <c r="G192" s="1" t="s">
        <v>29</v>
      </c>
      <c r="H192" s="16">
        <v>46036.166666666701</v>
      </c>
      <c r="I192" s="16">
        <v>46050</v>
      </c>
      <c r="J192" s="1" t="s">
        <v>30</v>
      </c>
      <c r="K192" s="2" t="str">
        <f t="shared" si="22"/>
        <v>https://sig.aminerals.cl/imgdyn/rest/services/CL_MLP_PAO/CL_MLP_PAO_IF_Ortho_Geosupport/ImageServer/file?id=.\El_Mauro_Drone\26_01_14\CL_MLP_PAO_IF_Ortho_26_01_14_Linea-33-kV-NorteElMauro-Area6.tif&amp;rasterId=</v>
      </c>
      <c r="L192" s="1" t="s">
        <v>31</v>
      </c>
      <c r="M192" s="1" t="s">
        <v>32</v>
      </c>
      <c r="N192" s="1" t="s">
        <v>33</v>
      </c>
      <c r="O192" s="1" t="s">
        <v>34</v>
      </c>
      <c r="P192" s="3" t="str">
        <f t="shared" si="23"/>
        <v>14</v>
      </c>
      <c r="Q192" s="3" t="str">
        <f t="shared" si="24"/>
        <v>01</v>
      </c>
      <c r="R192" s="3" t="str">
        <f t="shared" si="25"/>
        <v>26</v>
      </c>
      <c r="S192" s="1" t="s">
        <v>87</v>
      </c>
      <c r="T192" s="1">
        <v>1</v>
      </c>
      <c r="U192" s="1" t="s">
        <v>461</v>
      </c>
      <c r="V192" s="1" t="str">
        <f t="shared" si="26"/>
        <v>Linea-33-kV-NorteElMauro-Area6</v>
      </c>
      <c r="W192" s="1" t="str">
        <f t="shared" si="31"/>
        <v>Linea-33-kV-NorteElMauro-Area6</v>
      </c>
      <c r="X192" s="4" t="b">
        <f t="shared" si="27"/>
        <v>1</v>
      </c>
      <c r="Y192" s="1">
        <f>VLOOKUP(D192,'Orden de Imagen'!$A$1:D335,4,FALSE())</f>
        <v>162</v>
      </c>
      <c r="Z192" s="1" t="str">
        <f t="shared" si="28"/>
        <v>162_26_01_14_Linea-33-kV-NorteElMauro-Area6</v>
      </c>
    </row>
    <row r="193" spans="1:26" ht="15" customHeight="1" x14ac:dyDescent="0.25">
      <c r="A193" s="1">
        <v>194</v>
      </c>
      <c r="B193" s="1" t="s">
        <v>494</v>
      </c>
      <c r="C193" s="1" t="str">
        <f t="shared" si="33"/>
        <v>CL_MLP_PAO_IF_Ortho_26_01_14_Linea-33-kV-NorteElMauro-Area7.tif</v>
      </c>
      <c r="D193" s="1" t="str">
        <f t="shared" si="30"/>
        <v>CL_MLP_PAO_IF_Ortho_26_01_14_Linea-33-kV-NorteElMauro-Area7</v>
      </c>
      <c r="E193" s="1" t="s">
        <v>495</v>
      </c>
      <c r="F193" s="1" t="s">
        <v>460</v>
      </c>
      <c r="G193" s="1" t="s">
        <v>29</v>
      </c>
      <c r="H193" s="16">
        <v>46036.166666666701</v>
      </c>
      <c r="I193" s="16">
        <v>46050</v>
      </c>
      <c r="J193" s="1" t="s">
        <v>30</v>
      </c>
      <c r="K193" s="2" t="str">
        <f t="shared" si="22"/>
        <v>https://sig.aminerals.cl/imgdyn/rest/services/CL_MLP_PAO/CL_MLP_PAO_IF_Ortho_Geosupport/ImageServer/file?id=.\El_Mauro_Drone\26_01_14\CL_MLP_PAO_IF_Ortho_26_01_14_Linea-33-kV-NorteElMauro-Area7.tif&amp;rasterId=</v>
      </c>
      <c r="L193" s="1" t="s">
        <v>31</v>
      </c>
      <c r="M193" s="1" t="s">
        <v>32</v>
      </c>
      <c r="N193" s="1" t="s">
        <v>33</v>
      </c>
      <c r="O193" s="1" t="s">
        <v>34</v>
      </c>
      <c r="P193" s="3" t="str">
        <f t="shared" si="23"/>
        <v>14</v>
      </c>
      <c r="Q193" s="3" t="str">
        <f t="shared" si="24"/>
        <v>01</v>
      </c>
      <c r="R193" s="3" t="str">
        <f t="shared" si="25"/>
        <v>26</v>
      </c>
      <c r="S193" s="1" t="s">
        <v>87</v>
      </c>
      <c r="T193" s="1">
        <v>1</v>
      </c>
      <c r="U193" s="1" t="s">
        <v>461</v>
      </c>
      <c r="V193" s="1" t="str">
        <f t="shared" si="26"/>
        <v>Linea-33-kV-NorteElMauro-Area7</v>
      </c>
      <c r="W193" s="1" t="str">
        <f t="shared" si="31"/>
        <v>Linea-33-kV-NorteElMauro-Area7</v>
      </c>
      <c r="X193" s="4" t="b">
        <f t="shared" si="27"/>
        <v>1</v>
      </c>
      <c r="Y193" s="1">
        <f>VLOOKUP(D193,'Orden de Imagen'!$A$1:D336,4,FALSE())</f>
        <v>163</v>
      </c>
      <c r="Z193" s="1" t="str">
        <f t="shared" si="28"/>
        <v>163_26_01_14_Linea-33-kV-NorteElMauro-Area7</v>
      </c>
    </row>
    <row r="194" spans="1:26" ht="15" customHeight="1" x14ac:dyDescent="0.25">
      <c r="A194" s="1">
        <v>195</v>
      </c>
      <c r="B194" s="1" t="s">
        <v>496</v>
      </c>
      <c r="C194" s="1" t="str">
        <f t="shared" si="33"/>
        <v>CL_MLP_PAO_IF_Ortho_26_01_14_Subestacion-El-Mauro.tif</v>
      </c>
      <c r="D194" s="1" t="str">
        <f t="shared" si="30"/>
        <v>CL_MLP_PAO_IF_Ortho_26_01_14_Subestacion-El-Mauro</v>
      </c>
      <c r="E194" s="1" t="s">
        <v>90</v>
      </c>
      <c r="F194" s="1" t="s">
        <v>460</v>
      </c>
      <c r="G194" s="1" t="s">
        <v>29</v>
      </c>
      <c r="H194" s="16">
        <v>46036.166666666701</v>
      </c>
      <c r="I194" s="16">
        <v>46050</v>
      </c>
      <c r="J194" s="1" t="s">
        <v>30</v>
      </c>
      <c r="K194" s="2" t="str">
        <f t="shared" ref="K194:K257" si="34">CONCATENATE("https://sig.aminerals.cl/imgdyn/rest/services/CL_MLP_PAO/",U194,"/","ImageServer/file?id=.\",S194,"\",R194,"_",Q194,"_",P194,"\",C194,"&amp;rasterId=")</f>
        <v>https://sig.aminerals.cl/imgdyn/rest/services/CL_MLP_PAO/CL_MLP_PAO_IF_Ortho_Geosupport/ImageServer/file?id=.\El_Mauro_Drone\26_01_14\CL_MLP_PAO_IF_Ortho_26_01_14_Subestacion-El-Mauro.tif&amp;rasterId=</v>
      </c>
      <c r="L194" s="1" t="s">
        <v>31</v>
      </c>
      <c r="M194" s="1" t="s">
        <v>32</v>
      </c>
      <c r="N194" s="1" t="s">
        <v>33</v>
      </c>
      <c r="O194" s="1" t="s">
        <v>34</v>
      </c>
      <c r="P194" s="3" t="str">
        <f t="shared" ref="P194:P257" si="35">TEXT(H194,"dd")</f>
        <v>14</v>
      </c>
      <c r="Q194" s="3" t="str">
        <f t="shared" ref="Q194:Q257" si="36">TEXT(H194,"MM")</f>
        <v>01</v>
      </c>
      <c r="R194" s="3" t="str">
        <f t="shared" ref="R194:R257" si="37">TEXT(H194,"YY")</f>
        <v>26</v>
      </c>
      <c r="S194" s="1" t="s">
        <v>87</v>
      </c>
      <c r="T194" s="1">
        <v>1</v>
      </c>
      <c r="U194" s="1" t="s">
        <v>461</v>
      </c>
      <c r="V194" s="1" t="str">
        <f t="shared" ref="V194:V257" si="38">RIGHT(D194,LEN(D194)-29)</f>
        <v>Subestacion-El-Mauro</v>
      </c>
      <c r="W194" s="1" t="str">
        <f t="shared" si="31"/>
        <v>Subestacion-El-Mauro</v>
      </c>
      <c r="X194" s="4" t="b">
        <f t="shared" ref="X194:X257" si="39">V194=W194</f>
        <v>1</v>
      </c>
      <c r="Y194" s="1">
        <f>VLOOKUP(D194,'Orden de Imagen'!$A$1:D337,4,FALSE())</f>
        <v>164</v>
      </c>
      <c r="Z194" s="1" t="str">
        <f t="shared" ref="Z194:Z257" si="40">CONCATENATE(Y194,"_",R194,"_",Q194,"_",P194,"_",E194)</f>
        <v>164_26_01_14_Subestacion-El-Mauro</v>
      </c>
    </row>
    <row r="195" spans="1:26" ht="15" customHeight="1" x14ac:dyDescent="0.25">
      <c r="A195" s="1">
        <v>197</v>
      </c>
      <c r="B195" s="1" t="s">
        <v>497</v>
      </c>
      <c r="C195" s="1" t="str">
        <f t="shared" si="33"/>
        <v>CL_MLP_PAO_IF_Ortho_26_01_16_EM1.tif</v>
      </c>
      <c r="D195" s="1" t="str">
        <f t="shared" si="30"/>
        <v>CL_MLP_PAO_IF_Ortho_26_01_16_EM1</v>
      </c>
      <c r="E195" s="1" t="s">
        <v>375</v>
      </c>
      <c r="F195" s="1" t="s">
        <v>460</v>
      </c>
      <c r="G195" s="1" t="s">
        <v>29</v>
      </c>
      <c r="H195" s="16">
        <v>46038.166666666701</v>
      </c>
      <c r="I195" s="16">
        <v>46050</v>
      </c>
      <c r="J195" s="1" t="s">
        <v>30</v>
      </c>
      <c r="K195" s="2" t="str">
        <f t="shared" si="34"/>
        <v>https://sig.aminerals.cl/imgdyn/rest/services/CL_MLP_PAO/CL_MLP_PAO_IF_Ortho_Geosupport/ImageServer/file?id=.\Chacay_Drone\26_01_16\CL_MLP_PAO_IF_Ortho_26_01_16_EM1.tif&amp;rasterId=</v>
      </c>
      <c r="L195" s="1" t="s">
        <v>31</v>
      </c>
      <c r="M195" s="1" t="s">
        <v>32</v>
      </c>
      <c r="N195" s="1" t="s">
        <v>33</v>
      </c>
      <c r="O195" s="1" t="s">
        <v>34</v>
      </c>
      <c r="P195" s="3" t="str">
        <f t="shared" si="35"/>
        <v>16</v>
      </c>
      <c r="Q195" s="3" t="str">
        <f t="shared" si="36"/>
        <v>01</v>
      </c>
      <c r="R195" s="3" t="str">
        <f t="shared" si="37"/>
        <v>26</v>
      </c>
      <c r="S195" s="1" t="s">
        <v>56</v>
      </c>
      <c r="T195" s="1">
        <v>1</v>
      </c>
      <c r="U195" s="1" t="s">
        <v>461</v>
      </c>
      <c r="V195" s="1" t="str">
        <f t="shared" si="38"/>
        <v>EM1</v>
      </c>
      <c r="W195" s="1" t="str">
        <f t="shared" si="31"/>
        <v>EM1</v>
      </c>
      <c r="X195" s="4" t="b">
        <f t="shared" si="39"/>
        <v>1</v>
      </c>
      <c r="Y195" s="1">
        <f>VLOOKUP(D195,'Orden de Imagen'!$A$1:D339,4,FALSE())</f>
        <v>165</v>
      </c>
      <c r="Z195" s="1" t="str">
        <f t="shared" si="40"/>
        <v>165_26_01_16_EM1</v>
      </c>
    </row>
    <row r="196" spans="1:26" ht="15" customHeight="1" x14ac:dyDescent="0.25">
      <c r="A196" s="1">
        <v>198</v>
      </c>
      <c r="B196" s="1" t="s">
        <v>498</v>
      </c>
      <c r="C196" s="1" t="str">
        <f t="shared" si="33"/>
        <v>CL_MLP_PAO_IF_Ortho_26_01_16_Linea-33-kV-NorteElMauro-Area3.tif</v>
      </c>
      <c r="D196" s="1" t="str">
        <f t="shared" si="30"/>
        <v>CL_MLP_PAO_IF_Ortho_26_01_16_Linea-33-kV-NorteElMauro-Area3</v>
      </c>
      <c r="E196" s="1" t="s">
        <v>480</v>
      </c>
      <c r="F196" s="1" t="s">
        <v>460</v>
      </c>
      <c r="G196" s="1" t="s">
        <v>29</v>
      </c>
      <c r="H196" s="16">
        <v>46038.166666666701</v>
      </c>
      <c r="I196" s="16">
        <v>46050</v>
      </c>
      <c r="J196" s="1" t="s">
        <v>30</v>
      </c>
      <c r="K196" s="2" t="str">
        <f t="shared" si="34"/>
        <v>https://sig.aminerals.cl/imgdyn/rest/services/CL_MLP_PAO/CL_MLP_PAO_IF_Ortho_Geosupport/ImageServer/file?id=.\El_Mauro_Drone\26_01_16\CL_MLP_PAO_IF_Ortho_26_01_16_Linea-33-kV-NorteElMauro-Area3.tif&amp;rasterId=</v>
      </c>
      <c r="L196" s="1" t="s">
        <v>31</v>
      </c>
      <c r="M196" s="1" t="s">
        <v>32</v>
      </c>
      <c r="N196" s="1" t="s">
        <v>33</v>
      </c>
      <c r="O196" s="1" t="s">
        <v>34</v>
      </c>
      <c r="P196" s="3" t="str">
        <f t="shared" si="35"/>
        <v>16</v>
      </c>
      <c r="Q196" s="3" t="str">
        <f t="shared" si="36"/>
        <v>01</v>
      </c>
      <c r="R196" s="3" t="str">
        <f t="shared" si="37"/>
        <v>26</v>
      </c>
      <c r="S196" s="1" t="s">
        <v>87</v>
      </c>
      <c r="T196" s="1">
        <v>1</v>
      </c>
      <c r="U196" s="1" t="s">
        <v>461</v>
      </c>
      <c r="V196" s="1" t="str">
        <f t="shared" si="38"/>
        <v>Linea-33-kV-NorteElMauro-Area3</v>
      </c>
      <c r="W196" s="1" t="str">
        <f t="shared" si="31"/>
        <v>Linea-33-kV-NorteElMauro-Area3</v>
      </c>
      <c r="X196" s="4" t="b">
        <f t="shared" si="39"/>
        <v>1</v>
      </c>
      <c r="Y196" s="1">
        <f>VLOOKUP(D196,'Orden de Imagen'!$A$1:D340,4,FALSE())</f>
        <v>166</v>
      </c>
      <c r="Z196" s="1" t="str">
        <f t="shared" si="40"/>
        <v>166_26_01_16_Linea-33-kV-NorteElMauro-Area3</v>
      </c>
    </row>
    <row r="197" spans="1:26" ht="15" customHeight="1" x14ac:dyDescent="0.25">
      <c r="A197" s="1">
        <v>196</v>
      </c>
      <c r="B197" s="1" t="s">
        <v>499</v>
      </c>
      <c r="C197" s="1" t="str">
        <f t="shared" si="33"/>
        <v>CL_MLP_PAO_IF_Ortho_26_01_16_Plataforma_Integrada_El_Mauro.tif</v>
      </c>
      <c r="D197" s="1" t="str">
        <f t="shared" si="30"/>
        <v>CL_MLP_PAO_IF_Ortho_26_01_16_Plataforma_Integrada_El_Mauro</v>
      </c>
      <c r="E197" s="1" t="s">
        <v>459</v>
      </c>
      <c r="F197" s="1" t="s">
        <v>460</v>
      </c>
      <c r="G197" s="1" t="s">
        <v>29</v>
      </c>
      <c r="H197" s="16">
        <v>46038</v>
      </c>
      <c r="I197" s="16">
        <v>46091</v>
      </c>
      <c r="J197" s="1" t="s">
        <v>30</v>
      </c>
      <c r="K197" s="2" t="str">
        <f t="shared" si="34"/>
        <v>https://sig.aminerals.cl/imgdyn/rest/services/CL_MLP_PAO/CL_MLP_PAO_IF_Ortho_Geosupport/ImageServer/file?id=.\El_Mauro_Drone\26_01_16\CL_MLP_PAO_IF_Ortho_26_01_16_Plataforma_Integrada_El_Mauro.tif&amp;rasterId=</v>
      </c>
      <c r="L197" s="1" t="s">
        <v>31</v>
      </c>
      <c r="M197" s="1" t="s">
        <v>32</v>
      </c>
      <c r="N197" s="1" t="s">
        <v>33</v>
      </c>
      <c r="O197" s="1" t="s">
        <v>34</v>
      </c>
      <c r="P197" s="3" t="str">
        <f t="shared" si="35"/>
        <v>16</v>
      </c>
      <c r="Q197" s="3" t="str">
        <f t="shared" si="36"/>
        <v>01</v>
      </c>
      <c r="R197" s="3" t="str">
        <f t="shared" si="37"/>
        <v>26</v>
      </c>
      <c r="S197" s="1" t="s">
        <v>87</v>
      </c>
      <c r="T197" s="1">
        <v>1</v>
      </c>
      <c r="U197" s="1" t="s">
        <v>461</v>
      </c>
      <c r="V197" s="1" t="str">
        <f t="shared" si="38"/>
        <v>Plataforma_Integrada_El_Mauro</v>
      </c>
      <c r="W197" s="1" t="str">
        <f t="shared" si="31"/>
        <v>Plataforma_Integrada_El_Mauro</v>
      </c>
      <c r="X197" s="4" t="b">
        <f t="shared" si="39"/>
        <v>1</v>
      </c>
      <c r="Y197" s="1">
        <f>VLOOKUP(D197,'Orden de Imagen'!$A$1:D338,4,FALSE())</f>
        <v>167</v>
      </c>
      <c r="Z197" s="1" t="str">
        <f t="shared" si="40"/>
        <v>167_26_01_16_Plataforma_Integrada_El_Mauro</v>
      </c>
    </row>
    <row r="198" spans="1:26" ht="15" customHeight="1" x14ac:dyDescent="0.25">
      <c r="A198" s="1">
        <v>199</v>
      </c>
      <c r="B198" s="1" t="s">
        <v>500</v>
      </c>
      <c r="C198" s="1" t="str">
        <f t="shared" si="33"/>
        <v>CL_MLP_PAO_IF_Ortho_26_01_17_MonteAranda-NSTC-Km-84p2-a-82p3.tif</v>
      </c>
      <c r="D198" s="1" t="str">
        <f t="shared" si="30"/>
        <v>CL_MLP_PAO_IF_Ortho_26_01_17_MonteAranda-NSTC-Km-84p2-a-82p3</v>
      </c>
      <c r="E198" s="1" t="s">
        <v>488</v>
      </c>
      <c r="F198" s="1" t="s">
        <v>460</v>
      </c>
      <c r="G198" s="1" t="s">
        <v>29</v>
      </c>
      <c r="H198" s="16">
        <v>46039.166666666701</v>
      </c>
      <c r="I198" s="16">
        <v>46050</v>
      </c>
      <c r="J198" s="1" t="s">
        <v>30</v>
      </c>
      <c r="K198" s="2" t="str">
        <f t="shared" si="34"/>
        <v>https://sig.aminerals.cl/imgdyn/rest/services/CL_MLP_PAO/CL_MLP_PAO_IF_Ortho_Geosupport/ImageServer/file?id=.\El_Mauro_Puerto_Punta_Chungo_Drone\26_01_17\CL_MLP_PAO_IF_Ortho_26_01_17_MonteAranda-NSTC-Km-84p2-a-82p3.tif&amp;rasterId=</v>
      </c>
      <c r="L198" s="1" t="s">
        <v>31</v>
      </c>
      <c r="M198" s="1" t="s">
        <v>32</v>
      </c>
      <c r="N198" s="1" t="s">
        <v>33</v>
      </c>
      <c r="O198" s="1" t="s">
        <v>34</v>
      </c>
      <c r="P198" s="3" t="str">
        <f t="shared" si="35"/>
        <v>17</v>
      </c>
      <c r="Q198" s="3" t="str">
        <f t="shared" si="36"/>
        <v>01</v>
      </c>
      <c r="R198" s="3" t="str">
        <f t="shared" si="37"/>
        <v>26</v>
      </c>
      <c r="S198" s="1" t="s">
        <v>50</v>
      </c>
      <c r="T198" s="1">
        <v>1</v>
      </c>
      <c r="U198" s="1" t="s">
        <v>461</v>
      </c>
      <c r="V198" s="1" t="str">
        <f t="shared" si="38"/>
        <v>MonteAranda-NSTC-Km-84p2-a-82p3</v>
      </c>
      <c r="W198" s="1" t="str">
        <f t="shared" si="31"/>
        <v>MonteAranda-NSTC-Km-84p2-a-82p3</v>
      </c>
      <c r="X198" s="4" t="b">
        <f t="shared" si="39"/>
        <v>1</v>
      </c>
      <c r="Y198" s="1">
        <f>VLOOKUP(D198,'Orden de Imagen'!$A$1:D341,4,FALSE())</f>
        <v>168</v>
      </c>
      <c r="Z198" s="1" t="str">
        <f t="shared" si="40"/>
        <v>168_26_01_17_MonteAranda-NSTC-Km-84p2-a-82p3</v>
      </c>
    </row>
    <row r="199" spans="1:26" ht="15" customHeight="1" x14ac:dyDescent="0.25">
      <c r="A199" s="1">
        <v>200</v>
      </c>
      <c r="B199" s="1" t="s">
        <v>501</v>
      </c>
      <c r="C199" s="1" t="str">
        <f t="shared" si="33"/>
        <v>CL_MLP_PAO_IF_Ortho_26_01_18_EV2.tif</v>
      </c>
      <c r="D199" s="1" t="str">
        <f t="shared" si="30"/>
        <v>CL_MLP_PAO_IF_Ortho_26_01_18_EV2</v>
      </c>
      <c r="E199" s="1" t="s">
        <v>74</v>
      </c>
      <c r="F199" s="1" t="s">
        <v>460</v>
      </c>
      <c r="G199" s="1" t="s">
        <v>29</v>
      </c>
      <c r="H199" s="16">
        <v>46040.166666666701</v>
      </c>
      <c r="I199" s="16">
        <v>46050</v>
      </c>
      <c r="J199" s="1" t="s">
        <v>30</v>
      </c>
      <c r="K199" s="2" t="str">
        <f t="shared" si="34"/>
        <v>https://sig.aminerals.cl/imgdyn/rest/services/CL_MLP_PAO/CL_MLP_PAO_IF_Ortho_Geosupport/ImageServer/file?id=.\El_Mauro_Puerto_Punta_Chungo_Drone\26_01_18\CL_MLP_PAO_IF_Ortho_26_01_18_EV2.tif&amp;rasterId=</v>
      </c>
      <c r="L199" s="1" t="s">
        <v>31</v>
      </c>
      <c r="M199" s="1" t="s">
        <v>32</v>
      </c>
      <c r="N199" s="1" t="s">
        <v>33</v>
      </c>
      <c r="O199" s="1" t="s">
        <v>34</v>
      </c>
      <c r="P199" s="3" t="str">
        <f t="shared" si="35"/>
        <v>18</v>
      </c>
      <c r="Q199" s="3" t="str">
        <f t="shared" si="36"/>
        <v>01</v>
      </c>
      <c r="R199" s="3" t="str">
        <f t="shared" si="37"/>
        <v>26</v>
      </c>
      <c r="S199" s="1" t="s">
        <v>50</v>
      </c>
      <c r="T199" s="1">
        <v>1</v>
      </c>
      <c r="U199" s="1" t="s">
        <v>461</v>
      </c>
      <c r="V199" s="1" t="str">
        <f t="shared" si="38"/>
        <v>EV2</v>
      </c>
      <c r="W199" s="1" t="str">
        <f t="shared" si="31"/>
        <v>EV2</v>
      </c>
      <c r="X199" s="4" t="b">
        <f t="shared" si="39"/>
        <v>1</v>
      </c>
      <c r="Y199" s="1">
        <f>VLOOKUP(D199,'Orden de Imagen'!$A$1:D342,4,FALSE())</f>
        <v>169</v>
      </c>
      <c r="Z199" s="1" t="str">
        <f t="shared" si="40"/>
        <v>169_26_01_18_EV2</v>
      </c>
    </row>
    <row r="200" spans="1:26" ht="15" customHeight="1" x14ac:dyDescent="0.25">
      <c r="A200" s="1">
        <v>201</v>
      </c>
      <c r="B200" s="1" t="s">
        <v>502</v>
      </c>
      <c r="C200" s="1" t="str">
        <f t="shared" si="33"/>
        <v>CL_MLP_PAO_IF_Ortho_26_01_20_EV1.tif</v>
      </c>
      <c r="D200" s="1" t="str">
        <f t="shared" si="30"/>
        <v>CL_MLP_PAO_IF_Ortho_26_01_20_EV1</v>
      </c>
      <c r="E200" s="1" t="s">
        <v>258</v>
      </c>
      <c r="F200" s="1" t="s">
        <v>460</v>
      </c>
      <c r="G200" s="1" t="s">
        <v>29</v>
      </c>
      <c r="H200" s="16">
        <v>46042.166666666701</v>
      </c>
      <c r="I200" s="16">
        <v>46050</v>
      </c>
      <c r="J200" s="1" t="s">
        <v>30</v>
      </c>
      <c r="K200" s="2" t="str">
        <f t="shared" si="34"/>
        <v>https://sig.aminerals.cl/imgdyn/rest/services/CL_MLP_PAO/CL_MLP_PAO_IF_Ortho_Geosupport/ImageServer/file?id=.\Chacay_El_Mauro_Drone\26_01_20\CL_MLP_PAO_IF_Ortho_26_01_20_EV1.tif&amp;rasterId=</v>
      </c>
      <c r="L200" s="1" t="s">
        <v>31</v>
      </c>
      <c r="M200" s="1" t="s">
        <v>32</v>
      </c>
      <c r="N200" s="1" t="s">
        <v>33</v>
      </c>
      <c r="O200" s="1" t="s">
        <v>34</v>
      </c>
      <c r="P200" s="3" t="str">
        <f t="shared" si="35"/>
        <v>20</v>
      </c>
      <c r="Q200" s="3" t="str">
        <f t="shared" si="36"/>
        <v>01</v>
      </c>
      <c r="R200" s="3" t="str">
        <f t="shared" si="37"/>
        <v>26</v>
      </c>
      <c r="S200" s="1" t="s">
        <v>40</v>
      </c>
      <c r="T200" s="1">
        <v>1</v>
      </c>
      <c r="U200" s="1" t="s">
        <v>461</v>
      </c>
      <c r="V200" s="1" t="str">
        <f t="shared" si="38"/>
        <v>EV1</v>
      </c>
      <c r="W200" s="1" t="str">
        <f t="shared" si="31"/>
        <v>EV1</v>
      </c>
      <c r="X200" s="4" t="b">
        <f t="shared" si="39"/>
        <v>1</v>
      </c>
      <c r="Y200" s="1">
        <f>VLOOKUP(D200,'Orden de Imagen'!$A$1:D343,4,FALSE())</f>
        <v>170</v>
      </c>
      <c r="Z200" s="1" t="str">
        <f t="shared" si="40"/>
        <v>170_26_01_20_EV1</v>
      </c>
    </row>
    <row r="201" spans="1:26" ht="15" customHeight="1" x14ac:dyDescent="0.25">
      <c r="A201" s="1">
        <v>202</v>
      </c>
      <c r="B201" s="1" t="s">
        <v>503</v>
      </c>
      <c r="C201" s="1" t="str">
        <f t="shared" si="33"/>
        <v>CL_MLP_PAO_IF_Ortho_26_01_20_Linea-33-kV-NorteElMauro-Area3.tif</v>
      </c>
      <c r="D201" s="1" t="str">
        <f t="shared" si="30"/>
        <v>CL_MLP_PAO_IF_Ortho_26_01_20_Linea-33-kV-NorteElMauro-Area3</v>
      </c>
      <c r="E201" s="1" t="s">
        <v>480</v>
      </c>
      <c r="F201" s="1" t="s">
        <v>460</v>
      </c>
      <c r="G201" s="1" t="s">
        <v>29</v>
      </c>
      <c r="H201" s="16">
        <v>46042.166666666701</v>
      </c>
      <c r="I201" s="16">
        <v>46050</v>
      </c>
      <c r="J201" s="1" t="s">
        <v>30</v>
      </c>
      <c r="K201" s="2" t="str">
        <f t="shared" si="34"/>
        <v>https://sig.aminerals.cl/imgdyn/rest/services/CL_MLP_PAO/CL_MLP_PAO_IF_Ortho_Geosupport/ImageServer/file?id=.\El_Mauro_Drone\26_01_20\CL_MLP_PAO_IF_Ortho_26_01_20_Linea-33-kV-NorteElMauro-Area3.tif&amp;rasterId=</v>
      </c>
      <c r="L201" s="1" t="s">
        <v>31</v>
      </c>
      <c r="M201" s="1" t="s">
        <v>32</v>
      </c>
      <c r="N201" s="1" t="s">
        <v>33</v>
      </c>
      <c r="O201" s="1" t="s">
        <v>34</v>
      </c>
      <c r="P201" s="3" t="str">
        <f t="shared" si="35"/>
        <v>20</v>
      </c>
      <c r="Q201" s="3" t="str">
        <f t="shared" si="36"/>
        <v>01</v>
      </c>
      <c r="R201" s="3" t="str">
        <f t="shared" si="37"/>
        <v>26</v>
      </c>
      <c r="S201" s="1" t="s">
        <v>87</v>
      </c>
      <c r="T201" s="1">
        <v>1</v>
      </c>
      <c r="U201" s="1" t="s">
        <v>461</v>
      </c>
      <c r="V201" s="1" t="str">
        <f t="shared" si="38"/>
        <v>Linea-33-kV-NorteElMauro-Area3</v>
      </c>
      <c r="W201" s="1" t="str">
        <f t="shared" si="31"/>
        <v>Linea-33-kV-NorteElMauro-Area3</v>
      </c>
      <c r="X201" s="4" t="b">
        <f t="shared" si="39"/>
        <v>1</v>
      </c>
      <c r="Y201" s="1">
        <f>VLOOKUP(D201,'Orden de Imagen'!$A$1:D344,4,FALSE())</f>
        <v>171</v>
      </c>
      <c r="Z201" s="1" t="str">
        <f t="shared" si="40"/>
        <v>171_26_01_20_Linea-33-kV-NorteElMauro-Area3</v>
      </c>
    </row>
    <row r="202" spans="1:26" ht="15" customHeight="1" x14ac:dyDescent="0.25">
      <c r="A202" s="1">
        <v>203</v>
      </c>
      <c r="B202" s="1" t="s">
        <v>504</v>
      </c>
      <c r="C202" s="1" t="str">
        <f t="shared" si="33"/>
        <v>CL_MLP_PAO_IF_Ortho_26_01_21_DME9-PA12-IIFF8.tif</v>
      </c>
      <c r="D202" s="1" t="str">
        <f t="shared" si="30"/>
        <v>CL_MLP_PAO_IF_Ortho_26_01_21_DME9-PA12-IIFF8</v>
      </c>
      <c r="E202" s="1" t="s">
        <v>505</v>
      </c>
      <c r="F202" s="1" t="s">
        <v>460</v>
      </c>
      <c r="G202" s="1" t="s">
        <v>29</v>
      </c>
      <c r="H202" s="16">
        <v>46043.166666666701</v>
      </c>
      <c r="I202" s="16">
        <v>46050</v>
      </c>
      <c r="J202" s="1" t="s">
        <v>30</v>
      </c>
      <c r="K202" s="2" t="str">
        <f t="shared" si="34"/>
        <v>https://sig.aminerals.cl/imgdyn/rest/services/CL_MLP_PAO/CL_MLP_PAO_IF_Ortho_Geosupport/ImageServer/file?id=.\Chacay_El_Mauro_Drone\26_01_21\CL_MLP_PAO_IF_Ortho_26_01_21_DME9-PA12-IIFF8.tif&amp;rasterId=</v>
      </c>
      <c r="L202" s="1" t="s">
        <v>31</v>
      </c>
      <c r="M202" s="1" t="s">
        <v>32</v>
      </c>
      <c r="N202" s="1" t="s">
        <v>33</v>
      </c>
      <c r="O202" s="1" t="s">
        <v>34</v>
      </c>
      <c r="P202" s="3" t="str">
        <f t="shared" si="35"/>
        <v>21</v>
      </c>
      <c r="Q202" s="3" t="str">
        <f t="shared" si="36"/>
        <v>01</v>
      </c>
      <c r="R202" s="3" t="str">
        <f t="shared" si="37"/>
        <v>26</v>
      </c>
      <c r="S202" s="1" t="s">
        <v>40</v>
      </c>
      <c r="T202" s="1">
        <v>1</v>
      </c>
      <c r="U202" s="1" t="s">
        <v>461</v>
      </c>
      <c r="V202" s="1" t="str">
        <f t="shared" si="38"/>
        <v>DME9-PA12-IIFF8</v>
      </c>
      <c r="W202" s="1" t="str">
        <f t="shared" si="31"/>
        <v>DME9-PA12-IIFF8</v>
      </c>
      <c r="X202" s="4" t="b">
        <f t="shared" si="39"/>
        <v>1</v>
      </c>
      <c r="Y202" s="1">
        <f>VLOOKUP(D202,'Orden de Imagen'!$A$1:D345,4,FALSE())</f>
        <v>172</v>
      </c>
      <c r="Z202" s="1" t="str">
        <f t="shared" si="40"/>
        <v>172_26_01_21_DME9-PA12-IIFF8</v>
      </c>
    </row>
    <row r="203" spans="1:26" ht="15" customHeight="1" x14ac:dyDescent="0.25">
      <c r="A203" s="1">
        <v>204</v>
      </c>
      <c r="B203" s="1" t="s">
        <v>506</v>
      </c>
      <c r="C203" s="1" t="str">
        <f t="shared" si="33"/>
        <v>CL_MLP_PAO_IF_Ortho_26_01_21_ED1-IIFF7-DME8.tif</v>
      </c>
      <c r="D203" s="1" t="str">
        <f t="shared" si="30"/>
        <v>CL_MLP_PAO_IF_Ortho_26_01_21_ED1-IIFF7-DME8</v>
      </c>
      <c r="E203" s="1" t="s">
        <v>485</v>
      </c>
      <c r="F203" s="1" t="s">
        <v>460</v>
      </c>
      <c r="G203" s="1" t="s">
        <v>29</v>
      </c>
      <c r="H203" s="16">
        <v>46043.166666666701</v>
      </c>
      <c r="I203" s="16">
        <v>46050</v>
      </c>
      <c r="J203" s="1" t="s">
        <v>30</v>
      </c>
      <c r="K203" s="2" t="str">
        <f t="shared" si="34"/>
        <v>https://sig.aminerals.cl/imgdyn/rest/services/CL_MLP_PAO/CL_MLP_PAO_IF_Ortho_Geosupport/ImageServer/file?id=.\Chacay_El_Mauro_Drone\26_01_21\CL_MLP_PAO_IF_Ortho_26_01_21_ED1-IIFF7-DME8.tif&amp;rasterId=</v>
      </c>
      <c r="L203" s="1" t="s">
        <v>31</v>
      </c>
      <c r="M203" s="1" t="s">
        <v>32</v>
      </c>
      <c r="N203" s="1" t="s">
        <v>33</v>
      </c>
      <c r="O203" s="1" t="s">
        <v>34</v>
      </c>
      <c r="P203" s="3" t="str">
        <f t="shared" si="35"/>
        <v>21</v>
      </c>
      <c r="Q203" s="3" t="str">
        <f t="shared" si="36"/>
        <v>01</v>
      </c>
      <c r="R203" s="3" t="str">
        <f t="shared" si="37"/>
        <v>26</v>
      </c>
      <c r="S203" s="1" t="s">
        <v>40</v>
      </c>
      <c r="T203" s="1">
        <v>1</v>
      </c>
      <c r="U203" s="1" t="s">
        <v>461</v>
      </c>
      <c r="V203" s="1" t="str">
        <f t="shared" si="38"/>
        <v>ED1-IIFF7-DME8</v>
      </c>
      <c r="W203" s="1" t="str">
        <f t="shared" si="31"/>
        <v>ED1-IIFF7-DME8</v>
      </c>
      <c r="X203" s="4" t="b">
        <f t="shared" si="39"/>
        <v>1</v>
      </c>
      <c r="Y203" s="1">
        <f>VLOOKUP(D203,'Orden de Imagen'!$A$1:D346,4,FALSE())</f>
        <v>173</v>
      </c>
      <c r="Z203" s="1" t="str">
        <f t="shared" si="40"/>
        <v>173_26_01_21_ED1-IIFF7-DME8</v>
      </c>
    </row>
    <row r="204" spans="1:26" ht="15" customHeight="1" x14ac:dyDescent="0.25">
      <c r="A204" s="1">
        <v>205</v>
      </c>
      <c r="B204" s="1" t="s">
        <v>507</v>
      </c>
      <c r="C204" s="1" t="str">
        <f t="shared" si="33"/>
        <v>CL_MLP_PAO_IF_Ortho_26_01_21_IIFF9-PA13.tif</v>
      </c>
      <c r="D204" s="1" t="str">
        <f t="shared" si="30"/>
        <v>CL_MLP_PAO_IF_Ortho_26_01_21_IIFF9-PA13</v>
      </c>
      <c r="E204" s="1" t="s">
        <v>508</v>
      </c>
      <c r="F204" s="1" t="s">
        <v>460</v>
      </c>
      <c r="G204" s="1" t="s">
        <v>29</v>
      </c>
      <c r="H204" s="16">
        <v>46043.166666666701</v>
      </c>
      <c r="I204" s="16">
        <v>46050</v>
      </c>
      <c r="J204" s="1" t="s">
        <v>30</v>
      </c>
      <c r="K204" s="2" t="str">
        <f t="shared" si="34"/>
        <v>https://sig.aminerals.cl/imgdyn/rest/services/CL_MLP_PAO/CL_MLP_PAO_IF_Ortho_Geosupport/ImageServer/file?id=.\Chacay_El_Mauro_Drone\26_01_21\CL_MLP_PAO_IF_Ortho_26_01_21_IIFF9-PA13.tif&amp;rasterId=</v>
      </c>
      <c r="L204" s="1" t="s">
        <v>31</v>
      </c>
      <c r="M204" s="1" t="s">
        <v>32</v>
      </c>
      <c r="N204" s="1" t="s">
        <v>33</v>
      </c>
      <c r="O204" s="1" t="s">
        <v>34</v>
      </c>
      <c r="P204" s="3" t="str">
        <f t="shared" si="35"/>
        <v>21</v>
      </c>
      <c r="Q204" s="3" t="str">
        <f t="shared" si="36"/>
        <v>01</v>
      </c>
      <c r="R204" s="3" t="str">
        <f t="shared" si="37"/>
        <v>26</v>
      </c>
      <c r="S204" s="1" t="s">
        <v>40</v>
      </c>
      <c r="T204" s="1">
        <v>1</v>
      </c>
      <c r="U204" s="1" t="s">
        <v>461</v>
      </c>
      <c r="V204" s="1" t="str">
        <f t="shared" si="38"/>
        <v>IIFF9-PA13</v>
      </c>
      <c r="W204" s="1" t="str">
        <f t="shared" si="31"/>
        <v>IIFF9-PA13</v>
      </c>
      <c r="X204" s="4" t="b">
        <f t="shared" si="39"/>
        <v>1</v>
      </c>
      <c r="Y204" s="1">
        <f>VLOOKUP(D204,'Orden de Imagen'!$A$1:D347,4,FALSE())</f>
        <v>174</v>
      </c>
      <c r="Z204" s="1" t="str">
        <f t="shared" si="40"/>
        <v>174_26_01_21_IIFF9-PA13</v>
      </c>
    </row>
    <row r="205" spans="1:26" ht="15" customHeight="1" x14ac:dyDescent="0.25">
      <c r="A205" s="1">
        <v>206</v>
      </c>
      <c r="B205" s="1" t="s">
        <v>509</v>
      </c>
      <c r="C205" s="1" t="str">
        <f t="shared" si="33"/>
        <v>CL_MLP_PAO_IF_Ortho_26_01_21_InstalacionesTipay.tif</v>
      </c>
      <c r="D205" s="1" t="str">
        <f t="shared" si="30"/>
        <v>CL_MLP_PAO_IF_Ortho_26_01_21_InstalacionesTipay</v>
      </c>
      <c r="E205" s="1" t="s">
        <v>510</v>
      </c>
      <c r="F205" s="1" t="s">
        <v>460</v>
      </c>
      <c r="G205" s="1" t="s">
        <v>29</v>
      </c>
      <c r="H205" s="16">
        <v>46043.166666666701</v>
      </c>
      <c r="I205" s="16">
        <v>46050</v>
      </c>
      <c r="J205" s="1" t="s">
        <v>30</v>
      </c>
      <c r="K205" s="2" t="str">
        <f t="shared" si="34"/>
        <v>https://sig.aminerals.cl/imgdyn/rest/services/CL_MLP_PAO/CL_MLP_PAO_IF_Ortho_Geosupport/ImageServer/file?id=.\El_Mauro_Puerto_Punta_Chungo_Drone\26_01_21\CL_MLP_PAO_IF_Ortho_26_01_21_InstalacionesTipay.tif&amp;rasterId=</v>
      </c>
      <c r="L205" s="1" t="s">
        <v>31</v>
      </c>
      <c r="M205" s="1" t="s">
        <v>32</v>
      </c>
      <c r="N205" s="1" t="s">
        <v>33</v>
      </c>
      <c r="O205" s="1" t="s">
        <v>34</v>
      </c>
      <c r="P205" s="3" t="str">
        <f t="shared" si="35"/>
        <v>21</v>
      </c>
      <c r="Q205" s="3" t="str">
        <f t="shared" si="36"/>
        <v>01</v>
      </c>
      <c r="R205" s="3" t="str">
        <f t="shared" si="37"/>
        <v>26</v>
      </c>
      <c r="S205" s="1" t="s">
        <v>50</v>
      </c>
      <c r="T205" s="1">
        <v>1</v>
      </c>
      <c r="U205" s="1" t="s">
        <v>461</v>
      </c>
      <c r="V205" s="1" t="str">
        <f t="shared" si="38"/>
        <v>InstalacionesTipay</v>
      </c>
      <c r="W205" s="1" t="str">
        <f t="shared" si="31"/>
        <v>InstalacionesTipay</v>
      </c>
      <c r="X205" s="4" t="b">
        <f t="shared" si="39"/>
        <v>1</v>
      </c>
      <c r="Y205" s="1">
        <f>VLOOKUP(D205,'Orden de Imagen'!$A$1:D348,4,FALSE())</f>
        <v>175</v>
      </c>
      <c r="Z205" s="1" t="str">
        <f t="shared" si="40"/>
        <v>175_26_01_21_InstalacionesTipay</v>
      </c>
    </row>
    <row r="206" spans="1:26" ht="15" customHeight="1" x14ac:dyDescent="0.25">
      <c r="A206" s="1">
        <v>207</v>
      </c>
      <c r="B206" s="1" t="s">
        <v>511</v>
      </c>
      <c r="C206" s="1" t="str">
        <f t="shared" si="33"/>
        <v>CL_MLP_PAO_IF_Ortho_26_01_22_Patio-19B-y-Armado.tif</v>
      </c>
      <c r="D206" s="1" t="str">
        <f t="shared" si="30"/>
        <v>CL_MLP_PAO_IF_Ortho_26_01_22_Patio-19B-y-Armado</v>
      </c>
      <c r="E206" s="1" t="s">
        <v>472</v>
      </c>
      <c r="F206" s="1" t="s">
        <v>460</v>
      </c>
      <c r="G206" s="1" t="s">
        <v>29</v>
      </c>
      <c r="H206" s="16">
        <v>46044.166666666701</v>
      </c>
      <c r="I206" s="16">
        <v>46050</v>
      </c>
      <c r="J206" s="1" t="s">
        <v>30</v>
      </c>
      <c r="K206" s="2" t="str">
        <f t="shared" si="34"/>
        <v>https://sig.aminerals.cl/imgdyn/rest/services/CL_MLP_PAO/CL_MLP_PAO_IF_Ortho_Geosupport/ImageServer/file?id=.\El_Mauro_Drone\26_01_22\CL_MLP_PAO_IF_Ortho_26_01_22_Patio-19B-y-Armado.tif&amp;rasterId=</v>
      </c>
      <c r="L206" s="1" t="s">
        <v>31</v>
      </c>
      <c r="M206" s="1" t="s">
        <v>32</v>
      </c>
      <c r="N206" s="1" t="s">
        <v>33</v>
      </c>
      <c r="O206" s="1" t="s">
        <v>34</v>
      </c>
      <c r="P206" s="3" t="str">
        <f t="shared" si="35"/>
        <v>22</v>
      </c>
      <c r="Q206" s="3" t="str">
        <f t="shared" si="36"/>
        <v>01</v>
      </c>
      <c r="R206" s="3" t="str">
        <f t="shared" si="37"/>
        <v>26</v>
      </c>
      <c r="S206" s="1" t="s">
        <v>87</v>
      </c>
      <c r="T206" s="1">
        <v>1</v>
      </c>
      <c r="U206" s="1" t="s">
        <v>461</v>
      </c>
      <c r="V206" s="1" t="str">
        <f t="shared" si="38"/>
        <v>Patio-19B-y-Armado</v>
      </c>
      <c r="W206" s="1" t="str">
        <f t="shared" si="31"/>
        <v>Patio-19B-y-Armado</v>
      </c>
      <c r="X206" s="4" t="b">
        <f t="shared" si="39"/>
        <v>1</v>
      </c>
      <c r="Y206" s="1">
        <f>VLOOKUP(D206,'Orden de Imagen'!$A$1:D349,4,FALSE())</f>
        <v>176</v>
      </c>
      <c r="Z206" s="1" t="str">
        <f t="shared" si="40"/>
        <v>176_26_01_22_Patio-19B-y-Armado</v>
      </c>
    </row>
    <row r="207" spans="1:26" ht="15" customHeight="1" x14ac:dyDescent="0.25">
      <c r="A207" s="1">
        <v>208</v>
      </c>
      <c r="B207" s="1" t="s">
        <v>512</v>
      </c>
      <c r="C207" s="1" t="str">
        <f t="shared" si="33"/>
        <v>CL_MLP_PAO_IF_Ortho_26_01_30_Plataforma_Integrada_El_Mauro.tif</v>
      </c>
      <c r="D207" s="1" t="str">
        <f t="shared" ref="D207:D270" si="41">CONCATENATE(L207,"_",M207,"_",G207,"_",N207,"_",O207,"_",R207,"_",Q207,"_",P207,"_",E207)</f>
        <v>CL_MLP_PAO_IF_Ortho_26_01_30_Plataforma_Integrada_El_Mauro</v>
      </c>
      <c r="E207" s="1" t="s">
        <v>459</v>
      </c>
      <c r="F207" s="1" t="s">
        <v>460</v>
      </c>
      <c r="G207" s="1" t="s">
        <v>29</v>
      </c>
      <c r="H207" s="16">
        <v>46052</v>
      </c>
      <c r="I207" s="16">
        <v>46091</v>
      </c>
      <c r="J207" s="1" t="s">
        <v>30</v>
      </c>
      <c r="K207" s="2" t="str">
        <f t="shared" si="34"/>
        <v>https://sig.aminerals.cl/imgdyn/rest/services/CL_MLP_PAO/CL_MLP_PAO_IF_Ortho_Geosupport/ImageServer/file?id=.\El_Mauro_Drone\26_01_30\CL_MLP_PAO_IF_Ortho_26_01_30_Plataforma_Integrada_El_Mauro.tif&amp;rasterId=</v>
      </c>
      <c r="L207" s="1" t="s">
        <v>31</v>
      </c>
      <c r="M207" s="1" t="s">
        <v>32</v>
      </c>
      <c r="N207" s="1" t="s">
        <v>33</v>
      </c>
      <c r="O207" s="1" t="s">
        <v>34</v>
      </c>
      <c r="P207" s="3" t="str">
        <f t="shared" si="35"/>
        <v>30</v>
      </c>
      <c r="Q207" s="3" t="str">
        <f t="shared" si="36"/>
        <v>01</v>
      </c>
      <c r="R207" s="3" t="str">
        <f t="shared" si="37"/>
        <v>26</v>
      </c>
      <c r="S207" s="1" t="s">
        <v>87</v>
      </c>
      <c r="T207" s="1">
        <v>1</v>
      </c>
      <c r="U207" s="1" t="s">
        <v>461</v>
      </c>
      <c r="V207" s="1" t="str">
        <f t="shared" si="38"/>
        <v>Plataforma_Integrada_El_Mauro</v>
      </c>
      <c r="W207" s="1" t="str">
        <f t="shared" si="31"/>
        <v>Plataforma_Integrada_El_Mauro</v>
      </c>
      <c r="X207" s="4" t="b">
        <f t="shared" si="39"/>
        <v>1</v>
      </c>
      <c r="Y207" s="1">
        <f>VLOOKUP(D207,'Orden de Imagen'!$A$1:D350,4,FALSE())</f>
        <v>177</v>
      </c>
      <c r="Z207" s="1" t="str">
        <f t="shared" si="40"/>
        <v>177_26_01_30_Plataforma_Integrada_El_Mauro</v>
      </c>
    </row>
    <row r="208" spans="1:26" ht="15" customHeight="1" x14ac:dyDescent="0.25">
      <c r="A208" s="1">
        <v>209</v>
      </c>
      <c r="B208" s="1" t="s">
        <v>513</v>
      </c>
      <c r="C208" s="1" t="str">
        <f t="shared" si="33"/>
        <v>CL_MLP_PAO_IF_Ortho_26_01_31_EB2_1.tif</v>
      </c>
      <c r="D208" s="1" t="str">
        <f t="shared" si="41"/>
        <v>CL_MLP_PAO_IF_Ortho_26_01_31_EB2_1</v>
      </c>
      <c r="E208" s="1" t="s">
        <v>514</v>
      </c>
      <c r="F208" s="1" t="s">
        <v>460</v>
      </c>
      <c r="G208" s="1" t="s">
        <v>29</v>
      </c>
      <c r="H208" s="16">
        <v>46053</v>
      </c>
      <c r="I208" s="16">
        <v>46080.166666666701</v>
      </c>
      <c r="J208" s="1" t="s">
        <v>30</v>
      </c>
      <c r="K208" s="2" t="str">
        <f t="shared" si="34"/>
        <v>https://sig.aminerals.cl/imgdyn/rest/services/CL_MLP_PAO/CL_MLP_PAO_IF_Ortho_Geosupport/ImageServer/file?id=.\El_Mauro_Puerto_Punta_Chungo_Drone\26_01_31\CL_MLP_PAO_IF_Ortho_26_01_31_EB2_1.tif&amp;rasterId=</v>
      </c>
      <c r="L208" s="1" t="s">
        <v>31</v>
      </c>
      <c r="M208" s="1" t="s">
        <v>32</v>
      </c>
      <c r="N208" s="1" t="s">
        <v>33</v>
      </c>
      <c r="O208" s="1" t="s">
        <v>34</v>
      </c>
      <c r="P208" s="3" t="str">
        <f t="shared" si="35"/>
        <v>31</v>
      </c>
      <c r="Q208" s="3" t="str">
        <f t="shared" si="36"/>
        <v>01</v>
      </c>
      <c r="R208" s="3" t="str">
        <f t="shared" si="37"/>
        <v>26</v>
      </c>
      <c r="S208" s="1" t="s">
        <v>50</v>
      </c>
      <c r="T208" s="1">
        <v>1</v>
      </c>
      <c r="U208" s="1" t="s">
        <v>461</v>
      </c>
      <c r="V208" s="1" t="str">
        <f t="shared" si="38"/>
        <v>EB2_1</v>
      </c>
      <c r="W208" s="1" t="str">
        <f t="shared" si="31"/>
        <v>EB2_1</v>
      </c>
      <c r="X208" s="4" t="b">
        <f t="shared" si="39"/>
        <v>1</v>
      </c>
      <c r="Y208" s="1">
        <f>VLOOKUP(D208,'Orden de Imagen'!$A$1:D351,4,FALSE())</f>
        <v>178</v>
      </c>
      <c r="Z208" s="1" t="str">
        <f t="shared" si="40"/>
        <v>178_26_01_31_EB2_1</v>
      </c>
    </row>
    <row r="209" spans="1:26" ht="15" customHeight="1" x14ac:dyDescent="0.25">
      <c r="A209" s="1">
        <v>210</v>
      </c>
      <c r="B209" s="1" t="s">
        <v>515</v>
      </c>
      <c r="C209" s="1" t="str">
        <f t="shared" si="33"/>
        <v>CL_MLP_PAO_IF_Ortho_26_01_31_EV2_1.tif</v>
      </c>
      <c r="D209" s="1" t="str">
        <f t="shared" si="41"/>
        <v>CL_MLP_PAO_IF_Ortho_26_01_31_EV2_1</v>
      </c>
      <c r="E209" s="1" t="s">
        <v>516</v>
      </c>
      <c r="F209" s="1" t="s">
        <v>460</v>
      </c>
      <c r="G209" s="1" t="s">
        <v>29</v>
      </c>
      <c r="H209" s="16">
        <v>46053</v>
      </c>
      <c r="I209" s="16">
        <v>46080.166666666701</v>
      </c>
      <c r="J209" s="1" t="s">
        <v>30</v>
      </c>
      <c r="K209" s="2" t="str">
        <f t="shared" si="34"/>
        <v>https://sig.aminerals.cl/imgdyn/rest/services/CL_MLP_PAO/CL_MLP_PAO_IF_Ortho_Geosupport/ImageServer/file?id=.\El_Mauro_Puerto_Punta_Chungo_Drone\26_01_31\CL_MLP_PAO_IF_Ortho_26_01_31_EV2_1.tif&amp;rasterId=</v>
      </c>
      <c r="L209" s="1" t="s">
        <v>31</v>
      </c>
      <c r="M209" s="1" t="s">
        <v>32</v>
      </c>
      <c r="N209" s="1" t="s">
        <v>33</v>
      </c>
      <c r="O209" s="1" t="s">
        <v>34</v>
      </c>
      <c r="P209" s="3" t="str">
        <f t="shared" si="35"/>
        <v>31</v>
      </c>
      <c r="Q209" s="3" t="str">
        <f t="shared" si="36"/>
        <v>01</v>
      </c>
      <c r="R209" s="3" t="str">
        <f t="shared" si="37"/>
        <v>26</v>
      </c>
      <c r="S209" s="1" t="s">
        <v>50</v>
      </c>
      <c r="T209" s="1">
        <v>1</v>
      </c>
      <c r="U209" s="1" t="s">
        <v>461</v>
      </c>
      <c r="V209" s="1" t="str">
        <f t="shared" si="38"/>
        <v>EV2_1</v>
      </c>
      <c r="W209" s="1" t="str">
        <f t="shared" si="31"/>
        <v>EV2_1</v>
      </c>
      <c r="X209" s="4" t="b">
        <f t="shared" si="39"/>
        <v>1</v>
      </c>
      <c r="Y209" s="1">
        <f>VLOOKUP(D209,'Orden de Imagen'!$A$1:D352,4,FALSE())</f>
        <v>179</v>
      </c>
      <c r="Z209" s="1" t="str">
        <f t="shared" si="40"/>
        <v>179_26_01_31_EV2_1</v>
      </c>
    </row>
    <row r="210" spans="1:26" ht="15" customHeight="1" x14ac:dyDescent="0.25">
      <c r="A210" s="1">
        <v>242</v>
      </c>
      <c r="B210" s="1" t="s">
        <v>517</v>
      </c>
      <c r="C210" s="1" t="str">
        <f t="shared" si="33"/>
        <v>CL_MLP_PAO_IF_Ortho_26_01_31_Linea-33-kV-NorteElMauro-Area3_1.tif</v>
      </c>
      <c r="D210" s="1" t="str">
        <f t="shared" si="41"/>
        <v>CL_MLP_PAO_IF_Ortho_26_01_31_Linea-33-kV-NorteElMauro-Area3_1</v>
      </c>
      <c r="E210" s="1" t="s">
        <v>518</v>
      </c>
      <c r="F210" s="1" t="s">
        <v>460</v>
      </c>
      <c r="G210" s="1" t="s">
        <v>29</v>
      </c>
      <c r="H210" s="16">
        <v>46053</v>
      </c>
      <c r="I210" s="16">
        <v>46092</v>
      </c>
      <c r="J210" s="1" t="s">
        <v>30</v>
      </c>
      <c r="K210" s="2" t="str">
        <f t="shared" si="34"/>
        <v>https://sig.aminerals.cl/imgdyn/rest/services/CL_MLP_PAO/CL_MLP_PAO_IF_Ortho_Geosupport/ImageServer/file?id=.\El_Mauro_Drone\26_01_31\CL_MLP_PAO_IF_Ortho_26_01_31_Linea-33-kV-NorteElMauro-Area3_1.tif&amp;rasterId=</v>
      </c>
      <c r="L210" s="1" t="s">
        <v>31</v>
      </c>
      <c r="M210" s="1" t="s">
        <v>32</v>
      </c>
      <c r="N210" s="1" t="s">
        <v>33</v>
      </c>
      <c r="O210" s="1" t="s">
        <v>34</v>
      </c>
      <c r="P210" s="3" t="str">
        <f t="shared" si="35"/>
        <v>31</v>
      </c>
      <c r="Q210" s="3" t="str">
        <f t="shared" si="36"/>
        <v>01</v>
      </c>
      <c r="R210" s="3" t="str">
        <f t="shared" si="37"/>
        <v>26</v>
      </c>
      <c r="S210" s="1" t="s">
        <v>87</v>
      </c>
      <c r="U210" s="1" t="s">
        <v>461</v>
      </c>
      <c r="V210" s="1" t="str">
        <f t="shared" si="38"/>
        <v>Linea-33-kV-NorteElMauro-Area3_1</v>
      </c>
      <c r="W210" s="1" t="str">
        <f t="shared" si="31"/>
        <v>Linea-33-kV-NorteElMauro-Area3_1</v>
      </c>
      <c r="X210" s="4" t="b">
        <f t="shared" si="39"/>
        <v>1</v>
      </c>
      <c r="Y210" s="1">
        <f>VLOOKUP(D210,'Orden de Imagen'!$A$1:D384,4,FALSE())</f>
        <v>180</v>
      </c>
      <c r="Z210" s="1" t="str">
        <f t="shared" si="40"/>
        <v>180_26_01_31_Linea-33-kV-NorteElMauro-Area3_1</v>
      </c>
    </row>
    <row r="211" spans="1:26" ht="15" customHeight="1" x14ac:dyDescent="0.25">
      <c r="A211" s="1">
        <v>211</v>
      </c>
      <c r="B211" s="1" t="s">
        <v>519</v>
      </c>
      <c r="C211" s="1" t="str">
        <f t="shared" si="33"/>
        <v>CL_MLP_PAO_IF_Ortho_26_01_31_MonteAranda-NSTC-Km-84p2-a-82p3.tif</v>
      </c>
      <c r="D211" s="1" t="str">
        <f t="shared" si="41"/>
        <v>CL_MLP_PAO_IF_Ortho_26_01_31_MonteAranda-NSTC-Km-84p2-a-82p3</v>
      </c>
      <c r="E211" s="1" t="s">
        <v>488</v>
      </c>
      <c r="F211" s="1" t="s">
        <v>460</v>
      </c>
      <c r="G211" s="1" t="s">
        <v>29</v>
      </c>
      <c r="H211" s="16">
        <v>46053.166666666701</v>
      </c>
      <c r="I211" s="16">
        <v>46080.166666666701</v>
      </c>
      <c r="J211" s="1" t="s">
        <v>30</v>
      </c>
      <c r="K211" s="2" t="str">
        <f t="shared" si="34"/>
        <v>https://sig.aminerals.cl/imgdyn/rest/services/CL_MLP_PAO/CL_MLP_PAO_IF_Ortho_Geosupport/ImageServer/file?id=.\El_Mauro_Puerto_Punta_Chungo_Drone\26_01_31\CL_MLP_PAO_IF_Ortho_26_01_31_MonteAranda-NSTC-Km-84p2-a-82p3.tif&amp;rasterId=</v>
      </c>
      <c r="L211" s="1" t="s">
        <v>31</v>
      </c>
      <c r="M211" s="1" t="s">
        <v>32</v>
      </c>
      <c r="N211" s="1" t="s">
        <v>33</v>
      </c>
      <c r="O211" s="1" t="s">
        <v>34</v>
      </c>
      <c r="P211" s="3" t="str">
        <f t="shared" si="35"/>
        <v>31</v>
      </c>
      <c r="Q211" s="3" t="str">
        <f t="shared" si="36"/>
        <v>01</v>
      </c>
      <c r="R211" s="3" t="str">
        <f t="shared" si="37"/>
        <v>26</v>
      </c>
      <c r="S211" s="1" t="s">
        <v>50</v>
      </c>
      <c r="T211" s="1">
        <v>1</v>
      </c>
      <c r="U211" s="1" t="s">
        <v>461</v>
      </c>
      <c r="V211" s="1" t="str">
        <f t="shared" si="38"/>
        <v>MonteAranda-NSTC-Km-84p2-a-82p3</v>
      </c>
      <c r="W211" s="1" t="str">
        <f t="shared" si="31"/>
        <v>MonteAranda-NSTC-Km-84p2-a-82p3</v>
      </c>
      <c r="X211" s="4" t="b">
        <f t="shared" si="39"/>
        <v>1</v>
      </c>
      <c r="Y211" s="1">
        <f>VLOOKUP(D211,'Orden de Imagen'!$A$1:D353,4,FALSE())</f>
        <v>181</v>
      </c>
      <c r="Z211" s="1" t="str">
        <f t="shared" si="40"/>
        <v>181_26_01_31_MonteAranda-NSTC-Km-84p2-a-82p3</v>
      </c>
    </row>
    <row r="212" spans="1:26" ht="15" customHeight="1" x14ac:dyDescent="0.25">
      <c r="A212" s="1">
        <v>212</v>
      </c>
      <c r="B212" s="1" t="s">
        <v>520</v>
      </c>
      <c r="C212" s="1" t="str">
        <f t="shared" si="33"/>
        <v>CL_MLP_PAO_IF_Ortho_26_01_31_Plataforma_Integrada_El_Mauro.tif</v>
      </c>
      <c r="D212" s="1" t="str">
        <f t="shared" si="41"/>
        <v>CL_MLP_PAO_IF_Ortho_26_01_31_Plataforma_Integrada_El_Mauro</v>
      </c>
      <c r="E212" s="1" t="s">
        <v>459</v>
      </c>
      <c r="F212" s="1" t="s">
        <v>460</v>
      </c>
      <c r="G212" s="1" t="s">
        <v>29</v>
      </c>
      <c r="H212" s="16">
        <v>46053.166666666701</v>
      </c>
      <c r="I212" s="16">
        <v>46080.166666666701</v>
      </c>
      <c r="J212" s="1" t="s">
        <v>30</v>
      </c>
      <c r="K212" s="2" t="str">
        <f t="shared" si="34"/>
        <v>https://sig.aminerals.cl/imgdyn/rest/services/CL_MLP_PAO/CL_MLP_PAO_IF_Ortho_Geosupport/ImageServer/file?id=.\El_Mauro_Drone\26_01_31\CL_MLP_PAO_IF_Ortho_26_01_31_Plataforma_Integrada_El_Mauro.tif&amp;rasterId=</v>
      </c>
      <c r="L212" s="1" t="s">
        <v>31</v>
      </c>
      <c r="M212" s="1" t="s">
        <v>32</v>
      </c>
      <c r="N212" s="1" t="s">
        <v>33</v>
      </c>
      <c r="O212" s="1" t="s">
        <v>34</v>
      </c>
      <c r="P212" s="3" t="str">
        <f t="shared" si="35"/>
        <v>31</v>
      </c>
      <c r="Q212" s="3" t="str">
        <f t="shared" si="36"/>
        <v>01</v>
      </c>
      <c r="R212" s="3" t="str">
        <f t="shared" si="37"/>
        <v>26</v>
      </c>
      <c r="S212" s="1" t="s">
        <v>87</v>
      </c>
      <c r="T212" s="1">
        <v>1</v>
      </c>
      <c r="U212" s="1" t="s">
        <v>461</v>
      </c>
      <c r="V212" s="1" t="str">
        <f t="shared" si="38"/>
        <v>Plataforma_Integrada_El_Mauro</v>
      </c>
      <c r="W212" s="1" t="str">
        <f t="shared" si="31"/>
        <v>Plataforma_Integrada_El_Mauro</v>
      </c>
      <c r="X212" s="4" t="b">
        <f t="shared" si="39"/>
        <v>1</v>
      </c>
      <c r="Y212" s="1">
        <f>VLOOKUP(D212,'Orden de Imagen'!$A$1:D354,4,FALSE())</f>
        <v>182</v>
      </c>
      <c r="Z212" s="1" t="str">
        <f t="shared" si="40"/>
        <v>182_26_01_31_Plataforma_Integrada_El_Mauro</v>
      </c>
    </row>
    <row r="213" spans="1:26" ht="15" customHeight="1" x14ac:dyDescent="0.25">
      <c r="A213" s="1">
        <v>213</v>
      </c>
      <c r="B213" s="1" t="s">
        <v>521</v>
      </c>
      <c r="C213" s="1" t="str">
        <f t="shared" si="33"/>
        <v>CL_MLP_PAO_IF_Ortho_26_02_01_TORRES_E12_-_E30_PV4.tif</v>
      </c>
      <c r="D213" s="1" t="str">
        <f t="shared" si="41"/>
        <v>CL_MLP_PAO_IF_Ortho_26_02_01_TORRES_E12_-_E30_PV4</v>
      </c>
      <c r="E213" s="1" t="s">
        <v>476</v>
      </c>
      <c r="F213" s="1" t="s">
        <v>460</v>
      </c>
      <c r="G213" s="1" t="s">
        <v>29</v>
      </c>
      <c r="H213" s="16">
        <v>46054</v>
      </c>
      <c r="I213" s="16">
        <v>46080.166666666701</v>
      </c>
      <c r="J213" s="1" t="s">
        <v>30</v>
      </c>
      <c r="K213" s="2" t="str">
        <f t="shared" si="34"/>
        <v>https://sig.aminerals.cl/imgdyn/rest/services/CL_MLP_PAO/CL_MLP_PAO_IF_Ortho_Geosupport/ImageServer/file?id=.\El_Mauro_Drone\26_02_01\CL_MLP_PAO_IF_Ortho_26_02_01_TORRES_E12_-_E30_PV4.tif&amp;rasterId=</v>
      </c>
      <c r="L213" s="1" t="s">
        <v>31</v>
      </c>
      <c r="M213" s="1" t="s">
        <v>32</v>
      </c>
      <c r="N213" s="1" t="s">
        <v>33</v>
      </c>
      <c r="O213" s="1" t="s">
        <v>34</v>
      </c>
      <c r="P213" s="3" t="str">
        <f t="shared" si="35"/>
        <v>01</v>
      </c>
      <c r="Q213" s="3" t="str">
        <f t="shared" si="36"/>
        <v>02</v>
      </c>
      <c r="R213" s="3" t="str">
        <f t="shared" si="37"/>
        <v>26</v>
      </c>
      <c r="S213" s="1" t="s">
        <v>87</v>
      </c>
      <c r="T213" s="1">
        <v>1</v>
      </c>
      <c r="U213" s="1" t="s">
        <v>461</v>
      </c>
      <c r="V213" s="1" t="str">
        <f t="shared" si="38"/>
        <v>TORRES_E12_-_E30_PV4</v>
      </c>
      <c r="W213" s="1" t="str">
        <f t="shared" si="31"/>
        <v>TORRES_E12_-_E30_PV4</v>
      </c>
      <c r="X213" s="4" t="b">
        <f t="shared" si="39"/>
        <v>1</v>
      </c>
      <c r="Y213" s="1">
        <f>VLOOKUP(D213,'Orden de Imagen'!$A$1:D355,4,FALSE())</f>
        <v>183</v>
      </c>
      <c r="Z213" s="1" t="str">
        <f t="shared" si="40"/>
        <v>183_26_02_01_TORRES_E12_-_E30_PV4</v>
      </c>
    </row>
    <row r="214" spans="1:26" ht="15" customHeight="1" x14ac:dyDescent="0.25">
      <c r="A214" s="1">
        <v>214</v>
      </c>
      <c r="B214" s="1" t="s">
        <v>522</v>
      </c>
      <c r="C214" s="1" t="str">
        <f t="shared" si="33"/>
        <v>CL_MLP_PAO_IF_Ortho_26_02_03_TORRES_E12_-_E30_PV4.tif</v>
      </c>
      <c r="D214" s="1" t="str">
        <f t="shared" si="41"/>
        <v>CL_MLP_PAO_IF_Ortho_26_02_03_TORRES_E12_-_E30_PV4</v>
      </c>
      <c r="E214" s="1" t="s">
        <v>476</v>
      </c>
      <c r="F214" s="1" t="s">
        <v>460</v>
      </c>
      <c r="G214" s="1" t="s">
        <v>29</v>
      </c>
      <c r="H214" s="16">
        <v>46056.166666666701</v>
      </c>
      <c r="I214" s="16">
        <v>46080.166666666701</v>
      </c>
      <c r="J214" s="1" t="s">
        <v>30</v>
      </c>
      <c r="K214" s="2" t="str">
        <f t="shared" si="34"/>
        <v>https://sig.aminerals.cl/imgdyn/rest/services/CL_MLP_PAO/CL_MLP_PAO_IF_Ortho_Geosupport/ImageServer/file?id=.\El_Mauro_Drone\26_02_03\CL_MLP_PAO_IF_Ortho_26_02_03_TORRES_E12_-_E30_PV4.tif&amp;rasterId=</v>
      </c>
      <c r="L214" s="1" t="s">
        <v>31</v>
      </c>
      <c r="M214" s="1" t="s">
        <v>32</v>
      </c>
      <c r="N214" s="1" t="s">
        <v>33</v>
      </c>
      <c r="O214" s="1" t="s">
        <v>34</v>
      </c>
      <c r="P214" s="3" t="str">
        <f t="shared" si="35"/>
        <v>03</v>
      </c>
      <c r="Q214" s="3" t="str">
        <f t="shared" si="36"/>
        <v>02</v>
      </c>
      <c r="R214" s="3" t="str">
        <f t="shared" si="37"/>
        <v>26</v>
      </c>
      <c r="S214" s="1" t="s">
        <v>87</v>
      </c>
      <c r="T214" s="1">
        <v>1</v>
      </c>
      <c r="U214" s="1" t="s">
        <v>461</v>
      </c>
      <c r="V214" s="1" t="str">
        <f t="shared" si="38"/>
        <v>TORRES_E12_-_E30_PV4</v>
      </c>
      <c r="W214" s="1" t="str">
        <f t="shared" si="31"/>
        <v>TORRES_E12_-_E30_PV4</v>
      </c>
      <c r="X214" s="4" t="b">
        <f t="shared" si="39"/>
        <v>1</v>
      </c>
      <c r="Y214" s="1">
        <f>VLOOKUP(D214,'Orden de Imagen'!$A$1:D356,4,FALSE())</f>
        <v>184</v>
      </c>
      <c r="Z214" s="1" t="str">
        <f t="shared" si="40"/>
        <v>184_26_02_03_TORRES_E12_-_E30_PV4</v>
      </c>
    </row>
    <row r="215" spans="1:26" ht="15" customHeight="1" x14ac:dyDescent="0.25">
      <c r="A215" s="1">
        <v>217</v>
      </c>
      <c r="B215" s="1" t="s">
        <v>523</v>
      </c>
      <c r="C215" s="1" t="str">
        <f t="shared" si="33"/>
        <v>CL_MLP_PAO_IF_Ortho_26_02_04_DME9_PA12_IIFF8.tif</v>
      </c>
      <c r="D215" s="1" t="str">
        <f t="shared" si="41"/>
        <v>CL_MLP_PAO_IF_Ortho_26_02_04_DME9_PA12_IIFF8</v>
      </c>
      <c r="E215" s="1" t="s">
        <v>182</v>
      </c>
      <c r="F215" s="1" t="s">
        <v>460</v>
      </c>
      <c r="G215" s="1" t="s">
        <v>29</v>
      </c>
      <c r="H215" s="16">
        <v>46057.166666666701</v>
      </c>
      <c r="I215" s="16">
        <v>46080.166666666701</v>
      </c>
      <c r="J215" s="1" t="s">
        <v>30</v>
      </c>
      <c r="K215" s="2" t="str">
        <f t="shared" si="34"/>
        <v>https://sig.aminerals.cl/imgdyn/rest/services/CL_MLP_PAO/CL_MLP_PAO_IF_Ortho_Geosupport/ImageServer/file?id=.\Chacay_El_Mauro_Drone\26_02_04\CL_MLP_PAO_IF_Ortho_26_02_04_DME9_PA12_IIFF8.tif&amp;rasterId=</v>
      </c>
      <c r="L215" s="1" t="s">
        <v>31</v>
      </c>
      <c r="M215" s="1" t="s">
        <v>32</v>
      </c>
      <c r="N215" s="1" t="s">
        <v>33</v>
      </c>
      <c r="O215" s="1" t="s">
        <v>34</v>
      </c>
      <c r="P215" s="3" t="str">
        <f t="shared" si="35"/>
        <v>04</v>
      </c>
      <c r="Q215" s="3" t="str">
        <f t="shared" si="36"/>
        <v>02</v>
      </c>
      <c r="R215" s="3" t="str">
        <f t="shared" si="37"/>
        <v>26</v>
      </c>
      <c r="S215" s="1" t="s">
        <v>40</v>
      </c>
      <c r="T215" s="1">
        <v>1</v>
      </c>
      <c r="U215" s="1" t="s">
        <v>461</v>
      </c>
      <c r="V215" s="1" t="str">
        <f t="shared" si="38"/>
        <v>DME9_PA12_IIFF8</v>
      </c>
      <c r="W215" s="1" t="str">
        <f t="shared" si="31"/>
        <v>DME9_PA12_IIFF8</v>
      </c>
      <c r="X215" s="4" t="b">
        <f t="shared" si="39"/>
        <v>1</v>
      </c>
      <c r="Y215" s="1">
        <f>VLOOKUP(D215,'Orden de Imagen'!$A$1:D359,4,FALSE())</f>
        <v>185</v>
      </c>
      <c r="Z215" s="1" t="str">
        <f t="shared" si="40"/>
        <v>185_26_02_04_DME9_PA12_IIFF8</v>
      </c>
    </row>
    <row r="216" spans="1:26" ht="15" customHeight="1" x14ac:dyDescent="0.25">
      <c r="A216" s="1">
        <v>228</v>
      </c>
      <c r="B216" s="1" t="s">
        <v>524</v>
      </c>
      <c r="C216" s="1" t="str">
        <f t="shared" si="33"/>
        <v>CL_MLP_PAO_IF_Ortho_26_02_04_ED1-IIFF7-DME8.tif</v>
      </c>
      <c r="D216" s="1" t="str">
        <f t="shared" si="41"/>
        <v>CL_MLP_PAO_IF_Ortho_26_02_04_ED1-IIFF7-DME8</v>
      </c>
      <c r="E216" s="1" t="s">
        <v>485</v>
      </c>
      <c r="F216" s="1" t="s">
        <v>460</v>
      </c>
      <c r="G216" s="1" t="s">
        <v>29</v>
      </c>
      <c r="H216" s="16">
        <v>46057</v>
      </c>
      <c r="I216" s="16">
        <v>46092</v>
      </c>
      <c r="J216" s="1" t="s">
        <v>30</v>
      </c>
      <c r="K216" s="2" t="str">
        <f t="shared" si="34"/>
        <v>https://sig.aminerals.cl/imgdyn/rest/services/CL_MLP_PAO/CL_MLP_PAO_IF_Ortho_Geosupport/ImageServer/file?id=.\Chacay_El_Mauro_Drone\26_02_04\CL_MLP_PAO_IF_Ortho_26_02_04_ED1-IIFF7-DME8.tif&amp;rasterId=</v>
      </c>
      <c r="L216" s="1" t="s">
        <v>31</v>
      </c>
      <c r="M216" s="1" t="s">
        <v>32</v>
      </c>
      <c r="N216" s="1" t="s">
        <v>33</v>
      </c>
      <c r="O216" s="1" t="s">
        <v>34</v>
      </c>
      <c r="P216" s="3" t="str">
        <f t="shared" si="35"/>
        <v>04</v>
      </c>
      <c r="Q216" s="3" t="str">
        <f t="shared" si="36"/>
        <v>02</v>
      </c>
      <c r="R216" s="3" t="str">
        <f t="shared" si="37"/>
        <v>26</v>
      </c>
      <c r="S216" s="1" t="s">
        <v>40</v>
      </c>
      <c r="U216" s="1" t="s">
        <v>461</v>
      </c>
      <c r="V216" s="1" t="str">
        <f t="shared" si="38"/>
        <v>ED1-IIFF7-DME8</v>
      </c>
      <c r="W216" s="1" t="str">
        <f t="shared" si="31"/>
        <v>ED1-IIFF7-DME8</v>
      </c>
      <c r="X216" s="4" t="b">
        <f t="shared" si="39"/>
        <v>1</v>
      </c>
      <c r="Y216" s="1">
        <f>VLOOKUP(D216,'Orden de Imagen'!$A$1:D370,4,FALSE())</f>
        <v>186</v>
      </c>
      <c r="Z216" s="1" t="str">
        <f t="shared" si="40"/>
        <v>186_26_02_04_ED1-IIFF7-DME8</v>
      </c>
    </row>
    <row r="217" spans="1:26" ht="15" customHeight="1" x14ac:dyDescent="0.25">
      <c r="A217" s="1">
        <v>218</v>
      </c>
      <c r="B217" s="1" t="s">
        <v>525</v>
      </c>
      <c r="C217" s="1" t="str">
        <f t="shared" si="33"/>
        <v>CL_MLP_PAO_IF_Ortho_26_02_04_IIFF9-PA13.tif</v>
      </c>
      <c r="D217" s="1" t="str">
        <f t="shared" si="41"/>
        <v>CL_MLP_PAO_IF_Ortho_26_02_04_IIFF9-PA13</v>
      </c>
      <c r="E217" s="1" t="s">
        <v>508</v>
      </c>
      <c r="F217" s="1" t="s">
        <v>460</v>
      </c>
      <c r="G217" s="1" t="s">
        <v>29</v>
      </c>
      <c r="H217" s="16">
        <v>46057.166666666701</v>
      </c>
      <c r="I217" s="16">
        <v>46080.166666666701</v>
      </c>
      <c r="J217" s="1" t="s">
        <v>30</v>
      </c>
      <c r="K217" s="2" t="str">
        <f t="shared" si="34"/>
        <v>https://sig.aminerals.cl/imgdyn/rest/services/CL_MLP_PAO/CL_MLP_PAO_IF_Ortho_Geosupport/ImageServer/file?id=.\Chacay_El_Mauro_Drone\26_02_04\CL_MLP_PAO_IF_Ortho_26_02_04_IIFF9-PA13.tif&amp;rasterId=</v>
      </c>
      <c r="L217" s="1" t="s">
        <v>31</v>
      </c>
      <c r="M217" s="1" t="s">
        <v>32</v>
      </c>
      <c r="N217" s="1" t="s">
        <v>33</v>
      </c>
      <c r="O217" s="1" t="s">
        <v>34</v>
      </c>
      <c r="P217" s="3" t="str">
        <f t="shared" si="35"/>
        <v>04</v>
      </c>
      <c r="Q217" s="3" t="str">
        <f t="shared" si="36"/>
        <v>02</v>
      </c>
      <c r="R217" s="3" t="str">
        <f t="shared" si="37"/>
        <v>26</v>
      </c>
      <c r="S217" s="1" t="s">
        <v>40</v>
      </c>
      <c r="T217" s="1">
        <v>1</v>
      </c>
      <c r="U217" s="1" t="s">
        <v>461</v>
      </c>
      <c r="V217" s="1" t="str">
        <f t="shared" si="38"/>
        <v>IIFF9-PA13</v>
      </c>
      <c r="W217" s="1" t="str">
        <f t="shared" si="31"/>
        <v>IIFF9-PA13</v>
      </c>
      <c r="X217" s="4" t="b">
        <f t="shared" si="39"/>
        <v>1</v>
      </c>
      <c r="Y217" s="1">
        <f>VLOOKUP(D217,'Orden de Imagen'!$A$1:D360,4,FALSE())</f>
        <v>187</v>
      </c>
      <c r="Z217" s="1" t="str">
        <f t="shared" si="40"/>
        <v>187_26_02_04_IIFF9-PA13</v>
      </c>
    </row>
    <row r="218" spans="1:26" ht="15" customHeight="1" x14ac:dyDescent="0.25">
      <c r="A218" s="1">
        <v>215</v>
      </c>
      <c r="B218" s="1" t="s">
        <v>526</v>
      </c>
      <c r="C218" s="1" t="str">
        <f t="shared" si="33"/>
        <v>CL_MLP_PAO_IF_Ortho_26_02_04_Linea-33-kV-NorteElMauro-Area3.tif</v>
      </c>
      <c r="D218" s="1" t="str">
        <f t="shared" si="41"/>
        <v>CL_MLP_PAO_IF_Ortho_26_02_04_Linea-33-kV-NorteElMauro-Area3</v>
      </c>
      <c r="E218" s="1" t="s">
        <v>480</v>
      </c>
      <c r="F218" s="1" t="s">
        <v>460</v>
      </c>
      <c r="G218" s="1" t="s">
        <v>29</v>
      </c>
      <c r="H218" s="16">
        <v>46057</v>
      </c>
      <c r="I218" s="16">
        <v>46080.166666666701</v>
      </c>
      <c r="J218" s="1" t="s">
        <v>30</v>
      </c>
      <c r="K218" s="2" t="str">
        <f t="shared" si="34"/>
        <v>https://sig.aminerals.cl/imgdyn/rest/services/CL_MLP_PAO/CL_MLP_PAO_IF_Ortho_Geosupport/ImageServer/file?id=.\El_Mauro_Drone\26_02_04\CL_MLP_PAO_IF_Ortho_26_02_04_Linea-33-kV-NorteElMauro-Area3.tif&amp;rasterId=</v>
      </c>
      <c r="L218" s="1" t="s">
        <v>31</v>
      </c>
      <c r="M218" s="1" t="s">
        <v>32</v>
      </c>
      <c r="N218" s="1" t="s">
        <v>33</v>
      </c>
      <c r="O218" s="1" t="s">
        <v>34</v>
      </c>
      <c r="P218" s="3" t="str">
        <f t="shared" si="35"/>
        <v>04</v>
      </c>
      <c r="Q218" s="3" t="str">
        <f t="shared" si="36"/>
        <v>02</v>
      </c>
      <c r="R218" s="3" t="str">
        <f t="shared" si="37"/>
        <v>26</v>
      </c>
      <c r="S218" s="1" t="s">
        <v>87</v>
      </c>
      <c r="T218" s="1">
        <v>1</v>
      </c>
      <c r="U218" s="1" t="s">
        <v>461</v>
      </c>
      <c r="V218" s="1" t="str">
        <f t="shared" si="38"/>
        <v>Linea-33-kV-NorteElMauro-Area3</v>
      </c>
      <c r="W218" s="1" t="str">
        <f t="shared" si="31"/>
        <v>Linea-33-kV-NorteElMauro-Area3</v>
      </c>
      <c r="X218" s="4" t="b">
        <f t="shared" si="39"/>
        <v>1</v>
      </c>
      <c r="Y218" s="1">
        <f>VLOOKUP(D218,'Orden de Imagen'!$A$1:D357,4,FALSE())</f>
        <v>188</v>
      </c>
      <c r="Z218" s="1" t="str">
        <f t="shared" si="40"/>
        <v>188_26_02_04_Linea-33-kV-NorteElMauro-Area3</v>
      </c>
    </row>
    <row r="219" spans="1:26" ht="15" customHeight="1" x14ac:dyDescent="0.25">
      <c r="A219" s="1">
        <v>219</v>
      </c>
      <c r="B219" s="1" t="s">
        <v>527</v>
      </c>
      <c r="C219" s="1" t="str">
        <f t="shared" si="33"/>
        <v>CL_MLP_PAO_IF_Ortho_26_02_05_33-kV-NSTC-Km-74p7-a-75p5.tif</v>
      </c>
      <c r="D219" s="1" t="str">
        <f t="shared" si="41"/>
        <v>CL_MLP_PAO_IF_Ortho_26_02_05_33-kV-NSTC-Km-74p7-a-75p5</v>
      </c>
      <c r="E219" s="1" t="s">
        <v>528</v>
      </c>
      <c r="F219" s="1" t="s">
        <v>460</v>
      </c>
      <c r="G219" s="1" t="s">
        <v>29</v>
      </c>
      <c r="H219" s="16">
        <v>46058</v>
      </c>
      <c r="I219" s="16">
        <v>46080.166666666701</v>
      </c>
      <c r="J219" s="1" t="s">
        <v>30</v>
      </c>
      <c r="K219" s="2" t="str">
        <f t="shared" si="34"/>
        <v>https://sig.aminerals.cl/imgdyn/rest/services/CL_MLP_PAO/CL_MLP_PAO_IF_Ortho_Geosupport/ImageServer/file?id=.\Chacay_El_Mauro_Drone\26_02_05\CL_MLP_PAO_IF_Ortho_26_02_05_33-kV-NSTC-Km-74p7-a-75p5.tif&amp;rasterId=</v>
      </c>
      <c r="L219" s="1" t="s">
        <v>31</v>
      </c>
      <c r="M219" s="1" t="s">
        <v>32</v>
      </c>
      <c r="N219" s="1" t="s">
        <v>33</v>
      </c>
      <c r="O219" s="1" t="s">
        <v>34</v>
      </c>
      <c r="P219" s="3" t="str">
        <f t="shared" si="35"/>
        <v>05</v>
      </c>
      <c r="Q219" s="3" t="str">
        <f t="shared" si="36"/>
        <v>02</v>
      </c>
      <c r="R219" s="3" t="str">
        <f t="shared" si="37"/>
        <v>26</v>
      </c>
      <c r="S219" s="1" t="s">
        <v>40</v>
      </c>
      <c r="T219" s="1">
        <v>1</v>
      </c>
      <c r="U219" s="1" t="s">
        <v>461</v>
      </c>
      <c r="V219" s="1" t="str">
        <f t="shared" si="38"/>
        <v>33-kV-NSTC-Km-74p7-a-75p5</v>
      </c>
      <c r="W219" s="1" t="str">
        <f t="shared" si="31"/>
        <v>33-kV-NSTC-Km-74p7-a-75p5</v>
      </c>
      <c r="X219" s="4" t="b">
        <f t="shared" si="39"/>
        <v>1</v>
      </c>
      <c r="Y219" s="1">
        <f>VLOOKUP(D219,'Orden de Imagen'!$A$1:D361,4,FALSE())</f>
        <v>189</v>
      </c>
      <c r="Z219" s="1" t="str">
        <f t="shared" si="40"/>
        <v>189_26_02_05_33-kV-NSTC-Km-74p7-a-75p5</v>
      </c>
    </row>
    <row r="220" spans="1:26" ht="15" customHeight="1" x14ac:dyDescent="0.25">
      <c r="A220" s="1">
        <v>220</v>
      </c>
      <c r="B220" s="1" t="s">
        <v>529</v>
      </c>
      <c r="C220" s="1" t="str">
        <f t="shared" si="33"/>
        <v>CL_MLP_PAO_IF_Ortho_26_02_05_ED2.tif</v>
      </c>
      <c r="D220" s="1" t="str">
        <f t="shared" si="41"/>
        <v>CL_MLP_PAO_IF_Ortho_26_02_05_ED2</v>
      </c>
      <c r="E220" s="1" t="s">
        <v>468</v>
      </c>
      <c r="F220" s="1" t="s">
        <v>460</v>
      </c>
      <c r="G220" s="1" t="s">
        <v>29</v>
      </c>
      <c r="H220" s="16">
        <v>46058</v>
      </c>
      <c r="I220" s="16">
        <v>46080.166666666701</v>
      </c>
      <c r="J220" s="1" t="s">
        <v>30</v>
      </c>
      <c r="K220" s="2" t="str">
        <f t="shared" si="34"/>
        <v>https://sig.aminerals.cl/imgdyn/rest/services/CL_MLP_PAO/CL_MLP_PAO_IF_Ortho_Geosupport/ImageServer/file?id=.\Chacay_El_Mauro_Drone\26_02_05\CL_MLP_PAO_IF_Ortho_26_02_05_ED2.tif&amp;rasterId=</v>
      </c>
      <c r="L220" s="1" t="s">
        <v>31</v>
      </c>
      <c r="M220" s="1" t="s">
        <v>32</v>
      </c>
      <c r="N220" s="1" t="s">
        <v>33</v>
      </c>
      <c r="O220" s="1" t="s">
        <v>34</v>
      </c>
      <c r="P220" s="3" t="str">
        <f t="shared" si="35"/>
        <v>05</v>
      </c>
      <c r="Q220" s="3" t="str">
        <f t="shared" si="36"/>
        <v>02</v>
      </c>
      <c r="R220" s="3" t="str">
        <f t="shared" si="37"/>
        <v>26</v>
      </c>
      <c r="S220" s="1" t="s">
        <v>40</v>
      </c>
      <c r="T220" s="1">
        <v>1</v>
      </c>
      <c r="U220" s="1" t="s">
        <v>461</v>
      </c>
      <c r="V220" s="1" t="str">
        <f t="shared" si="38"/>
        <v>ED2</v>
      </c>
      <c r="W220" s="1" t="str">
        <f t="shared" si="31"/>
        <v>ED2</v>
      </c>
      <c r="X220" s="4" t="b">
        <f t="shared" si="39"/>
        <v>1</v>
      </c>
      <c r="Y220" s="1">
        <f>VLOOKUP(D220,'Orden de Imagen'!$A$1:D362,4,FALSE())</f>
        <v>190</v>
      </c>
      <c r="Z220" s="1" t="str">
        <f t="shared" si="40"/>
        <v>190_26_02_05_ED2</v>
      </c>
    </row>
    <row r="221" spans="1:26" ht="15" customHeight="1" x14ac:dyDescent="0.25">
      <c r="A221" s="1">
        <v>222</v>
      </c>
      <c r="B221" s="1" t="s">
        <v>530</v>
      </c>
      <c r="C221" s="1" t="str">
        <f t="shared" si="33"/>
        <v>CL_MLP_PAO_IF_Ortho_26_02_05_EV1.tif</v>
      </c>
      <c r="D221" s="1" t="str">
        <f t="shared" si="41"/>
        <v>CL_MLP_PAO_IF_Ortho_26_02_05_EV1</v>
      </c>
      <c r="E221" s="1" t="s">
        <v>258</v>
      </c>
      <c r="F221" s="1" t="s">
        <v>460</v>
      </c>
      <c r="G221" s="1" t="s">
        <v>29</v>
      </c>
      <c r="H221" s="16">
        <v>46058.166666666701</v>
      </c>
      <c r="I221" s="16">
        <v>46080.166666666701</v>
      </c>
      <c r="J221" s="1" t="s">
        <v>30</v>
      </c>
      <c r="K221" s="2" t="str">
        <f t="shared" si="34"/>
        <v>https://sig.aminerals.cl/imgdyn/rest/services/CL_MLP_PAO/CL_MLP_PAO_IF_Ortho_Geosupport/ImageServer/file?id=.\Chacay_El_Mauro_Drone\26_02_05\CL_MLP_PAO_IF_Ortho_26_02_05_EV1.tif&amp;rasterId=</v>
      </c>
      <c r="L221" s="1" t="s">
        <v>31</v>
      </c>
      <c r="M221" s="1" t="s">
        <v>32</v>
      </c>
      <c r="N221" s="1" t="s">
        <v>33</v>
      </c>
      <c r="O221" s="1" t="s">
        <v>34</v>
      </c>
      <c r="P221" s="3" t="str">
        <f t="shared" si="35"/>
        <v>05</v>
      </c>
      <c r="Q221" s="3" t="str">
        <f t="shared" si="36"/>
        <v>02</v>
      </c>
      <c r="R221" s="3" t="str">
        <f t="shared" si="37"/>
        <v>26</v>
      </c>
      <c r="S221" s="1" t="s">
        <v>40</v>
      </c>
      <c r="T221" s="1">
        <v>1</v>
      </c>
      <c r="U221" s="1" t="s">
        <v>461</v>
      </c>
      <c r="V221" s="1" t="str">
        <f t="shared" si="38"/>
        <v>EV1</v>
      </c>
      <c r="W221" s="1" t="str">
        <f t="shared" si="31"/>
        <v>EV1</v>
      </c>
      <c r="X221" s="4" t="b">
        <f t="shared" si="39"/>
        <v>1</v>
      </c>
      <c r="Y221" s="1">
        <f>VLOOKUP(D221,'Orden de Imagen'!$A$1:D364,4,FALSE())</f>
        <v>191</v>
      </c>
      <c r="Z221" s="1" t="str">
        <f t="shared" si="40"/>
        <v>191_26_02_05_EV1</v>
      </c>
    </row>
    <row r="222" spans="1:26" ht="15" customHeight="1" x14ac:dyDescent="0.25">
      <c r="A222" s="1">
        <v>221</v>
      </c>
      <c r="B222" s="1" t="s">
        <v>531</v>
      </c>
      <c r="C222" s="1" t="str">
        <f t="shared" si="33"/>
        <v>CL_MLP_PAO_IF_Ortho_26_02_05_EV2.tif</v>
      </c>
      <c r="D222" s="1" t="str">
        <f t="shared" si="41"/>
        <v>CL_MLP_PAO_IF_Ortho_26_02_05_EV2</v>
      </c>
      <c r="E222" s="1" t="s">
        <v>74</v>
      </c>
      <c r="F222" s="1" t="s">
        <v>460</v>
      </c>
      <c r="G222" s="1" t="s">
        <v>29</v>
      </c>
      <c r="H222" s="16">
        <v>46058</v>
      </c>
      <c r="I222" s="16">
        <v>46080.166666666701</v>
      </c>
      <c r="J222" s="1" t="s">
        <v>30</v>
      </c>
      <c r="K222" s="2" t="str">
        <f t="shared" si="34"/>
        <v>https://sig.aminerals.cl/imgdyn/rest/services/CL_MLP_PAO/CL_MLP_PAO_IF_Ortho_Geosupport/ImageServer/file?id=.\El_Mauro_Puerto_Punta_Chungo_Drone\26_02_05\CL_MLP_PAO_IF_Ortho_26_02_05_EV2.tif&amp;rasterId=</v>
      </c>
      <c r="L222" s="1" t="s">
        <v>31</v>
      </c>
      <c r="M222" s="1" t="s">
        <v>32</v>
      </c>
      <c r="N222" s="1" t="s">
        <v>33</v>
      </c>
      <c r="O222" s="1" t="s">
        <v>34</v>
      </c>
      <c r="P222" s="3" t="str">
        <f t="shared" si="35"/>
        <v>05</v>
      </c>
      <c r="Q222" s="3" t="str">
        <f t="shared" si="36"/>
        <v>02</v>
      </c>
      <c r="R222" s="3" t="str">
        <f t="shared" si="37"/>
        <v>26</v>
      </c>
      <c r="S222" s="1" t="s">
        <v>50</v>
      </c>
      <c r="T222" s="1">
        <v>1</v>
      </c>
      <c r="U222" s="1" t="s">
        <v>461</v>
      </c>
      <c r="V222" s="1" t="str">
        <f t="shared" si="38"/>
        <v>EV2</v>
      </c>
      <c r="W222" s="1" t="str">
        <f t="shared" si="31"/>
        <v>EV2</v>
      </c>
      <c r="X222" s="4" t="b">
        <f t="shared" si="39"/>
        <v>1</v>
      </c>
      <c r="Y222" s="1">
        <f>VLOOKUP(D222,'Orden de Imagen'!$A$1:D363,4,FALSE())</f>
        <v>192</v>
      </c>
      <c r="Z222" s="1" t="str">
        <f t="shared" si="40"/>
        <v>192_26_02_05_EV2</v>
      </c>
    </row>
    <row r="223" spans="1:26" ht="15" customHeight="1" x14ac:dyDescent="0.25">
      <c r="A223" s="1">
        <v>223</v>
      </c>
      <c r="B223" s="1" t="s">
        <v>532</v>
      </c>
      <c r="C223" s="1" t="str">
        <f t="shared" si="33"/>
        <v>CL_MLP_PAO_IF_Ortho_26_02_06_EM1.tif</v>
      </c>
      <c r="D223" s="1" t="str">
        <f t="shared" si="41"/>
        <v>CL_MLP_PAO_IF_Ortho_26_02_06_EM1</v>
      </c>
      <c r="E223" s="1" t="s">
        <v>375</v>
      </c>
      <c r="F223" s="1" t="s">
        <v>460</v>
      </c>
      <c r="G223" s="1" t="s">
        <v>29</v>
      </c>
      <c r="H223" s="16">
        <v>46059</v>
      </c>
      <c r="I223" s="16">
        <v>46080.166666666701</v>
      </c>
      <c r="J223" s="1" t="s">
        <v>30</v>
      </c>
      <c r="K223" s="2" t="str">
        <f t="shared" si="34"/>
        <v>https://sig.aminerals.cl/imgdyn/rest/services/CL_MLP_PAO/CL_MLP_PAO_IF_Ortho_Geosupport/ImageServer/file?id=.\Chacay_Drone\26_02_06\CL_MLP_PAO_IF_Ortho_26_02_06_EM1.tif&amp;rasterId=</v>
      </c>
      <c r="L223" s="1" t="s">
        <v>31</v>
      </c>
      <c r="M223" s="1" t="s">
        <v>32</v>
      </c>
      <c r="N223" s="1" t="s">
        <v>33</v>
      </c>
      <c r="O223" s="1" t="s">
        <v>34</v>
      </c>
      <c r="P223" s="3" t="str">
        <f t="shared" si="35"/>
        <v>06</v>
      </c>
      <c r="Q223" s="3" t="str">
        <f t="shared" si="36"/>
        <v>02</v>
      </c>
      <c r="R223" s="3" t="str">
        <f t="shared" si="37"/>
        <v>26</v>
      </c>
      <c r="S223" s="1" t="s">
        <v>56</v>
      </c>
      <c r="T223" s="1">
        <v>1</v>
      </c>
      <c r="U223" s="1" t="s">
        <v>461</v>
      </c>
      <c r="V223" s="1" t="str">
        <f t="shared" si="38"/>
        <v>EM1</v>
      </c>
      <c r="W223" s="1" t="str">
        <f t="shared" ref="W223:W250" si="42">E223</f>
        <v>EM1</v>
      </c>
      <c r="X223" s="4" t="b">
        <f t="shared" si="39"/>
        <v>1</v>
      </c>
      <c r="Y223" s="1">
        <f>VLOOKUP(D223,'Orden de Imagen'!$A$1:D365,4,FALSE())</f>
        <v>193</v>
      </c>
      <c r="Z223" s="1" t="str">
        <f t="shared" si="40"/>
        <v>193_26_02_06_EM1</v>
      </c>
    </row>
    <row r="224" spans="1:26" ht="15" customHeight="1" x14ac:dyDescent="0.25">
      <c r="A224" s="1">
        <v>226</v>
      </c>
      <c r="B224" s="1" t="s">
        <v>533</v>
      </c>
      <c r="C224" s="1" t="str">
        <f t="shared" si="33"/>
        <v>CL_MLP_PAO_IF_Ortho_26_02_06_Patio-19B-y-Armado.tif</v>
      </c>
      <c r="D224" s="1" t="str">
        <f t="shared" si="41"/>
        <v>CL_MLP_PAO_IF_Ortho_26_02_06_Patio-19B-y-Armado</v>
      </c>
      <c r="E224" s="1" t="s">
        <v>472</v>
      </c>
      <c r="F224" s="1" t="s">
        <v>460</v>
      </c>
      <c r="G224" s="1" t="s">
        <v>29</v>
      </c>
      <c r="H224" s="16">
        <v>46059.166666666701</v>
      </c>
      <c r="I224" s="16">
        <v>46080.166666666701</v>
      </c>
      <c r="J224" s="1" t="s">
        <v>30</v>
      </c>
      <c r="K224" s="2" t="str">
        <f t="shared" si="34"/>
        <v>https://sig.aminerals.cl/imgdyn/rest/services/CL_MLP_PAO/CL_MLP_PAO_IF_Ortho_Geosupport/ImageServer/file?id=.\El_Mauro_Drone\26_02_06\CL_MLP_PAO_IF_Ortho_26_02_06_Patio-19B-y-Armado.tif&amp;rasterId=</v>
      </c>
      <c r="L224" s="1" t="s">
        <v>31</v>
      </c>
      <c r="M224" s="1" t="s">
        <v>32</v>
      </c>
      <c r="N224" s="1" t="s">
        <v>33</v>
      </c>
      <c r="O224" s="1" t="s">
        <v>34</v>
      </c>
      <c r="P224" s="3" t="str">
        <f t="shared" si="35"/>
        <v>06</v>
      </c>
      <c r="Q224" s="3" t="str">
        <f t="shared" si="36"/>
        <v>02</v>
      </c>
      <c r="R224" s="3" t="str">
        <f t="shared" si="37"/>
        <v>26</v>
      </c>
      <c r="S224" s="1" t="s">
        <v>87</v>
      </c>
      <c r="T224" s="1">
        <v>1</v>
      </c>
      <c r="U224" s="1" t="s">
        <v>461</v>
      </c>
      <c r="V224" s="1" t="str">
        <f t="shared" si="38"/>
        <v>Patio-19B-y-Armado</v>
      </c>
      <c r="W224" s="1" t="str">
        <f t="shared" si="42"/>
        <v>Patio-19B-y-Armado</v>
      </c>
      <c r="X224" s="4" t="b">
        <f t="shared" si="39"/>
        <v>1</v>
      </c>
      <c r="Y224" s="1">
        <f>VLOOKUP(D224,'Orden de Imagen'!$A$1:D368,4,FALSE())</f>
        <v>194</v>
      </c>
      <c r="Z224" s="1" t="str">
        <f t="shared" si="40"/>
        <v>194_26_02_06_Patio-19B-y-Armado</v>
      </c>
    </row>
    <row r="225" spans="1:26" ht="15" customHeight="1" x14ac:dyDescent="0.25">
      <c r="A225" s="1">
        <v>224</v>
      </c>
      <c r="B225" s="1" t="s">
        <v>534</v>
      </c>
      <c r="C225" s="1" t="str">
        <f t="shared" si="33"/>
        <v>CL_MLP_PAO_IF_Ortho_26_02_06_Subestacion-El-Mauro.tif</v>
      </c>
      <c r="D225" s="1" t="str">
        <f t="shared" si="41"/>
        <v>CL_MLP_PAO_IF_Ortho_26_02_06_Subestacion-El-Mauro</v>
      </c>
      <c r="E225" s="1" t="s">
        <v>90</v>
      </c>
      <c r="F225" s="1" t="s">
        <v>460</v>
      </c>
      <c r="G225" s="1" t="s">
        <v>29</v>
      </c>
      <c r="H225" s="16">
        <v>46059</v>
      </c>
      <c r="I225" s="16">
        <v>46080.166666666701</v>
      </c>
      <c r="J225" s="1" t="s">
        <v>30</v>
      </c>
      <c r="K225" s="2" t="str">
        <f t="shared" si="34"/>
        <v>https://sig.aminerals.cl/imgdyn/rest/services/CL_MLP_PAO/CL_MLP_PAO_IF_Ortho_Geosupport/ImageServer/file?id=.\El_Mauro_Drone\26_02_06\CL_MLP_PAO_IF_Ortho_26_02_06_Subestacion-El-Mauro.tif&amp;rasterId=</v>
      </c>
      <c r="L225" s="1" t="s">
        <v>31</v>
      </c>
      <c r="M225" s="1" t="s">
        <v>32</v>
      </c>
      <c r="N225" s="1" t="s">
        <v>33</v>
      </c>
      <c r="O225" s="1" t="s">
        <v>34</v>
      </c>
      <c r="P225" s="3" t="str">
        <f t="shared" si="35"/>
        <v>06</v>
      </c>
      <c r="Q225" s="3" t="str">
        <f t="shared" si="36"/>
        <v>02</v>
      </c>
      <c r="R225" s="3" t="str">
        <f t="shared" si="37"/>
        <v>26</v>
      </c>
      <c r="S225" s="1" t="s">
        <v>87</v>
      </c>
      <c r="T225" s="1">
        <v>1</v>
      </c>
      <c r="U225" s="1" t="s">
        <v>461</v>
      </c>
      <c r="V225" s="1" t="str">
        <f t="shared" si="38"/>
        <v>Subestacion-El-Mauro</v>
      </c>
      <c r="W225" s="1" t="str">
        <f t="shared" si="42"/>
        <v>Subestacion-El-Mauro</v>
      </c>
      <c r="X225" s="4" t="b">
        <f t="shared" si="39"/>
        <v>1</v>
      </c>
      <c r="Y225" s="1">
        <f>VLOOKUP(D225,'Orden de Imagen'!$A$1:D366,4,FALSE())</f>
        <v>195</v>
      </c>
      <c r="Z225" s="1" t="str">
        <f t="shared" si="40"/>
        <v>195_26_02_06_Subestacion-El-Mauro</v>
      </c>
    </row>
    <row r="226" spans="1:26" ht="15" customHeight="1" x14ac:dyDescent="0.25">
      <c r="A226" s="1">
        <v>225</v>
      </c>
      <c r="B226" s="1" t="s">
        <v>535</v>
      </c>
      <c r="C226" s="1" t="str">
        <f t="shared" si="33"/>
        <v>CL_MLP_PAO_IF_Ortho_26_02_06_TORRE_E48_A_E84_PV4.tif</v>
      </c>
      <c r="D226" s="1" t="str">
        <f t="shared" si="41"/>
        <v>CL_MLP_PAO_IF_Ortho_26_02_06_TORRE_E48_A_E84_PV4</v>
      </c>
      <c r="E226" s="1" t="s">
        <v>474</v>
      </c>
      <c r="F226" s="1" t="s">
        <v>460</v>
      </c>
      <c r="G226" s="1" t="s">
        <v>29</v>
      </c>
      <c r="H226" s="16">
        <v>46059</v>
      </c>
      <c r="I226" s="16">
        <v>46080.166666666701</v>
      </c>
      <c r="J226" s="1" t="s">
        <v>30</v>
      </c>
      <c r="K226" s="2" t="str">
        <f t="shared" si="34"/>
        <v>https://sig.aminerals.cl/imgdyn/rest/services/CL_MLP_PAO/CL_MLP_PAO_IF_Ortho_Geosupport/ImageServer/file?id=.\El_Mauro_Puerto_Punta_Chungo_Drone\26_02_06\CL_MLP_PAO_IF_Ortho_26_02_06_TORRE_E48_A_E84_PV4.tif&amp;rasterId=</v>
      </c>
      <c r="L226" s="1" t="s">
        <v>31</v>
      </c>
      <c r="M226" s="1" t="s">
        <v>32</v>
      </c>
      <c r="N226" s="1" t="s">
        <v>33</v>
      </c>
      <c r="O226" s="1" t="s">
        <v>34</v>
      </c>
      <c r="P226" s="3" t="str">
        <f t="shared" si="35"/>
        <v>06</v>
      </c>
      <c r="Q226" s="3" t="str">
        <f t="shared" si="36"/>
        <v>02</v>
      </c>
      <c r="R226" s="3" t="str">
        <f t="shared" si="37"/>
        <v>26</v>
      </c>
      <c r="S226" s="1" t="s">
        <v>50</v>
      </c>
      <c r="T226" s="1">
        <v>1</v>
      </c>
      <c r="U226" s="1" t="s">
        <v>461</v>
      </c>
      <c r="V226" s="1" t="str">
        <f t="shared" si="38"/>
        <v>TORRE_E48_A_E84_PV4</v>
      </c>
      <c r="W226" s="1" t="str">
        <f t="shared" si="42"/>
        <v>TORRE_E48_A_E84_PV4</v>
      </c>
      <c r="X226" s="4" t="b">
        <f t="shared" si="39"/>
        <v>1</v>
      </c>
      <c r="Y226" s="1">
        <f>VLOOKUP(D226,'Orden de Imagen'!$A$1:D367,4,FALSE())</f>
        <v>196</v>
      </c>
      <c r="Z226" s="1" t="str">
        <f t="shared" si="40"/>
        <v>196_26_02_06_TORRE_E48_A_E84_PV4</v>
      </c>
    </row>
    <row r="227" spans="1:26" ht="15" customHeight="1" x14ac:dyDescent="0.25">
      <c r="A227" s="1">
        <v>244</v>
      </c>
      <c r="B227" s="1" t="s">
        <v>536</v>
      </c>
      <c r="C227" s="1" t="str">
        <f t="shared" si="33"/>
        <v>CL_MLP_PAO_IF_Ortho_26_02_07_MonteAranda-NSTC-Km-84p2-a-82p3.tif</v>
      </c>
      <c r="D227" s="1" t="str">
        <f t="shared" si="41"/>
        <v>CL_MLP_PAO_IF_Ortho_26_02_07_MonteAranda-NSTC-Km-84p2-a-82p3</v>
      </c>
      <c r="E227" s="1" t="s">
        <v>488</v>
      </c>
      <c r="F227" s="1" t="s">
        <v>460</v>
      </c>
      <c r="G227" s="1" t="s">
        <v>29</v>
      </c>
      <c r="H227" s="16">
        <v>46060</v>
      </c>
      <c r="I227" s="16">
        <v>46092</v>
      </c>
      <c r="J227" s="1" t="s">
        <v>30</v>
      </c>
      <c r="K227" s="2" t="str">
        <f t="shared" si="34"/>
        <v>https://sig.aminerals.cl/imgdyn/rest/services/CL_MLP_PAO/CL_MLP_PAO_IF_Ortho_Geosupport/ImageServer/file?id=.\El_Mauro_Puerto_Punta_Chungo_Drone\26_02_07\CL_MLP_PAO_IF_Ortho_26_02_07_MonteAranda-NSTC-Km-84p2-a-82p3.tif&amp;rasterId=</v>
      </c>
      <c r="L227" s="1" t="s">
        <v>31</v>
      </c>
      <c r="M227" s="1" t="s">
        <v>32</v>
      </c>
      <c r="N227" s="1" t="s">
        <v>33</v>
      </c>
      <c r="O227" s="1" t="s">
        <v>34</v>
      </c>
      <c r="P227" s="3" t="str">
        <f t="shared" si="35"/>
        <v>07</v>
      </c>
      <c r="Q227" s="3" t="str">
        <f t="shared" si="36"/>
        <v>02</v>
      </c>
      <c r="R227" s="3" t="str">
        <f t="shared" si="37"/>
        <v>26</v>
      </c>
      <c r="S227" s="1" t="s">
        <v>50</v>
      </c>
      <c r="U227" s="1" t="s">
        <v>461</v>
      </c>
      <c r="V227" s="1" t="str">
        <f t="shared" si="38"/>
        <v>MonteAranda-NSTC-Km-84p2-a-82p3</v>
      </c>
      <c r="W227" s="1" t="str">
        <f t="shared" si="42"/>
        <v>MonteAranda-NSTC-Km-84p2-a-82p3</v>
      </c>
      <c r="X227" s="4" t="b">
        <f t="shared" si="39"/>
        <v>1</v>
      </c>
      <c r="Y227" s="1">
        <f>VLOOKUP(D227,'Orden de Imagen'!$A$1:D386,4,FALSE())</f>
        <v>197</v>
      </c>
      <c r="Z227" s="1" t="str">
        <f t="shared" si="40"/>
        <v>197_26_02_07_MonteAranda-NSTC-Km-84p2-a-82p3</v>
      </c>
    </row>
    <row r="228" spans="1:26" ht="15" customHeight="1" x14ac:dyDescent="0.25">
      <c r="A228" s="1">
        <v>227</v>
      </c>
      <c r="B228" s="1" t="s">
        <v>537</v>
      </c>
      <c r="C228" s="1" t="str">
        <f t="shared" si="33"/>
        <v>CL_MLP_PAO_IF_Ortho_26_02_07_Plataforma_Integrada_El_Mauro.tif</v>
      </c>
      <c r="D228" s="1" t="str">
        <f t="shared" si="41"/>
        <v>CL_MLP_PAO_IF_Ortho_26_02_07_Plataforma_Integrada_El_Mauro</v>
      </c>
      <c r="E228" s="1" t="s">
        <v>459</v>
      </c>
      <c r="F228" s="1" t="s">
        <v>460</v>
      </c>
      <c r="G228" s="1" t="s">
        <v>29</v>
      </c>
      <c r="H228" s="16">
        <v>46060</v>
      </c>
      <c r="I228" s="16">
        <v>46091</v>
      </c>
      <c r="J228" s="1" t="s">
        <v>30</v>
      </c>
      <c r="K228" s="2" t="str">
        <f t="shared" si="34"/>
        <v>https://sig.aminerals.cl/imgdyn/rest/services/CL_MLP_PAO/CL_MLP_PAO_IF_Ortho_Geosupport/ImageServer/file?id=.\El_Mauro_Drone\26_02_07\CL_MLP_PAO_IF_Ortho_26_02_07_Plataforma_Integrada_El_Mauro.tif&amp;rasterId=</v>
      </c>
      <c r="L228" s="1" t="s">
        <v>31</v>
      </c>
      <c r="M228" s="1" t="s">
        <v>32</v>
      </c>
      <c r="N228" s="1" t="s">
        <v>33</v>
      </c>
      <c r="O228" s="1" t="s">
        <v>34</v>
      </c>
      <c r="P228" s="3" t="str">
        <f t="shared" si="35"/>
        <v>07</v>
      </c>
      <c r="Q228" s="3" t="str">
        <f t="shared" si="36"/>
        <v>02</v>
      </c>
      <c r="R228" s="3" t="str">
        <f t="shared" si="37"/>
        <v>26</v>
      </c>
      <c r="S228" s="1" t="s">
        <v>87</v>
      </c>
      <c r="T228" s="1">
        <v>1</v>
      </c>
      <c r="U228" s="1" t="s">
        <v>461</v>
      </c>
      <c r="V228" s="1" t="str">
        <f t="shared" si="38"/>
        <v>Plataforma_Integrada_El_Mauro</v>
      </c>
      <c r="W228" s="1" t="str">
        <f t="shared" si="42"/>
        <v>Plataforma_Integrada_El_Mauro</v>
      </c>
      <c r="X228" s="4" t="b">
        <f t="shared" si="39"/>
        <v>1</v>
      </c>
      <c r="Y228" s="1">
        <f>VLOOKUP(D228,'Orden de Imagen'!$A$1:D369,4,FALSE())</f>
        <v>198</v>
      </c>
      <c r="Z228" s="1" t="str">
        <f t="shared" si="40"/>
        <v>198_26_02_07_Plataforma_Integrada_El_Mauro</v>
      </c>
    </row>
    <row r="229" spans="1:26" ht="15" customHeight="1" x14ac:dyDescent="0.25">
      <c r="A229" s="1">
        <v>251</v>
      </c>
      <c r="B229" s="1" t="s">
        <v>538</v>
      </c>
      <c r="C229" s="1" t="str">
        <f t="shared" si="33"/>
        <v>CL_MLP_PAO_IF_Ortho_26_02_07_TORRE_E85_A_E_125.tif</v>
      </c>
      <c r="D229" s="1" t="str">
        <f t="shared" si="41"/>
        <v>CL_MLP_PAO_IF_Ortho_26_02_07_TORRE_E85_A_E_125</v>
      </c>
      <c r="E229" s="1" t="s">
        <v>483</v>
      </c>
      <c r="F229" s="1" t="s">
        <v>460</v>
      </c>
      <c r="G229" s="1" t="s">
        <v>29</v>
      </c>
      <c r="H229" s="16">
        <v>46060</v>
      </c>
      <c r="I229" s="16">
        <v>46092</v>
      </c>
      <c r="J229" s="1" t="s">
        <v>30</v>
      </c>
      <c r="K229" s="2" t="str">
        <f t="shared" si="34"/>
        <v>https://sig.aminerals.cl/imgdyn/rest/services/CL_MLP_PAO/CL_MLP_PAO_IF_Ortho_Geosupport/ImageServer/file?id=.\El_Mauro_Puerto_Punta_Chungo_Drone\26_02_07\CL_MLP_PAO_IF_Ortho_26_02_07_TORRE_E85_A_E_125.tif&amp;rasterId=</v>
      </c>
      <c r="L229" s="1" t="s">
        <v>31</v>
      </c>
      <c r="M229" s="1" t="s">
        <v>32</v>
      </c>
      <c r="N229" s="1" t="s">
        <v>33</v>
      </c>
      <c r="O229" s="1" t="s">
        <v>34</v>
      </c>
      <c r="P229" s="3" t="str">
        <f t="shared" si="35"/>
        <v>07</v>
      </c>
      <c r="Q229" s="3" t="str">
        <f t="shared" si="36"/>
        <v>02</v>
      </c>
      <c r="R229" s="3" t="str">
        <f t="shared" si="37"/>
        <v>26</v>
      </c>
      <c r="S229" s="1" t="s">
        <v>50</v>
      </c>
      <c r="U229" s="1" t="s">
        <v>461</v>
      </c>
      <c r="V229" s="1" t="str">
        <f t="shared" si="38"/>
        <v>TORRE_E85_A_E_125</v>
      </c>
      <c r="W229" s="1" t="str">
        <f t="shared" si="42"/>
        <v>TORRE_E85_A_E_125</v>
      </c>
      <c r="X229" s="4" t="b">
        <f t="shared" si="39"/>
        <v>1</v>
      </c>
      <c r="Y229" s="1">
        <f>VLOOKUP(D229,'Orden de Imagen'!$A$1:D393,4,FALSE())</f>
        <v>199</v>
      </c>
      <c r="Z229" s="1" t="str">
        <f t="shared" si="40"/>
        <v>199_26_02_07_TORRE_E85_A_E_125</v>
      </c>
    </row>
    <row r="230" spans="1:26" ht="15" customHeight="1" x14ac:dyDescent="0.25">
      <c r="A230" s="1">
        <v>234</v>
      </c>
      <c r="B230" s="1" t="s">
        <v>539</v>
      </c>
      <c r="C230" s="1" t="str">
        <f t="shared" si="33"/>
        <v>CL_MLP_PAO_IF_Ortho_26_02_09_EM4.tif</v>
      </c>
      <c r="D230" s="1" t="str">
        <f t="shared" si="41"/>
        <v>CL_MLP_PAO_IF_Ortho_26_02_09_EM4</v>
      </c>
      <c r="E230" s="1" t="s">
        <v>540</v>
      </c>
      <c r="F230" s="1" t="s">
        <v>460</v>
      </c>
      <c r="G230" s="1" t="s">
        <v>29</v>
      </c>
      <c r="H230" s="16">
        <v>46062</v>
      </c>
      <c r="I230" s="16">
        <v>46092</v>
      </c>
      <c r="J230" s="1" t="s">
        <v>30</v>
      </c>
      <c r="K230" s="2" t="str">
        <f t="shared" si="34"/>
        <v>https://sig.aminerals.cl/imgdyn/rest/services/CL_MLP_PAO/CL_MLP_PAO_IF_Ortho_Geosupport/ImageServer/file?id=.\El_Mauro_Drone\26_02_09\CL_MLP_PAO_IF_Ortho_26_02_09_EM4.tif&amp;rasterId=</v>
      </c>
      <c r="L230" s="1" t="s">
        <v>31</v>
      </c>
      <c r="M230" s="1" t="s">
        <v>32</v>
      </c>
      <c r="N230" s="1" t="s">
        <v>33</v>
      </c>
      <c r="O230" s="1" t="s">
        <v>34</v>
      </c>
      <c r="P230" s="3" t="str">
        <f t="shared" si="35"/>
        <v>09</v>
      </c>
      <c r="Q230" s="3" t="str">
        <f t="shared" si="36"/>
        <v>02</v>
      </c>
      <c r="R230" s="3" t="str">
        <f t="shared" si="37"/>
        <v>26</v>
      </c>
      <c r="S230" s="1" t="s">
        <v>87</v>
      </c>
      <c r="U230" s="1" t="s">
        <v>461</v>
      </c>
      <c r="V230" s="1" t="str">
        <f t="shared" si="38"/>
        <v>EM4</v>
      </c>
      <c r="W230" s="1" t="str">
        <f t="shared" si="42"/>
        <v>EM4</v>
      </c>
      <c r="X230" s="4" t="b">
        <f t="shared" si="39"/>
        <v>1</v>
      </c>
      <c r="Y230" s="1">
        <f>VLOOKUP(D230,'Orden de Imagen'!$A$1:D376,4,FALSE())</f>
        <v>200</v>
      </c>
      <c r="Z230" s="1" t="str">
        <f t="shared" si="40"/>
        <v>200_26_02_09_EM4</v>
      </c>
    </row>
    <row r="231" spans="1:26" ht="15" customHeight="1" x14ac:dyDescent="0.25">
      <c r="A231" s="1">
        <v>235</v>
      </c>
      <c r="B231" s="1" t="s">
        <v>541</v>
      </c>
      <c r="C231" s="1" t="str">
        <f t="shared" si="33"/>
        <v>CL_MLP_PAO_IF_Ortho_26_02_09_EM4_PR2.tif</v>
      </c>
      <c r="D231" s="1" t="str">
        <f t="shared" si="41"/>
        <v>CL_MLP_PAO_IF_Ortho_26_02_09_EM4_PR2</v>
      </c>
      <c r="E231" s="1" t="s">
        <v>542</v>
      </c>
      <c r="F231" s="1" t="s">
        <v>460</v>
      </c>
      <c r="G231" s="1" t="s">
        <v>29</v>
      </c>
      <c r="H231" s="16">
        <v>46062</v>
      </c>
      <c r="I231" s="16">
        <v>46092</v>
      </c>
      <c r="J231" s="1" t="s">
        <v>30</v>
      </c>
      <c r="K231" s="2" t="str">
        <f t="shared" si="34"/>
        <v>https://sig.aminerals.cl/imgdyn/rest/services/CL_MLP_PAO/CL_MLP_PAO_IF_Ortho_Geosupport/ImageServer/file?id=.\El_Mauro_Drone\26_02_09\CL_MLP_PAO_IF_Ortho_26_02_09_EM4_PR2.tif&amp;rasterId=</v>
      </c>
      <c r="L231" s="1" t="s">
        <v>31</v>
      </c>
      <c r="M231" s="1" t="s">
        <v>32</v>
      </c>
      <c r="N231" s="1" t="s">
        <v>33</v>
      </c>
      <c r="O231" s="1" t="s">
        <v>34</v>
      </c>
      <c r="P231" s="3" t="str">
        <f t="shared" si="35"/>
        <v>09</v>
      </c>
      <c r="Q231" s="3" t="str">
        <f t="shared" si="36"/>
        <v>02</v>
      </c>
      <c r="R231" s="3" t="str">
        <f t="shared" si="37"/>
        <v>26</v>
      </c>
      <c r="S231" s="1" t="s">
        <v>87</v>
      </c>
      <c r="U231" s="1" t="s">
        <v>461</v>
      </c>
      <c r="V231" s="1" t="str">
        <f t="shared" si="38"/>
        <v>EM4_PR2</v>
      </c>
      <c r="W231" s="1" t="str">
        <f t="shared" si="42"/>
        <v>EM4_PR2</v>
      </c>
      <c r="X231" s="4" t="b">
        <f t="shared" si="39"/>
        <v>1</v>
      </c>
      <c r="Y231" s="1">
        <f>VLOOKUP(D231,'Orden de Imagen'!$A$1:D377,4,FALSE())</f>
        <v>201</v>
      </c>
      <c r="Z231" s="1" t="str">
        <f t="shared" si="40"/>
        <v>201_26_02_09_EM4_PR2</v>
      </c>
    </row>
    <row r="232" spans="1:26" ht="15" customHeight="1" x14ac:dyDescent="0.25">
      <c r="A232" s="1">
        <v>229</v>
      </c>
      <c r="B232" s="1" t="s">
        <v>543</v>
      </c>
      <c r="C232" s="1" t="str">
        <f t="shared" si="33"/>
        <v>CL_MLP_PAO_IF_Ortho_26_02_10_ED1-IIFF7-DME8.tif</v>
      </c>
      <c r="D232" s="1" t="str">
        <f t="shared" si="41"/>
        <v>CL_MLP_PAO_IF_Ortho_26_02_10_ED1-IIFF7-DME8</v>
      </c>
      <c r="E232" s="1" t="s">
        <v>485</v>
      </c>
      <c r="F232" s="1" t="s">
        <v>460</v>
      </c>
      <c r="G232" s="1" t="s">
        <v>29</v>
      </c>
      <c r="H232" s="16">
        <v>46063</v>
      </c>
      <c r="I232" s="16">
        <v>46092</v>
      </c>
      <c r="J232" s="1" t="s">
        <v>30</v>
      </c>
      <c r="K232" s="2" t="str">
        <f t="shared" si="34"/>
        <v>https://sig.aminerals.cl/imgdyn/rest/services/CL_MLP_PAO/CL_MLP_PAO_IF_Ortho_Geosupport/ImageServer/file?id=.\Chacay_El_Mauro_Drone\26_02_10\CL_MLP_PAO_IF_Ortho_26_02_10_ED1-IIFF7-DME8.tif&amp;rasterId=</v>
      </c>
      <c r="L232" s="1" t="s">
        <v>31</v>
      </c>
      <c r="M232" s="1" t="s">
        <v>32</v>
      </c>
      <c r="N232" s="1" t="s">
        <v>33</v>
      </c>
      <c r="O232" s="1" t="s">
        <v>34</v>
      </c>
      <c r="P232" s="3" t="str">
        <f t="shared" si="35"/>
        <v>10</v>
      </c>
      <c r="Q232" s="3" t="str">
        <f t="shared" si="36"/>
        <v>02</v>
      </c>
      <c r="R232" s="3" t="str">
        <f t="shared" si="37"/>
        <v>26</v>
      </c>
      <c r="S232" s="1" t="s">
        <v>40</v>
      </c>
      <c r="U232" s="1" t="s">
        <v>461</v>
      </c>
      <c r="V232" s="1" t="str">
        <f t="shared" si="38"/>
        <v>ED1-IIFF7-DME8</v>
      </c>
      <c r="W232" s="1" t="str">
        <f t="shared" si="42"/>
        <v>ED1-IIFF7-DME8</v>
      </c>
      <c r="X232" s="4" t="b">
        <f t="shared" si="39"/>
        <v>1</v>
      </c>
      <c r="Y232" s="1">
        <f>VLOOKUP(D232,'Orden de Imagen'!$A$1:D371,4,FALSE())</f>
        <v>202</v>
      </c>
      <c r="Z232" s="1" t="str">
        <f t="shared" si="40"/>
        <v>202_26_02_10_ED1-IIFF7-DME8</v>
      </c>
    </row>
    <row r="233" spans="1:26" ht="15" customHeight="1" x14ac:dyDescent="0.25">
      <c r="A233" s="1">
        <v>245</v>
      </c>
      <c r="B233" s="1" t="s">
        <v>544</v>
      </c>
      <c r="C233" s="1" t="str">
        <f t="shared" si="33"/>
        <v>CL_MLP_PAO_IF_Ortho_26_02_11_EB2.tif</v>
      </c>
      <c r="D233" s="1" t="str">
        <f t="shared" si="41"/>
        <v>CL_MLP_PAO_IF_Ortho_26_02_11_EB2</v>
      </c>
      <c r="E233" s="1" t="s">
        <v>71</v>
      </c>
      <c r="F233" s="1" t="s">
        <v>460</v>
      </c>
      <c r="G233" s="1" t="s">
        <v>29</v>
      </c>
      <c r="H233" s="16">
        <v>46064</v>
      </c>
      <c r="I233" s="16">
        <v>46092</v>
      </c>
      <c r="J233" s="1" t="s">
        <v>30</v>
      </c>
      <c r="K233" s="2" t="str">
        <f t="shared" si="34"/>
        <v>https://sig.aminerals.cl/imgdyn/rest/services/CL_MLP_PAO/CL_MLP_PAO_IF_Ortho_Geosupport/ImageServer/file?id=.\El_Mauro_Puerto_Punta_Chungo_Drone\26_02_11\CL_MLP_PAO_IF_Ortho_26_02_11_EB2.tif&amp;rasterId=</v>
      </c>
      <c r="L233" s="1" t="s">
        <v>31</v>
      </c>
      <c r="M233" s="1" t="s">
        <v>32</v>
      </c>
      <c r="N233" s="1" t="s">
        <v>33</v>
      </c>
      <c r="O233" s="1" t="s">
        <v>34</v>
      </c>
      <c r="P233" s="3" t="str">
        <f t="shared" si="35"/>
        <v>11</v>
      </c>
      <c r="Q233" s="3" t="str">
        <f t="shared" si="36"/>
        <v>02</v>
      </c>
      <c r="R233" s="3" t="str">
        <f t="shared" si="37"/>
        <v>26</v>
      </c>
      <c r="S233" s="1" t="s">
        <v>50</v>
      </c>
      <c r="U233" s="1" t="s">
        <v>461</v>
      </c>
      <c r="V233" s="1" t="str">
        <f t="shared" si="38"/>
        <v>EB2</v>
      </c>
      <c r="W233" s="1" t="str">
        <f t="shared" si="42"/>
        <v>EB2</v>
      </c>
      <c r="X233" s="4" t="b">
        <f t="shared" si="39"/>
        <v>1</v>
      </c>
      <c r="Y233" s="1">
        <f>VLOOKUP(D233,'Orden de Imagen'!$A$1:D387,4,FALSE())</f>
        <v>203</v>
      </c>
      <c r="Z233" s="1" t="str">
        <f t="shared" si="40"/>
        <v>203_26_02_11_EB2</v>
      </c>
    </row>
    <row r="234" spans="1:26" ht="15" customHeight="1" x14ac:dyDescent="0.25">
      <c r="A234" s="1">
        <v>216</v>
      </c>
      <c r="B234" s="1" t="s">
        <v>545</v>
      </c>
      <c r="C234" s="1" t="str">
        <f t="shared" si="33"/>
        <v>CL_MLP_PAO_IF_Ortho_26_02_11_EM1_1.tif</v>
      </c>
      <c r="D234" s="1" t="str">
        <f t="shared" si="41"/>
        <v>CL_MLP_PAO_IF_Ortho_26_02_11_EM1_1</v>
      </c>
      <c r="E234" s="1" t="s">
        <v>546</v>
      </c>
      <c r="F234" s="1" t="s">
        <v>460</v>
      </c>
      <c r="G234" s="1" t="s">
        <v>29</v>
      </c>
      <c r="H234" s="16">
        <v>46064</v>
      </c>
      <c r="I234" s="16">
        <v>46092</v>
      </c>
      <c r="J234" s="1" t="s">
        <v>30</v>
      </c>
      <c r="K234" s="2" t="str">
        <f t="shared" si="34"/>
        <v>https://sig.aminerals.cl/imgdyn/rest/services/CL_MLP_PAO/CL_MLP_PAO_IF_Ortho_Geosupport/ImageServer/file?id=.\Chacay_Drone\26_02_11\CL_MLP_PAO_IF_Ortho_26_02_11_EM1_1.tif&amp;rasterId=</v>
      </c>
      <c r="L234" s="1" t="s">
        <v>31</v>
      </c>
      <c r="M234" s="1" t="s">
        <v>32</v>
      </c>
      <c r="N234" s="1" t="s">
        <v>33</v>
      </c>
      <c r="O234" s="1" t="s">
        <v>34</v>
      </c>
      <c r="P234" s="3" t="str">
        <f t="shared" si="35"/>
        <v>11</v>
      </c>
      <c r="Q234" s="3" t="str">
        <f t="shared" si="36"/>
        <v>02</v>
      </c>
      <c r="R234" s="3" t="str">
        <f t="shared" si="37"/>
        <v>26</v>
      </c>
      <c r="S234" s="1" t="s">
        <v>56</v>
      </c>
      <c r="U234" s="1" t="s">
        <v>461</v>
      </c>
      <c r="V234" s="1" t="str">
        <f t="shared" si="38"/>
        <v>EM1_1</v>
      </c>
      <c r="W234" s="1" t="str">
        <f t="shared" si="42"/>
        <v>EM1_1</v>
      </c>
      <c r="X234" s="4" t="b">
        <f t="shared" si="39"/>
        <v>1</v>
      </c>
      <c r="Y234" s="1">
        <f>VLOOKUP(D234,'Orden de Imagen'!$A$1:D358,4,FALSE())</f>
        <v>204</v>
      </c>
      <c r="Z234" s="1" t="str">
        <f t="shared" si="40"/>
        <v>204_26_02_11_EM1_1</v>
      </c>
    </row>
    <row r="235" spans="1:26" ht="15" customHeight="1" x14ac:dyDescent="0.25">
      <c r="A235" s="1">
        <v>230</v>
      </c>
      <c r="B235" s="1" t="s">
        <v>547</v>
      </c>
      <c r="C235" s="1" t="str">
        <f t="shared" si="33"/>
        <v>CL_MLP_PAO_IF_Ortho_26_02_11_EV1_1.tif</v>
      </c>
      <c r="D235" s="1" t="str">
        <f t="shared" si="41"/>
        <v>CL_MLP_PAO_IF_Ortho_26_02_11_EV1_1</v>
      </c>
      <c r="E235" s="1" t="s">
        <v>548</v>
      </c>
      <c r="F235" s="1" t="s">
        <v>460</v>
      </c>
      <c r="G235" s="1" t="s">
        <v>29</v>
      </c>
      <c r="H235" s="16">
        <v>46064</v>
      </c>
      <c r="I235" s="16">
        <v>46092</v>
      </c>
      <c r="J235" s="1" t="s">
        <v>30</v>
      </c>
      <c r="K235" s="2" t="str">
        <f t="shared" si="34"/>
        <v>https://sig.aminerals.cl/imgdyn/rest/services/CL_MLP_PAO/CL_MLP_PAO_IF_Ortho_Geosupport/ImageServer/file?id=.\Chacay_El_Mauro_Drone\26_02_11\CL_MLP_PAO_IF_Ortho_26_02_11_EV1_1.tif&amp;rasterId=</v>
      </c>
      <c r="L235" s="1" t="s">
        <v>31</v>
      </c>
      <c r="M235" s="1" t="s">
        <v>32</v>
      </c>
      <c r="N235" s="1" t="s">
        <v>33</v>
      </c>
      <c r="O235" s="1" t="s">
        <v>34</v>
      </c>
      <c r="P235" s="3" t="str">
        <f t="shared" si="35"/>
        <v>11</v>
      </c>
      <c r="Q235" s="3" t="str">
        <f t="shared" si="36"/>
        <v>02</v>
      </c>
      <c r="R235" s="3" t="str">
        <f t="shared" si="37"/>
        <v>26</v>
      </c>
      <c r="S235" s="1" t="s">
        <v>40</v>
      </c>
      <c r="U235" s="1" t="s">
        <v>461</v>
      </c>
      <c r="V235" s="1" t="str">
        <f t="shared" si="38"/>
        <v>EV1_1</v>
      </c>
      <c r="W235" s="1" t="str">
        <f t="shared" si="42"/>
        <v>EV1_1</v>
      </c>
      <c r="X235" s="4" t="b">
        <f t="shared" si="39"/>
        <v>1</v>
      </c>
      <c r="Y235" s="1">
        <f>VLOOKUP(D235,'Orden de Imagen'!$A$1:D372,4,FALSE())</f>
        <v>205</v>
      </c>
      <c r="Z235" s="1" t="str">
        <f t="shared" si="40"/>
        <v>205_26_02_11_EV1_1</v>
      </c>
    </row>
    <row r="236" spans="1:26" ht="15" customHeight="1" x14ac:dyDescent="0.25">
      <c r="A236" s="1">
        <v>246</v>
      </c>
      <c r="B236" s="1" t="s">
        <v>549</v>
      </c>
      <c r="C236" s="1" t="str">
        <f t="shared" si="33"/>
        <v>CL_MLP_PAO_IF_Ortho_26_02_11_EV2.tif</v>
      </c>
      <c r="D236" s="1" t="str">
        <f t="shared" si="41"/>
        <v>CL_MLP_PAO_IF_Ortho_26_02_11_EV2</v>
      </c>
      <c r="E236" s="1" t="s">
        <v>74</v>
      </c>
      <c r="F236" s="1" t="s">
        <v>460</v>
      </c>
      <c r="G236" s="1" t="s">
        <v>29</v>
      </c>
      <c r="H236" s="16">
        <v>46064</v>
      </c>
      <c r="I236" s="16">
        <v>46092</v>
      </c>
      <c r="J236" s="1" t="s">
        <v>30</v>
      </c>
      <c r="K236" s="2" t="str">
        <f t="shared" si="34"/>
        <v>https://sig.aminerals.cl/imgdyn/rest/services/CL_MLP_PAO/CL_MLP_PAO_IF_Ortho_Geosupport/ImageServer/file?id=.\El_Mauro_Puerto_Punta_Chungo_Drone\26_02_11\CL_MLP_PAO_IF_Ortho_26_02_11_EV2.tif&amp;rasterId=</v>
      </c>
      <c r="L236" s="1" t="s">
        <v>31</v>
      </c>
      <c r="M236" s="1" t="s">
        <v>32</v>
      </c>
      <c r="N236" s="1" t="s">
        <v>33</v>
      </c>
      <c r="O236" s="1" t="s">
        <v>34</v>
      </c>
      <c r="P236" s="3" t="str">
        <f t="shared" si="35"/>
        <v>11</v>
      </c>
      <c r="Q236" s="3" t="str">
        <f t="shared" si="36"/>
        <v>02</v>
      </c>
      <c r="R236" s="3" t="str">
        <f t="shared" si="37"/>
        <v>26</v>
      </c>
      <c r="S236" s="1" t="s">
        <v>50</v>
      </c>
      <c r="U236" s="1" t="s">
        <v>461</v>
      </c>
      <c r="V236" s="1" t="str">
        <f t="shared" si="38"/>
        <v>EV2</v>
      </c>
      <c r="W236" s="1" t="str">
        <f t="shared" si="42"/>
        <v>EV2</v>
      </c>
      <c r="X236" s="4" t="b">
        <f t="shared" si="39"/>
        <v>1</v>
      </c>
      <c r="Y236" s="1">
        <f>VLOOKUP(D236,'Orden de Imagen'!$A$1:D388,4,FALSE())</f>
        <v>206</v>
      </c>
      <c r="Z236" s="1" t="str">
        <f t="shared" si="40"/>
        <v>206_26_02_11_EV2</v>
      </c>
    </row>
    <row r="237" spans="1:26" ht="15" customHeight="1" x14ac:dyDescent="0.25">
      <c r="A237" s="1">
        <v>247</v>
      </c>
      <c r="B237" s="1" t="s">
        <v>550</v>
      </c>
      <c r="C237" s="1" t="str">
        <f t="shared" si="33"/>
        <v>CL_MLP_PAO_IF_Ortho_26_02_11_MonteAranda-NSTC-Km-84p2-a-82p3.tif</v>
      </c>
      <c r="D237" s="1" t="str">
        <f t="shared" si="41"/>
        <v>CL_MLP_PAO_IF_Ortho_26_02_11_MonteAranda-NSTC-Km-84p2-a-82p3</v>
      </c>
      <c r="E237" s="1" t="s">
        <v>488</v>
      </c>
      <c r="F237" s="1" t="s">
        <v>460</v>
      </c>
      <c r="G237" s="1" t="s">
        <v>29</v>
      </c>
      <c r="H237" s="16">
        <v>46064</v>
      </c>
      <c r="I237" s="16">
        <v>46092</v>
      </c>
      <c r="J237" s="1" t="s">
        <v>30</v>
      </c>
      <c r="K237" s="2" t="str">
        <f t="shared" si="34"/>
        <v>https://sig.aminerals.cl/imgdyn/rest/services/CL_MLP_PAO/CL_MLP_PAO_IF_Ortho_Geosupport/ImageServer/file?id=.\El_Mauro_Puerto_Punta_Chungo_Drone\26_02_11\CL_MLP_PAO_IF_Ortho_26_02_11_MonteAranda-NSTC-Km-84p2-a-82p3.tif&amp;rasterId=</v>
      </c>
      <c r="L237" s="1" t="s">
        <v>31</v>
      </c>
      <c r="M237" s="1" t="s">
        <v>32</v>
      </c>
      <c r="N237" s="1" t="s">
        <v>33</v>
      </c>
      <c r="O237" s="1" t="s">
        <v>34</v>
      </c>
      <c r="P237" s="3" t="str">
        <f t="shared" si="35"/>
        <v>11</v>
      </c>
      <c r="Q237" s="3" t="str">
        <f t="shared" si="36"/>
        <v>02</v>
      </c>
      <c r="R237" s="3" t="str">
        <f t="shared" si="37"/>
        <v>26</v>
      </c>
      <c r="S237" s="1" t="s">
        <v>50</v>
      </c>
      <c r="U237" s="1" t="s">
        <v>461</v>
      </c>
      <c r="V237" s="1" t="str">
        <f t="shared" si="38"/>
        <v>MonteAranda-NSTC-Km-84p2-a-82p3</v>
      </c>
      <c r="W237" s="1" t="str">
        <f t="shared" si="42"/>
        <v>MonteAranda-NSTC-Km-84p2-a-82p3</v>
      </c>
      <c r="X237" s="4" t="b">
        <f t="shared" si="39"/>
        <v>1</v>
      </c>
      <c r="Y237" s="1">
        <f>VLOOKUP(D237,'Orden de Imagen'!$A$1:D389,4,FALSE())</f>
        <v>207</v>
      </c>
      <c r="Z237" s="1" t="str">
        <f t="shared" si="40"/>
        <v>207_26_02_11_MonteAranda-NSTC-Km-84p2-a-82p3</v>
      </c>
    </row>
    <row r="238" spans="1:26" ht="15" customHeight="1" x14ac:dyDescent="0.25">
      <c r="A238" s="1">
        <v>250</v>
      </c>
      <c r="B238" s="1" t="s">
        <v>551</v>
      </c>
      <c r="C238" s="1" t="str">
        <f t="shared" si="33"/>
        <v>CL_MLP_PAO_IF_Ortho_26_02_11_TORRE_E85_A_E_125.tif</v>
      </c>
      <c r="D238" s="1" t="str">
        <f t="shared" si="41"/>
        <v>CL_MLP_PAO_IF_Ortho_26_02_11_TORRE_E85_A_E_125</v>
      </c>
      <c r="E238" s="1" t="s">
        <v>483</v>
      </c>
      <c r="F238" s="1" t="s">
        <v>460</v>
      </c>
      <c r="G238" s="1" t="s">
        <v>29</v>
      </c>
      <c r="H238" s="16">
        <v>46064</v>
      </c>
      <c r="I238" s="16">
        <v>46092</v>
      </c>
      <c r="J238" s="1" t="s">
        <v>30</v>
      </c>
      <c r="K238" s="2" t="str">
        <f t="shared" si="34"/>
        <v>https://sig.aminerals.cl/imgdyn/rest/services/CL_MLP_PAO/CL_MLP_PAO_IF_Ortho_Geosupport/ImageServer/file?id=.\El_Mauro_Puerto_Punta_Chungo_Drone\26_02_11\CL_MLP_PAO_IF_Ortho_26_02_11_TORRE_E85_A_E_125.tif&amp;rasterId=</v>
      </c>
      <c r="L238" s="1" t="s">
        <v>31</v>
      </c>
      <c r="M238" s="1" t="s">
        <v>32</v>
      </c>
      <c r="N238" s="1" t="s">
        <v>33</v>
      </c>
      <c r="O238" s="1" t="s">
        <v>34</v>
      </c>
      <c r="P238" s="3" t="str">
        <f t="shared" si="35"/>
        <v>11</v>
      </c>
      <c r="Q238" s="3" t="str">
        <f t="shared" si="36"/>
        <v>02</v>
      </c>
      <c r="R238" s="3" t="str">
        <f t="shared" si="37"/>
        <v>26</v>
      </c>
      <c r="S238" s="1" t="s">
        <v>50</v>
      </c>
      <c r="U238" s="1" t="s">
        <v>461</v>
      </c>
      <c r="V238" s="1" t="str">
        <f t="shared" si="38"/>
        <v>TORRE_E85_A_E_125</v>
      </c>
      <c r="W238" s="1" t="str">
        <f t="shared" si="42"/>
        <v>TORRE_E85_A_E_125</v>
      </c>
      <c r="X238" s="4" t="b">
        <f t="shared" si="39"/>
        <v>1</v>
      </c>
      <c r="Y238" s="1">
        <f>VLOOKUP(D238,'Orden de Imagen'!$A$1:D392,4,FALSE())</f>
        <v>208</v>
      </c>
      <c r="Z238" s="1" t="str">
        <f t="shared" si="40"/>
        <v>208_26_02_11_TORRE_E85_A_E_125</v>
      </c>
    </row>
    <row r="239" spans="1:26" ht="15" customHeight="1" x14ac:dyDescent="0.25">
      <c r="A239" s="1">
        <v>236</v>
      </c>
      <c r="B239" s="1" t="s">
        <v>552</v>
      </c>
      <c r="C239" s="1" t="str">
        <f t="shared" si="33"/>
        <v>CL_MLP_PAO_IF_Ortho_26_02_11_TORRES_E12_-_E30_PV4.tif</v>
      </c>
      <c r="D239" s="1" t="str">
        <f t="shared" si="41"/>
        <v>CL_MLP_PAO_IF_Ortho_26_02_11_TORRES_E12_-_E30_PV4</v>
      </c>
      <c r="E239" s="1" t="s">
        <v>476</v>
      </c>
      <c r="F239" s="1" t="s">
        <v>460</v>
      </c>
      <c r="G239" s="1" t="s">
        <v>29</v>
      </c>
      <c r="H239" s="16">
        <v>46064</v>
      </c>
      <c r="I239" s="16">
        <v>46092</v>
      </c>
      <c r="J239" s="1" t="s">
        <v>30</v>
      </c>
      <c r="K239" s="2" t="str">
        <f t="shared" si="34"/>
        <v>https://sig.aminerals.cl/imgdyn/rest/services/CL_MLP_PAO/CL_MLP_PAO_IF_Ortho_Geosupport/ImageServer/file?id=.\El_Mauro_Drone\26_02_11\CL_MLP_PAO_IF_Ortho_26_02_11_TORRES_E12_-_E30_PV4.tif&amp;rasterId=</v>
      </c>
      <c r="L239" s="1" t="s">
        <v>31</v>
      </c>
      <c r="M239" s="1" t="s">
        <v>32</v>
      </c>
      <c r="N239" s="1" t="s">
        <v>33</v>
      </c>
      <c r="O239" s="1" t="s">
        <v>34</v>
      </c>
      <c r="P239" s="3" t="str">
        <f t="shared" si="35"/>
        <v>11</v>
      </c>
      <c r="Q239" s="3" t="str">
        <f t="shared" si="36"/>
        <v>02</v>
      </c>
      <c r="R239" s="3" t="str">
        <f t="shared" si="37"/>
        <v>26</v>
      </c>
      <c r="S239" s="1" t="s">
        <v>87</v>
      </c>
      <c r="U239" s="1" t="s">
        <v>461</v>
      </c>
      <c r="V239" s="1" t="str">
        <f t="shared" si="38"/>
        <v>TORRES_E12_-_E30_PV4</v>
      </c>
      <c r="W239" s="1" t="str">
        <f t="shared" si="42"/>
        <v>TORRES_E12_-_E30_PV4</v>
      </c>
      <c r="X239" s="4" t="b">
        <f t="shared" si="39"/>
        <v>1</v>
      </c>
      <c r="Y239" s="1">
        <f>VLOOKUP(D239,'Orden de Imagen'!$A$1:D378,4,FALSE())</f>
        <v>209</v>
      </c>
      <c r="Z239" s="1" t="str">
        <f t="shared" si="40"/>
        <v>209_26_02_11_TORRES_E12_-_E30_PV4</v>
      </c>
    </row>
    <row r="240" spans="1:26" ht="15" customHeight="1" x14ac:dyDescent="0.25">
      <c r="A240" s="1">
        <v>231</v>
      </c>
      <c r="B240" s="1" t="s">
        <v>553</v>
      </c>
      <c r="C240" s="1" t="str">
        <f t="shared" si="33"/>
        <v>CL_MLP_PAO_IF_Ortho_26_02_12_ED2.tif</v>
      </c>
      <c r="D240" s="1" t="str">
        <f t="shared" si="41"/>
        <v>CL_MLP_PAO_IF_Ortho_26_02_12_ED2</v>
      </c>
      <c r="E240" s="1" t="s">
        <v>468</v>
      </c>
      <c r="F240" s="1" t="s">
        <v>460</v>
      </c>
      <c r="G240" s="1" t="s">
        <v>29</v>
      </c>
      <c r="H240" s="16">
        <v>46065</v>
      </c>
      <c r="I240" s="16">
        <v>46092</v>
      </c>
      <c r="J240" s="1" t="s">
        <v>30</v>
      </c>
      <c r="K240" s="2" t="str">
        <f t="shared" si="34"/>
        <v>https://sig.aminerals.cl/imgdyn/rest/services/CL_MLP_PAO/CL_MLP_PAO_IF_Ortho_Geosupport/ImageServer/file?id=.\Chacay_El_Mauro_Drone\26_02_12\CL_MLP_PAO_IF_Ortho_26_02_12_ED2.tif&amp;rasterId=</v>
      </c>
      <c r="L240" s="1" t="s">
        <v>31</v>
      </c>
      <c r="M240" s="1" t="s">
        <v>32</v>
      </c>
      <c r="N240" s="1" t="s">
        <v>33</v>
      </c>
      <c r="O240" s="1" t="s">
        <v>34</v>
      </c>
      <c r="P240" s="3" t="str">
        <f t="shared" si="35"/>
        <v>12</v>
      </c>
      <c r="Q240" s="3" t="str">
        <f t="shared" si="36"/>
        <v>02</v>
      </c>
      <c r="R240" s="3" t="str">
        <f t="shared" si="37"/>
        <v>26</v>
      </c>
      <c r="S240" s="1" t="s">
        <v>40</v>
      </c>
      <c r="U240" s="1" t="s">
        <v>461</v>
      </c>
      <c r="V240" s="1" t="str">
        <f t="shared" si="38"/>
        <v>ED2</v>
      </c>
      <c r="W240" s="1" t="str">
        <f t="shared" si="42"/>
        <v>ED2</v>
      </c>
      <c r="X240" s="4" t="b">
        <f t="shared" si="39"/>
        <v>1</v>
      </c>
      <c r="Y240" s="1">
        <f>VLOOKUP(D240,'Orden de Imagen'!$A$1:D373,4,FALSE())</f>
        <v>210</v>
      </c>
      <c r="Z240" s="1" t="str">
        <f t="shared" si="40"/>
        <v>210_26_02_12_ED2</v>
      </c>
    </row>
    <row r="241" spans="1:26" ht="15" customHeight="1" x14ac:dyDescent="0.25">
      <c r="A241" s="1">
        <v>237</v>
      </c>
      <c r="B241" s="1" t="s">
        <v>554</v>
      </c>
      <c r="C241" s="1" t="str">
        <f t="shared" si="33"/>
        <v>CL_MLP_PAO_IF_Ortho_26_02_12_EM4.tif</v>
      </c>
      <c r="D241" s="1" t="str">
        <f t="shared" si="41"/>
        <v>CL_MLP_PAO_IF_Ortho_26_02_12_EM4</v>
      </c>
      <c r="E241" s="1" t="s">
        <v>540</v>
      </c>
      <c r="F241" s="1" t="s">
        <v>460</v>
      </c>
      <c r="G241" s="1" t="s">
        <v>29</v>
      </c>
      <c r="H241" s="16">
        <v>46065</v>
      </c>
      <c r="I241" s="16">
        <v>46092</v>
      </c>
      <c r="J241" s="1" t="s">
        <v>30</v>
      </c>
      <c r="K241" s="2" t="str">
        <f t="shared" si="34"/>
        <v>https://sig.aminerals.cl/imgdyn/rest/services/CL_MLP_PAO/CL_MLP_PAO_IF_Ortho_Geosupport/ImageServer/file?id=.\El_Mauro_Drone\26_02_12\CL_MLP_PAO_IF_Ortho_26_02_12_EM4.tif&amp;rasterId=</v>
      </c>
      <c r="L241" s="1" t="s">
        <v>31</v>
      </c>
      <c r="M241" s="1" t="s">
        <v>32</v>
      </c>
      <c r="N241" s="1" t="s">
        <v>33</v>
      </c>
      <c r="O241" s="1" t="s">
        <v>34</v>
      </c>
      <c r="P241" s="3" t="str">
        <f t="shared" si="35"/>
        <v>12</v>
      </c>
      <c r="Q241" s="3" t="str">
        <f t="shared" si="36"/>
        <v>02</v>
      </c>
      <c r="R241" s="3" t="str">
        <f t="shared" si="37"/>
        <v>26</v>
      </c>
      <c r="S241" s="1" t="s">
        <v>87</v>
      </c>
      <c r="U241" s="1" t="s">
        <v>461</v>
      </c>
      <c r="V241" s="1" t="str">
        <f t="shared" si="38"/>
        <v>EM4</v>
      </c>
      <c r="W241" s="1" t="str">
        <f t="shared" si="42"/>
        <v>EM4</v>
      </c>
      <c r="X241" s="4" t="b">
        <f t="shared" si="39"/>
        <v>1</v>
      </c>
      <c r="Y241" s="1">
        <f>VLOOKUP(D241,'Orden de Imagen'!$A$1:D379,4,FALSE())</f>
        <v>211</v>
      </c>
      <c r="Z241" s="1" t="str">
        <f t="shared" si="40"/>
        <v>211_26_02_12_EM4</v>
      </c>
    </row>
    <row r="242" spans="1:26" ht="15" customHeight="1" x14ac:dyDescent="0.25">
      <c r="A242" s="1">
        <v>232</v>
      </c>
      <c r="B242" s="1" t="s">
        <v>555</v>
      </c>
      <c r="C242" s="1" t="str">
        <f t="shared" si="33"/>
        <v>CL_MLP_PAO_IF_Ortho_26_02_12_IIFF9-PA13_1.tif</v>
      </c>
      <c r="D242" s="1" t="str">
        <f t="shared" si="41"/>
        <v>CL_MLP_PAO_IF_Ortho_26_02_12_IIFF9-PA13_1</v>
      </c>
      <c r="E242" s="1" t="s">
        <v>556</v>
      </c>
      <c r="F242" s="1" t="s">
        <v>460</v>
      </c>
      <c r="G242" s="1" t="s">
        <v>29</v>
      </c>
      <c r="H242" s="16">
        <v>46065</v>
      </c>
      <c r="I242" s="16">
        <v>46092</v>
      </c>
      <c r="J242" s="1" t="s">
        <v>30</v>
      </c>
      <c r="K242" s="2" t="str">
        <f t="shared" si="34"/>
        <v>https://sig.aminerals.cl/imgdyn/rest/services/CL_MLP_PAO/CL_MLP_PAO_IF_Ortho_Geosupport/ImageServer/file?id=.\Chacay_El_Mauro_Drone\26_02_12\CL_MLP_PAO_IF_Ortho_26_02_12_IIFF9-PA13_1.tif&amp;rasterId=</v>
      </c>
      <c r="L242" s="1" t="s">
        <v>31</v>
      </c>
      <c r="M242" s="1" t="s">
        <v>32</v>
      </c>
      <c r="N242" s="1" t="s">
        <v>33</v>
      </c>
      <c r="O242" s="1" t="s">
        <v>34</v>
      </c>
      <c r="P242" s="3" t="str">
        <f t="shared" si="35"/>
        <v>12</v>
      </c>
      <c r="Q242" s="3" t="str">
        <f t="shared" si="36"/>
        <v>02</v>
      </c>
      <c r="R242" s="3" t="str">
        <f t="shared" si="37"/>
        <v>26</v>
      </c>
      <c r="S242" s="1" t="s">
        <v>40</v>
      </c>
      <c r="U242" s="1" t="s">
        <v>461</v>
      </c>
      <c r="V242" s="1" t="str">
        <f t="shared" si="38"/>
        <v>IIFF9-PA13_1</v>
      </c>
      <c r="W242" s="1" t="str">
        <f t="shared" si="42"/>
        <v>IIFF9-PA13_1</v>
      </c>
      <c r="X242" s="4" t="b">
        <f t="shared" si="39"/>
        <v>1</v>
      </c>
      <c r="Y242" s="1">
        <f>VLOOKUP(D242,'Orden de Imagen'!$A$1:D374,4,FALSE())</f>
        <v>212</v>
      </c>
      <c r="Z242" s="1" t="str">
        <f t="shared" si="40"/>
        <v>212_26_02_12_IIFF9-PA13_1</v>
      </c>
    </row>
    <row r="243" spans="1:26" ht="15" customHeight="1" x14ac:dyDescent="0.25">
      <c r="A243" s="1">
        <v>238</v>
      </c>
      <c r="B243" s="1" t="s">
        <v>557</v>
      </c>
      <c r="C243" s="1" t="str">
        <f t="shared" si="33"/>
        <v>CL_MLP_PAO_IF_Ortho_26_02_12_Patio-19B-y-Armado.tif</v>
      </c>
      <c r="D243" s="1" t="str">
        <f t="shared" si="41"/>
        <v>CL_MLP_PAO_IF_Ortho_26_02_12_Patio-19B-y-Armado</v>
      </c>
      <c r="E243" s="1" t="s">
        <v>472</v>
      </c>
      <c r="F243" s="1" t="s">
        <v>460</v>
      </c>
      <c r="G243" s="1" t="s">
        <v>29</v>
      </c>
      <c r="H243" s="16">
        <v>46065</v>
      </c>
      <c r="I243" s="16">
        <v>46092</v>
      </c>
      <c r="J243" s="1" t="s">
        <v>30</v>
      </c>
      <c r="K243" s="2" t="str">
        <f t="shared" si="34"/>
        <v>https://sig.aminerals.cl/imgdyn/rest/services/CL_MLP_PAO/CL_MLP_PAO_IF_Ortho_Geosupport/ImageServer/file?id=.\El_Mauro_Drone\26_02_12\CL_MLP_PAO_IF_Ortho_26_02_12_Patio-19B-y-Armado.tif&amp;rasterId=</v>
      </c>
      <c r="L243" s="1" t="s">
        <v>31</v>
      </c>
      <c r="M243" s="1" t="s">
        <v>32</v>
      </c>
      <c r="N243" s="1" t="s">
        <v>33</v>
      </c>
      <c r="O243" s="1" t="s">
        <v>34</v>
      </c>
      <c r="P243" s="3" t="str">
        <f t="shared" si="35"/>
        <v>12</v>
      </c>
      <c r="Q243" s="3" t="str">
        <f t="shared" si="36"/>
        <v>02</v>
      </c>
      <c r="R243" s="3" t="str">
        <f t="shared" si="37"/>
        <v>26</v>
      </c>
      <c r="S243" s="1" t="s">
        <v>87</v>
      </c>
      <c r="U243" s="1" t="s">
        <v>461</v>
      </c>
      <c r="V243" s="1" t="str">
        <f t="shared" si="38"/>
        <v>Patio-19B-y-Armado</v>
      </c>
      <c r="W243" s="1" t="str">
        <f t="shared" si="42"/>
        <v>Patio-19B-y-Armado</v>
      </c>
      <c r="X243" s="4" t="b">
        <f t="shared" si="39"/>
        <v>1</v>
      </c>
      <c r="Y243" s="1">
        <f>VLOOKUP(D243,'Orden de Imagen'!$A$1:D380,4,FALSE())</f>
        <v>213</v>
      </c>
      <c r="Z243" s="1" t="str">
        <f t="shared" si="40"/>
        <v>213_26_02_12_Patio-19B-y-Armado</v>
      </c>
    </row>
    <row r="244" spans="1:26" ht="15" customHeight="1" x14ac:dyDescent="0.25">
      <c r="A244" s="1">
        <v>233</v>
      </c>
      <c r="B244" s="1" t="s">
        <v>558</v>
      </c>
      <c r="C244" s="1" t="str">
        <f t="shared" si="33"/>
        <v>CL_MLP_PAO_IF_Ortho_26_02_13_DME9_PA12_IIFF8_1.tif</v>
      </c>
      <c r="D244" s="1" t="str">
        <f t="shared" si="41"/>
        <v>CL_MLP_PAO_IF_Ortho_26_02_13_DME9_PA12_IIFF8_1</v>
      </c>
      <c r="E244" s="1" t="s">
        <v>559</v>
      </c>
      <c r="F244" s="1" t="s">
        <v>460</v>
      </c>
      <c r="G244" s="1" t="s">
        <v>29</v>
      </c>
      <c r="H244" s="16">
        <v>46066</v>
      </c>
      <c r="I244" s="16">
        <v>46091</v>
      </c>
      <c r="J244" s="1" t="s">
        <v>30</v>
      </c>
      <c r="K244" s="2" t="str">
        <f t="shared" si="34"/>
        <v>https://sig.aminerals.cl/imgdyn/rest/services/CL_MLP_PAO/CL_MLP_PAO_IF_Ortho_Geosupport/ImageServer/file?id=.\Chacay_El_Mauro_Drone\26_02_13\CL_MLP_PAO_IF_Ortho_26_02_13_DME9_PA12_IIFF8_1.tif&amp;rasterId=</v>
      </c>
      <c r="L244" s="1" t="s">
        <v>31</v>
      </c>
      <c r="M244" s="1" t="s">
        <v>32</v>
      </c>
      <c r="N244" s="1" t="s">
        <v>33</v>
      </c>
      <c r="O244" s="1" t="s">
        <v>34</v>
      </c>
      <c r="P244" s="3" t="str">
        <f t="shared" si="35"/>
        <v>13</v>
      </c>
      <c r="Q244" s="3" t="str">
        <f t="shared" si="36"/>
        <v>02</v>
      </c>
      <c r="R244" s="3" t="str">
        <f t="shared" si="37"/>
        <v>26</v>
      </c>
      <c r="S244" s="1" t="s">
        <v>40</v>
      </c>
      <c r="U244" s="1" t="s">
        <v>461</v>
      </c>
      <c r="V244" s="1" t="str">
        <f t="shared" si="38"/>
        <v>DME9_PA12_IIFF8_1</v>
      </c>
      <c r="W244" s="1" t="str">
        <f t="shared" si="42"/>
        <v>DME9_PA12_IIFF8_1</v>
      </c>
      <c r="X244" s="4" t="b">
        <f t="shared" si="39"/>
        <v>1</v>
      </c>
      <c r="Y244" s="1">
        <f>VLOOKUP(D244,'Orden de Imagen'!$A$1:D375,4,FALSE())</f>
        <v>214</v>
      </c>
      <c r="Z244" s="1" t="str">
        <f t="shared" si="40"/>
        <v>214_26_02_13_DME9_PA12_IIFF8_1</v>
      </c>
    </row>
    <row r="245" spans="1:26" ht="15" customHeight="1" x14ac:dyDescent="0.25">
      <c r="A245" s="1">
        <v>243</v>
      </c>
      <c r="B245" s="1" t="s">
        <v>560</v>
      </c>
      <c r="C245" s="1" t="str">
        <f t="shared" si="33"/>
        <v>CL_MLP_PAO_IF_Ortho_26_02_13_Plataforma_Integrada_El_Mauro.tif</v>
      </c>
      <c r="D245" s="1" t="str">
        <f t="shared" si="41"/>
        <v>CL_MLP_PAO_IF_Ortho_26_02_13_Plataforma_Integrada_El_Mauro</v>
      </c>
      <c r="E245" s="1" t="s">
        <v>459</v>
      </c>
      <c r="F245" s="1" t="s">
        <v>460</v>
      </c>
      <c r="G245" s="1" t="s">
        <v>29</v>
      </c>
      <c r="H245" s="16">
        <v>46066</v>
      </c>
      <c r="I245" s="16">
        <v>46091</v>
      </c>
      <c r="J245" s="1" t="s">
        <v>30</v>
      </c>
      <c r="K245" s="2" t="str">
        <f t="shared" si="34"/>
        <v>https://sig.aminerals.cl/imgdyn/rest/services/CL_MLP_PAO/CL_MLP_PAO_IF_Ortho_Geosupport/ImageServer/file?id=.\El_Mauro_Drone\26_02_13\CL_MLP_PAO_IF_Ortho_26_02_13_Plataforma_Integrada_El_Mauro.tif&amp;rasterId=</v>
      </c>
      <c r="L245" s="1" t="s">
        <v>31</v>
      </c>
      <c r="M245" s="1" t="s">
        <v>32</v>
      </c>
      <c r="N245" s="1" t="s">
        <v>33</v>
      </c>
      <c r="O245" s="1" t="s">
        <v>34</v>
      </c>
      <c r="P245" s="3" t="str">
        <f t="shared" si="35"/>
        <v>13</v>
      </c>
      <c r="Q245" s="3" t="str">
        <f t="shared" si="36"/>
        <v>02</v>
      </c>
      <c r="R245" s="3" t="str">
        <f t="shared" si="37"/>
        <v>26</v>
      </c>
      <c r="S245" s="1" t="s">
        <v>87</v>
      </c>
      <c r="T245" s="1">
        <v>1</v>
      </c>
      <c r="U245" s="1" t="s">
        <v>461</v>
      </c>
      <c r="V245" s="1" t="str">
        <f t="shared" si="38"/>
        <v>Plataforma_Integrada_El_Mauro</v>
      </c>
      <c r="W245" s="1" t="str">
        <f t="shared" si="42"/>
        <v>Plataforma_Integrada_El_Mauro</v>
      </c>
      <c r="X245" s="4" t="b">
        <f t="shared" si="39"/>
        <v>1</v>
      </c>
      <c r="Y245" s="1">
        <f>VLOOKUP(D245,'Orden de Imagen'!$A$1:D385,4,FALSE())</f>
        <v>215</v>
      </c>
      <c r="Z245" s="1" t="str">
        <f t="shared" si="40"/>
        <v>215_26_02_13_Plataforma_Integrada_El_Mauro</v>
      </c>
    </row>
    <row r="246" spans="1:26" ht="15" customHeight="1" x14ac:dyDescent="0.25">
      <c r="A246" s="1">
        <v>240</v>
      </c>
      <c r="B246" s="1" t="s">
        <v>561</v>
      </c>
      <c r="C246" s="1" t="str">
        <f t="shared" si="33"/>
        <v>CL_MLP_PAO_IF_Ortho_26_02_14_Subestacion-El-Mauro.tif</v>
      </c>
      <c r="D246" s="1" t="str">
        <f t="shared" si="41"/>
        <v>CL_MLP_PAO_IF_Ortho_26_02_14_Subestacion-El-Mauro</v>
      </c>
      <c r="E246" s="1" t="s">
        <v>90</v>
      </c>
      <c r="F246" s="1" t="s">
        <v>460</v>
      </c>
      <c r="G246" s="1" t="s">
        <v>29</v>
      </c>
      <c r="H246" s="16">
        <v>46067</v>
      </c>
      <c r="I246" s="16">
        <v>46092</v>
      </c>
      <c r="J246" s="1" t="s">
        <v>30</v>
      </c>
      <c r="K246" s="2" t="str">
        <f t="shared" si="34"/>
        <v>https://sig.aminerals.cl/imgdyn/rest/services/CL_MLP_PAO/CL_MLP_PAO_IF_Ortho_Geosupport/ImageServer/file?id=.\El_Mauro_Drone\26_02_14\CL_MLP_PAO_IF_Ortho_26_02_14_Subestacion-El-Mauro.tif&amp;rasterId=</v>
      </c>
      <c r="L246" s="1" t="s">
        <v>31</v>
      </c>
      <c r="M246" s="1" t="s">
        <v>32</v>
      </c>
      <c r="N246" s="1" t="s">
        <v>33</v>
      </c>
      <c r="O246" s="1" t="s">
        <v>34</v>
      </c>
      <c r="P246" s="3" t="str">
        <f t="shared" si="35"/>
        <v>14</v>
      </c>
      <c r="Q246" s="3" t="str">
        <f t="shared" si="36"/>
        <v>02</v>
      </c>
      <c r="R246" s="3" t="str">
        <f t="shared" si="37"/>
        <v>26</v>
      </c>
      <c r="S246" s="1" t="s">
        <v>87</v>
      </c>
      <c r="U246" s="1" t="s">
        <v>461</v>
      </c>
      <c r="V246" s="1" t="str">
        <f t="shared" si="38"/>
        <v>Subestacion-El-Mauro</v>
      </c>
      <c r="W246" s="1" t="str">
        <f t="shared" si="42"/>
        <v>Subestacion-El-Mauro</v>
      </c>
      <c r="X246" s="4" t="b">
        <f t="shared" si="39"/>
        <v>1</v>
      </c>
      <c r="Y246" s="1">
        <f>VLOOKUP(D246,'Orden de Imagen'!$A$1:D382,4,FALSE())</f>
        <v>216</v>
      </c>
      <c r="Z246" s="1" t="str">
        <f t="shared" si="40"/>
        <v>216_26_02_14_Subestacion-El-Mauro</v>
      </c>
    </row>
    <row r="247" spans="1:26" ht="15" customHeight="1" x14ac:dyDescent="0.25">
      <c r="A247" s="1">
        <v>239</v>
      </c>
      <c r="B247" s="1" t="s">
        <v>562</v>
      </c>
      <c r="C247" s="1" t="str">
        <f t="shared" si="33"/>
        <v>CL_MLP_PAO_IF_Ortho_26_02_14_TORRES_E31_A_E48_PV4.tif</v>
      </c>
      <c r="D247" s="1" t="str">
        <f t="shared" si="41"/>
        <v>CL_MLP_PAO_IF_Ortho_26_02_14_TORRES_E31_A_E48_PV4</v>
      </c>
      <c r="E247" s="1" t="s">
        <v>478</v>
      </c>
      <c r="F247" s="1" t="s">
        <v>460</v>
      </c>
      <c r="G247" s="1" t="s">
        <v>29</v>
      </c>
      <c r="H247" s="16">
        <v>46067</v>
      </c>
      <c r="I247" s="16">
        <v>46092</v>
      </c>
      <c r="J247" s="1" t="s">
        <v>30</v>
      </c>
      <c r="K247" s="2" t="str">
        <f t="shared" si="34"/>
        <v>https://sig.aminerals.cl/imgdyn/rest/services/CL_MLP_PAO/CL_MLP_PAO_IF_Ortho_Geosupport/ImageServer/file?id=.\El_Mauro_Drone\26_02_14\CL_MLP_PAO_IF_Ortho_26_02_14_TORRES_E31_A_E48_PV4.tif&amp;rasterId=</v>
      </c>
      <c r="L247" s="1" t="s">
        <v>31</v>
      </c>
      <c r="M247" s="1" t="s">
        <v>32</v>
      </c>
      <c r="N247" s="1" t="s">
        <v>33</v>
      </c>
      <c r="O247" s="1" t="s">
        <v>34</v>
      </c>
      <c r="P247" s="3" t="str">
        <f t="shared" si="35"/>
        <v>14</v>
      </c>
      <c r="Q247" s="3" t="str">
        <f t="shared" si="36"/>
        <v>02</v>
      </c>
      <c r="R247" s="3" t="str">
        <f t="shared" si="37"/>
        <v>26</v>
      </c>
      <c r="S247" s="1" t="s">
        <v>87</v>
      </c>
      <c r="U247" s="1" t="s">
        <v>461</v>
      </c>
      <c r="V247" s="1" t="str">
        <f t="shared" si="38"/>
        <v>TORRES_E31_A_E48_PV4</v>
      </c>
      <c r="W247" s="1" t="str">
        <f t="shared" si="42"/>
        <v>TORRES_E31_A_E48_PV4</v>
      </c>
      <c r="X247" s="4" t="b">
        <f t="shared" si="39"/>
        <v>1</v>
      </c>
      <c r="Y247" s="1">
        <f>VLOOKUP(D247,'Orden de Imagen'!$A$1:D381,4,FALSE())</f>
        <v>217</v>
      </c>
      <c r="Z247" s="1" t="str">
        <f t="shared" si="40"/>
        <v>217_26_02_14_TORRES_E31_A_E48_PV4</v>
      </c>
    </row>
    <row r="248" spans="1:26" ht="15" customHeight="1" x14ac:dyDescent="0.25">
      <c r="A248" s="1">
        <v>241</v>
      </c>
      <c r="B248" s="1" t="s">
        <v>563</v>
      </c>
      <c r="C248" s="1" t="str">
        <f t="shared" si="33"/>
        <v>CL_MLP_PAO_IF_Ortho_26_02_15_TORRE_E48_A_E84_PV4.tif</v>
      </c>
      <c r="D248" s="1" t="str">
        <f t="shared" si="41"/>
        <v>CL_MLP_PAO_IF_Ortho_26_02_15_TORRE_E48_A_E84_PV4</v>
      </c>
      <c r="E248" s="1" t="s">
        <v>474</v>
      </c>
      <c r="F248" s="1" t="s">
        <v>460</v>
      </c>
      <c r="G248" s="1" t="s">
        <v>29</v>
      </c>
      <c r="H248" s="16">
        <v>46068</v>
      </c>
      <c r="I248" s="16">
        <v>46092</v>
      </c>
      <c r="J248" s="1" t="s">
        <v>30</v>
      </c>
      <c r="K248" s="2" t="str">
        <f t="shared" si="34"/>
        <v>https://sig.aminerals.cl/imgdyn/rest/services/CL_MLP_PAO/CL_MLP_PAO_IF_Ortho_Geosupport/ImageServer/file?id=.\El_Mauro_Drone\26_02_15\CL_MLP_PAO_IF_Ortho_26_02_15_TORRE_E48_A_E84_PV4.tif&amp;rasterId=</v>
      </c>
      <c r="L248" s="1" t="s">
        <v>31</v>
      </c>
      <c r="M248" s="1" t="s">
        <v>32</v>
      </c>
      <c r="N248" s="1" t="s">
        <v>33</v>
      </c>
      <c r="O248" s="1" t="s">
        <v>34</v>
      </c>
      <c r="P248" s="3" t="str">
        <f t="shared" si="35"/>
        <v>15</v>
      </c>
      <c r="Q248" s="3" t="str">
        <f t="shared" si="36"/>
        <v>02</v>
      </c>
      <c r="R248" s="3" t="str">
        <f t="shared" si="37"/>
        <v>26</v>
      </c>
      <c r="S248" s="1" t="s">
        <v>87</v>
      </c>
      <c r="U248" s="1" t="s">
        <v>461</v>
      </c>
      <c r="V248" s="1" t="str">
        <f t="shared" si="38"/>
        <v>TORRE_E48_A_E84_PV4</v>
      </c>
      <c r="W248" s="1" t="str">
        <f t="shared" si="42"/>
        <v>TORRE_E48_A_E84_PV4</v>
      </c>
      <c r="X248" s="4" t="b">
        <f t="shared" si="39"/>
        <v>1</v>
      </c>
      <c r="Y248" s="1">
        <f>VLOOKUP(D248,'Orden de Imagen'!$A$1:D383,4,FALSE())</f>
        <v>218</v>
      </c>
      <c r="Z248" s="1" t="str">
        <f t="shared" si="40"/>
        <v>218_26_02_15_TORRE_E48_A_E84_PV4</v>
      </c>
    </row>
    <row r="249" spans="1:26" ht="15" customHeight="1" x14ac:dyDescent="0.25">
      <c r="A249" s="1">
        <v>257</v>
      </c>
      <c r="B249" s="1" t="s">
        <v>564</v>
      </c>
      <c r="C249" s="1" t="str">
        <f t="shared" si="33"/>
        <v>CL_MLP_PAO_IF_Ortho_26_02_18_DME9-PA12-IIFF8.tif</v>
      </c>
      <c r="D249" s="1" t="str">
        <f t="shared" si="41"/>
        <v>CL_MLP_PAO_IF_Ortho_26_02_18_DME9-PA12-IIFF8</v>
      </c>
      <c r="E249" s="1" t="s">
        <v>505</v>
      </c>
      <c r="F249" s="1" t="s">
        <v>460</v>
      </c>
      <c r="G249" s="1" t="s">
        <v>29</v>
      </c>
      <c r="H249" s="16">
        <v>46071</v>
      </c>
      <c r="I249" s="16">
        <v>46100</v>
      </c>
      <c r="J249" s="1" t="s">
        <v>30</v>
      </c>
      <c r="K249" s="2" t="str">
        <f t="shared" si="34"/>
        <v>https://sig.aminerals.cl/imgdyn/rest/services/CL_MLP_PAO/CL_MLP_PAO_IF_Ortho_Geosupport/ImageServer/file?id=.\Chacay_El_Mauro_Drone\26_02_18\CL_MLP_PAO_IF_Ortho_26_02_18_DME9-PA12-IIFF8.tif&amp;rasterId=</v>
      </c>
      <c r="L249" s="1" t="s">
        <v>31</v>
      </c>
      <c r="M249" s="1" t="s">
        <v>32</v>
      </c>
      <c r="N249" s="1" t="s">
        <v>33</v>
      </c>
      <c r="O249" s="1" t="s">
        <v>34</v>
      </c>
      <c r="P249" s="3" t="str">
        <f t="shared" si="35"/>
        <v>18</v>
      </c>
      <c r="Q249" s="3" t="str">
        <f t="shared" si="36"/>
        <v>02</v>
      </c>
      <c r="R249" s="3" t="str">
        <f t="shared" si="37"/>
        <v>26</v>
      </c>
      <c r="S249" s="1" t="s">
        <v>40</v>
      </c>
      <c r="U249" s="1" t="s">
        <v>461</v>
      </c>
      <c r="V249" s="1" t="str">
        <f t="shared" si="38"/>
        <v>DME9-PA12-IIFF8</v>
      </c>
      <c r="W249" s="1" t="str">
        <f t="shared" si="42"/>
        <v>DME9-PA12-IIFF8</v>
      </c>
      <c r="X249" s="4" t="b">
        <f t="shared" si="39"/>
        <v>1</v>
      </c>
      <c r="Y249" s="1">
        <f>VLOOKUP(D249,'Orden de Imagen'!$A$1:D399,4,FALSE())</f>
        <v>219</v>
      </c>
      <c r="Z249" s="1" t="str">
        <f t="shared" si="40"/>
        <v>219_26_02_18_DME9-PA12-IIFF8</v>
      </c>
    </row>
    <row r="250" spans="1:26" ht="15" customHeight="1" x14ac:dyDescent="0.25">
      <c r="A250" s="1">
        <v>262</v>
      </c>
      <c r="B250" s="1" t="s">
        <v>565</v>
      </c>
      <c r="C250" s="1" t="str">
        <f t="shared" si="33"/>
        <v>CL_MLP_PAO_IF_Ortho_26_02_18_TORRES_E48_A_E84_PV4.tif</v>
      </c>
      <c r="D250" s="1" t="str">
        <f t="shared" si="41"/>
        <v>CL_MLP_PAO_IF_Ortho_26_02_18_TORRES_E48_A_E84_PV4</v>
      </c>
      <c r="E250" s="1" t="s">
        <v>566</v>
      </c>
      <c r="F250" s="1" t="s">
        <v>460</v>
      </c>
      <c r="G250" s="1" t="s">
        <v>29</v>
      </c>
      <c r="H250" s="16">
        <v>46071</v>
      </c>
      <c r="I250" s="16">
        <v>46100</v>
      </c>
      <c r="J250" s="1" t="s">
        <v>30</v>
      </c>
      <c r="K250" s="2" t="str">
        <f t="shared" si="34"/>
        <v>https://sig.aminerals.cl/imgdyn/rest/services/CL_MLP_PAO/CL_MLP_PAO_IF_Ortho_Geosupport/ImageServer/file?id=.\El_Mauro_Drone\26_02_18\CL_MLP_PAO_IF_Ortho_26_02_18_TORRES_E48_A_E84_PV4.tif&amp;rasterId=</v>
      </c>
      <c r="L250" s="1" t="s">
        <v>31</v>
      </c>
      <c r="M250" s="1" t="s">
        <v>32</v>
      </c>
      <c r="N250" s="1" t="s">
        <v>33</v>
      </c>
      <c r="O250" s="1" t="s">
        <v>34</v>
      </c>
      <c r="P250" s="3" t="str">
        <f t="shared" si="35"/>
        <v>18</v>
      </c>
      <c r="Q250" s="3" t="str">
        <f t="shared" si="36"/>
        <v>02</v>
      </c>
      <c r="R250" s="3" t="str">
        <f t="shared" si="37"/>
        <v>26</v>
      </c>
      <c r="S250" s="1" t="s">
        <v>87</v>
      </c>
      <c r="U250" s="1" t="s">
        <v>461</v>
      </c>
      <c r="V250" s="1" t="str">
        <f t="shared" si="38"/>
        <v>TORRES_E48_A_E84_PV4</v>
      </c>
      <c r="W250" s="1" t="str">
        <f t="shared" si="42"/>
        <v>TORRES_E48_A_E84_PV4</v>
      </c>
      <c r="X250" s="4" t="b">
        <f t="shared" si="39"/>
        <v>1</v>
      </c>
      <c r="Y250" s="1">
        <f>VLOOKUP(D250,'Orden de Imagen'!$A$1:D404,4,FALSE())</f>
        <v>220</v>
      </c>
      <c r="Z250" s="1" t="str">
        <f t="shared" si="40"/>
        <v>220_26_02_18_TORRES_E48_A_E84_PV4</v>
      </c>
    </row>
    <row r="251" spans="1:26" x14ac:dyDescent="0.25">
      <c r="A251" s="1">
        <v>253</v>
      </c>
      <c r="B251" s="1" t="s">
        <v>567</v>
      </c>
      <c r="C251" s="1" t="str">
        <f t="shared" si="33"/>
        <v>CL_MLP_PAO_IF_Ortho_26_02_19_ED1_IIFF7_DME8.tif</v>
      </c>
      <c r="D251" s="1" t="str">
        <f t="shared" si="41"/>
        <v>CL_MLP_PAO_IF_Ortho_26_02_19_ED1_IIFF7_DME8</v>
      </c>
      <c r="E251" s="1" t="s">
        <v>185</v>
      </c>
      <c r="F251" s="1" t="s">
        <v>460</v>
      </c>
      <c r="G251" s="1" t="s">
        <v>29</v>
      </c>
      <c r="H251" s="16">
        <v>46072</v>
      </c>
      <c r="I251" s="16">
        <v>46100</v>
      </c>
      <c r="J251" s="1" t="s">
        <v>30</v>
      </c>
      <c r="K251" s="2" t="str">
        <f t="shared" si="34"/>
        <v>https://sig.aminerals.cl/imgdyn/rest/services/CL_MLP_PAO/CL_MLP_PAO_IF_Ortho_Geosupport/ImageServer/file?id=.\Chacay_El_Mauro_Drone\26_02_19\CL_MLP_PAO_IF_Ortho_26_02_19_ED1_IIFF7_DME8.tif&amp;rasterId=</v>
      </c>
      <c r="L251" s="1" t="s">
        <v>31</v>
      </c>
      <c r="M251" s="1" t="s">
        <v>32</v>
      </c>
      <c r="N251" s="1" t="s">
        <v>33</v>
      </c>
      <c r="O251" s="1" t="s">
        <v>34</v>
      </c>
      <c r="P251" s="3" t="str">
        <f t="shared" si="35"/>
        <v>19</v>
      </c>
      <c r="Q251" s="3" t="str">
        <f t="shared" si="36"/>
        <v>02</v>
      </c>
      <c r="R251" s="3" t="str">
        <f t="shared" si="37"/>
        <v>26</v>
      </c>
      <c r="S251" s="1" t="s">
        <v>40</v>
      </c>
      <c r="U251" s="1" t="s">
        <v>461</v>
      </c>
      <c r="V251" s="1" t="str">
        <f t="shared" si="38"/>
        <v>ED1_IIFF7_DME8</v>
      </c>
      <c r="W251" s="1" t="s">
        <v>185</v>
      </c>
      <c r="X251" s="4" t="b">
        <f t="shared" si="39"/>
        <v>1</v>
      </c>
      <c r="Y251" s="1">
        <f>VLOOKUP(D251,'Orden de Imagen'!$A$1:D395,4,FALSE())</f>
        <v>221</v>
      </c>
      <c r="Z251" s="1" t="str">
        <f t="shared" si="40"/>
        <v>221_26_02_19_ED1_IIFF7_DME8</v>
      </c>
    </row>
    <row r="252" spans="1:26" x14ac:dyDescent="0.25">
      <c r="A252" s="1">
        <v>264</v>
      </c>
      <c r="B252" s="1" t="s">
        <v>568</v>
      </c>
      <c r="C252" s="1" t="str">
        <f t="shared" si="33"/>
        <v>CL_MLP_PAO_IF_Ortho_26_02_19_MonteAranda-NSTC-Km-84p2-a-82p3.tif</v>
      </c>
      <c r="D252" s="1" t="str">
        <f t="shared" si="41"/>
        <v>CL_MLP_PAO_IF_Ortho_26_02_19_MonteAranda-NSTC-Km-84p2-a-82p3</v>
      </c>
      <c r="E252" s="1" t="s">
        <v>488</v>
      </c>
      <c r="F252" s="1" t="s">
        <v>460</v>
      </c>
      <c r="G252" s="1" t="s">
        <v>29</v>
      </c>
      <c r="H252" s="16">
        <v>46072</v>
      </c>
      <c r="I252" s="16">
        <v>46100</v>
      </c>
      <c r="J252" s="1" t="s">
        <v>30</v>
      </c>
      <c r="K252" s="2" t="str">
        <f t="shared" si="34"/>
        <v>https://sig.aminerals.cl/imgdyn/rest/services/CL_MLP_PAO/CL_MLP_PAO_IF_Ortho_Geosupport/ImageServer/file?id=.\El_Mauro_Puerto_Punta_Chungo_Drone\26_02_19\CL_MLP_PAO_IF_Ortho_26_02_19_MonteAranda-NSTC-Km-84p2-a-82p3.tif&amp;rasterId=</v>
      </c>
      <c r="L252" s="1" t="s">
        <v>31</v>
      </c>
      <c r="M252" s="1" t="s">
        <v>32</v>
      </c>
      <c r="N252" s="1" t="s">
        <v>33</v>
      </c>
      <c r="O252" s="1" t="s">
        <v>34</v>
      </c>
      <c r="P252" s="3" t="str">
        <f t="shared" si="35"/>
        <v>19</v>
      </c>
      <c r="Q252" s="3" t="str">
        <f t="shared" si="36"/>
        <v>02</v>
      </c>
      <c r="R252" s="3" t="str">
        <f t="shared" si="37"/>
        <v>26</v>
      </c>
      <c r="S252" s="1" t="s">
        <v>50</v>
      </c>
      <c r="U252" s="1" t="s">
        <v>461</v>
      </c>
      <c r="V252" s="1" t="str">
        <f t="shared" si="38"/>
        <v>MonteAranda-NSTC-Km-84p2-a-82p3</v>
      </c>
      <c r="W252" s="1" t="str">
        <f t="shared" ref="W252:W283" si="43">E252</f>
        <v>MonteAranda-NSTC-Km-84p2-a-82p3</v>
      </c>
      <c r="X252" s="4" t="b">
        <f t="shared" si="39"/>
        <v>1</v>
      </c>
      <c r="Y252" s="1">
        <f>VLOOKUP(D252,'Orden de Imagen'!$A$1:D406,4,FALSE())</f>
        <v>222</v>
      </c>
      <c r="Z252" s="1" t="str">
        <f t="shared" si="40"/>
        <v>222_26_02_19_MonteAranda-NSTC-Km-84p2-a-82p3</v>
      </c>
    </row>
    <row r="253" spans="1:26" x14ac:dyDescent="0.25">
      <c r="A253" s="1">
        <v>265</v>
      </c>
      <c r="B253" s="1" t="s">
        <v>569</v>
      </c>
      <c r="C253" s="1" t="str">
        <f t="shared" si="33"/>
        <v>CL_MLP_PAO_IF_Ortho_26_02_19_TORRES_E12_-_E30_PV4.tif</v>
      </c>
      <c r="D253" s="1" t="str">
        <f t="shared" si="41"/>
        <v>CL_MLP_PAO_IF_Ortho_26_02_19_TORRES_E12_-_E30_PV4</v>
      </c>
      <c r="E253" s="1" t="s">
        <v>476</v>
      </c>
      <c r="F253" s="1" t="s">
        <v>460</v>
      </c>
      <c r="G253" s="1" t="s">
        <v>29</v>
      </c>
      <c r="H253" s="16">
        <v>46072</v>
      </c>
      <c r="I253" s="16">
        <v>46100</v>
      </c>
      <c r="J253" s="1" t="s">
        <v>30</v>
      </c>
      <c r="K253" s="2" t="str">
        <f t="shared" si="34"/>
        <v>https://sig.aminerals.cl/imgdyn/rest/services/CL_MLP_PAO/CL_MLP_PAO_IF_Ortho_Geosupport/ImageServer/file?id=.\El_Mauro_Drone\26_02_19\CL_MLP_PAO_IF_Ortho_26_02_19_TORRES_E12_-_E30_PV4.tif&amp;rasterId=</v>
      </c>
      <c r="L253" s="1" t="s">
        <v>31</v>
      </c>
      <c r="M253" s="1" t="s">
        <v>32</v>
      </c>
      <c r="N253" s="1" t="s">
        <v>33</v>
      </c>
      <c r="O253" s="1" t="s">
        <v>34</v>
      </c>
      <c r="P253" s="3" t="str">
        <f t="shared" si="35"/>
        <v>19</v>
      </c>
      <c r="Q253" s="3" t="str">
        <f t="shared" si="36"/>
        <v>02</v>
      </c>
      <c r="R253" s="3" t="str">
        <f t="shared" si="37"/>
        <v>26</v>
      </c>
      <c r="S253" s="1" t="s">
        <v>87</v>
      </c>
      <c r="U253" s="1" t="s">
        <v>461</v>
      </c>
      <c r="V253" s="1" t="str">
        <f t="shared" si="38"/>
        <v>TORRES_E12_-_E30_PV4</v>
      </c>
      <c r="W253" s="1" t="str">
        <f t="shared" si="43"/>
        <v>TORRES_E12_-_E30_PV4</v>
      </c>
      <c r="X253" s="4" t="b">
        <f t="shared" si="39"/>
        <v>1</v>
      </c>
      <c r="Y253" s="1">
        <f>VLOOKUP(D253,'Orden de Imagen'!$A$1:D407,4,FALSE())</f>
        <v>223</v>
      </c>
      <c r="Z253" s="1" t="str">
        <f t="shared" si="40"/>
        <v>223_26_02_19_TORRES_E12_-_E30_PV4</v>
      </c>
    </row>
    <row r="254" spans="1:26" x14ac:dyDescent="0.25">
      <c r="A254" s="1">
        <v>255</v>
      </c>
      <c r="B254" s="1" t="s">
        <v>570</v>
      </c>
      <c r="C254" s="1" t="str">
        <f t="shared" si="33"/>
        <v>CL_MLP_PAO_IF_Ortho_26_02_20_EM1.tif</v>
      </c>
      <c r="D254" s="1" t="str">
        <f t="shared" si="41"/>
        <v>CL_MLP_PAO_IF_Ortho_26_02_20_EM1</v>
      </c>
      <c r="E254" s="1" t="s">
        <v>375</v>
      </c>
      <c r="F254" s="1" t="s">
        <v>460</v>
      </c>
      <c r="G254" s="1" t="s">
        <v>29</v>
      </c>
      <c r="H254" s="16">
        <v>46073</v>
      </c>
      <c r="I254" s="16">
        <v>46100</v>
      </c>
      <c r="J254" s="1" t="s">
        <v>30</v>
      </c>
      <c r="K254" s="2" t="str">
        <f t="shared" si="34"/>
        <v>https://sig.aminerals.cl/imgdyn/rest/services/CL_MLP_PAO/CL_MLP_PAO_IF_Ortho_Geosupport/ImageServer/file?id=.\Chacay_Drone\26_02_20\CL_MLP_PAO_IF_Ortho_26_02_20_EM1.tif&amp;rasterId=</v>
      </c>
      <c r="L254" s="1" t="s">
        <v>31</v>
      </c>
      <c r="M254" s="1" t="s">
        <v>32</v>
      </c>
      <c r="N254" s="1" t="s">
        <v>33</v>
      </c>
      <c r="O254" s="1" t="s">
        <v>34</v>
      </c>
      <c r="P254" s="3" t="str">
        <f t="shared" si="35"/>
        <v>20</v>
      </c>
      <c r="Q254" s="3" t="str">
        <f t="shared" si="36"/>
        <v>02</v>
      </c>
      <c r="R254" s="3" t="str">
        <f t="shared" si="37"/>
        <v>26</v>
      </c>
      <c r="S254" s="1" t="s">
        <v>56</v>
      </c>
      <c r="U254" s="1" t="s">
        <v>461</v>
      </c>
      <c r="V254" s="1" t="str">
        <f t="shared" si="38"/>
        <v>EM1</v>
      </c>
      <c r="W254" s="1" t="str">
        <f t="shared" si="43"/>
        <v>EM1</v>
      </c>
      <c r="X254" s="4" t="b">
        <f t="shared" si="39"/>
        <v>1</v>
      </c>
      <c r="Y254" s="1">
        <f>VLOOKUP(D254,'Orden de Imagen'!$A$1:D397,4,FALSE())</f>
        <v>224</v>
      </c>
      <c r="Z254" s="1" t="str">
        <f t="shared" si="40"/>
        <v>224_26_02_20_EM1</v>
      </c>
    </row>
    <row r="255" spans="1:26" x14ac:dyDescent="0.25">
      <c r="A255" s="1">
        <v>272</v>
      </c>
      <c r="B255" s="1" t="s">
        <v>571</v>
      </c>
      <c r="C255" s="1" t="str">
        <f t="shared" ref="C255:C318" si="44">CONCATENATE(L255,"_",M255,"_",G255,"_",N255,"_",O255,"_",R255,"_",Q255,"_",P255,"_",E255,".tif")</f>
        <v>CL_MLP_PAO_IF_Ortho_26_02_20_EM4.tif</v>
      </c>
      <c r="D255" s="1" t="str">
        <f t="shared" si="41"/>
        <v>CL_MLP_PAO_IF_Ortho_26_02_20_EM4</v>
      </c>
      <c r="E255" s="1" t="s">
        <v>540</v>
      </c>
      <c r="F255" s="1" t="s">
        <v>460</v>
      </c>
      <c r="G255" s="1" t="s">
        <v>29</v>
      </c>
      <c r="H255" s="16">
        <v>46073</v>
      </c>
      <c r="I255" s="16">
        <v>46100</v>
      </c>
      <c r="J255" s="1" t="s">
        <v>30</v>
      </c>
      <c r="K255" s="2" t="str">
        <f t="shared" si="34"/>
        <v>https://sig.aminerals.cl/imgdyn/rest/services/CL_MLP_PAO/CL_MLP_PAO_IF_Ortho_Geosupport/ImageServer/file?id=.\El_Mauro_Drone\26_02_20\CL_MLP_PAO_IF_Ortho_26_02_20_EM4.tif&amp;rasterId=</v>
      </c>
      <c r="L255" s="1" t="s">
        <v>31</v>
      </c>
      <c r="M255" s="1" t="s">
        <v>32</v>
      </c>
      <c r="N255" s="1" t="s">
        <v>33</v>
      </c>
      <c r="O255" s="1" t="s">
        <v>34</v>
      </c>
      <c r="P255" s="3" t="str">
        <f t="shared" si="35"/>
        <v>20</v>
      </c>
      <c r="Q255" s="3" t="str">
        <f t="shared" si="36"/>
        <v>02</v>
      </c>
      <c r="R255" s="3" t="str">
        <f t="shared" si="37"/>
        <v>26</v>
      </c>
      <c r="S255" s="1" t="s">
        <v>87</v>
      </c>
      <c r="U255" s="1" t="s">
        <v>461</v>
      </c>
      <c r="V255" s="1" t="str">
        <f t="shared" si="38"/>
        <v>EM4</v>
      </c>
      <c r="W255" s="1" t="str">
        <f t="shared" si="43"/>
        <v>EM4</v>
      </c>
      <c r="X255" s="4" t="b">
        <f t="shared" si="39"/>
        <v>1</v>
      </c>
      <c r="Y255" s="1">
        <f>VLOOKUP(D255,'Orden de Imagen'!$A$1:D414,4,FALSE())</f>
        <v>225</v>
      </c>
      <c r="Z255" s="1" t="str">
        <f t="shared" si="40"/>
        <v>225_26_02_20_EM4</v>
      </c>
    </row>
    <row r="256" spans="1:26" x14ac:dyDescent="0.25">
      <c r="A256" s="1">
        <v>266</v>
      </c>
      <c r="B256" s="1" t="s">
        <v>572</v>
      </c>
      <c r="C256" s="1" t="str">
        <f t="shared" si="44"/>
        <v>CL_MLP_PAO_IF_Ortho_26_02_20_EM4_PR2.tif</v>
      </c>
      <c r="D256" s="1" t="str">
        <f t="shared" si="41"/>
        <v>CL_MLP_PAO_IF_Ortho_26_02_20_EM4_PR2</v>
      </c>
      <c r="E256" s="1" t="s">
        <v>542</v>
      </c>
      <c r="F256" s="1" t="s">
        <v>460</v>
      </c>
      <c r="G256" s="1" t="s">
        <v>29</v>
      </c>
      <c r="H256" s="16">
        <v>46073</v>
      </c>
      <c r="I256" s="16">
        <v>46100</v>
      </c>
      <c r="J256" s="1" t="s">
        <v>30</v>
      </c>
      <c r="K256" s="2" t="str">
        <f t="shared" si="34"/>
        <v>https://sig.aminerals.cl/imgdyn/rest/services/CL_MLP_PAO/CL_MLP_PAO_IF_Ortho_Geosupport/ImageServer/file?id=.\El_Mauro_Drone\26_02_20\CL_MLP_PAO_IF_Ortho_26_02_20_EM4_PR2.tif&amp;rasterId=</v>
      </c>
      <c r="L256" s="1" t="s">
        <v>31</v>
      </c>
      <c r="M256" s="1" t="s">
        <v>32</v>
      </c>
      <c r="N256" s="1" t="s">
        <v>33</v>
      </c>
      <c r="O256" s="1" t="s">
        <v>34</v>
      </c>
      <c r="P256" s="3" t="str">
        <f t="shared" si="35"/>
        <v>20</v>
      </c>
      <c r="Q256" s="3" t="str">
        <f t="shared" si="36"/>
        <v>02</v>
      </c>
      <c r="R256" s="3" t="str">
        <f t="shared" si="37"/>
        <v>26</v>
      </c>
      <c r="S256" s="1" t="s">
        <v>87</v>
      </c>
      <c r="U256" s="1" t="s">
        <v>461</v>
      </c>
      <c r="V256" s="1" t="str">
        <f t="shared" si="38"/>
        <v>EM4_PR2</v>
      </c>
      <c r="W256" s="1" t="str">
        <f t="shared" si="43"/>
        <v>EM4_PR2</v>
      </c>
      <c r="X256" s="4" t="b">
        <f t="shared" si="39"/>
        <v>1</v>
      </c>
      <c r="Y256" s="1">
        <f>VLOOKUP(D256,'Orden de Imagen'!$A$1:D408,4,FALSE())</f>
        <v>226</v>
      </c>
      <c r="Z256" s="1" t="str">
        <f t="shared" si="40"/>
        <v>226_26_02_20_EM4_PR2</v>
      </c>
    </row>
    <row r="257" spans="1:26" x14ac:dyDescent="0.25">
      <c r="A257" s="1">
        <v>260</v>
      </c>
      <c r="B257" s="1" t="s">
        <v>573</v>
      </c>
      <c r="C257" s="1" t="str">
        <f t="shared" si="44"/>
        <v>CL_MLP_PAO_IF_Ortho_26_02_20_EV2.tif</v>
      </c>
      <c r="D257" s="1" t="str">
        <f t="shared" si="41"/>
        <v>CL_MLP_PAO_IF_Ortho_26_02_20_EV2</v>
      </c>
      <c r="E257" s="1" t="s">
        <v>74</v>
      </c>
      <c r="F257" s="1" t="s">
        <v>460</v>
      </c>
      <c r="G257" s="1" t="s">
        <v>29</v>
      </c>
      <c r="H257" s="16">
        <v>46073</v>
      </c>
      <c r="I257" s="16">
        <v>46100</v>
      </c>
      <c r="J257" s="1" t="s">
        <v>30</v>
      </c>
      <c r="K257" s="2" t="str">
        <f t="shared" si="34"/>
        <v>https://sig.aminerals.cl/imgdyn/rest/services/CL_MLP_PAO/CL_MLP_PAO_IF_Ortho_Geosupport/ImageServer/file?id=.\El_Mauro_Puerto_Punta_Chungo_Drone\26_02_20\CL_MLP_PAO_IF_Ortho_26_02_20_EV2.tif&amp;rasterId=</v>
      </c>
      <c r="L257" s="1" t="s">
        <v>31</v>
      </c>
      <c r="M257" s="1" t="s">
        <v>32</v>
      </c>
      <c r="N257" s="1" t="s">
        <v>33</v>
      </c>
      <c r="O257" s="1" t="s">
        <v>34</v>
      </c>
      <c r="P257" s="3" t="str">
        <f t="shared" si="35"/>
        <v>20</v>
      </c>
      <c r="Q257" s="3" t="str">
        <f t="shared" si="36"/>
        <v>02</v>
      </c>
      <c r="R257" s="3" t="str">
        <f t="shared" si="37"/>
        <v>26</v>
      </c>
      <c r="S257" s="1" t="s">
        <v>50</v>
      </c>
      <c r="U257" s="1" t="s">
        <v>461</v>
      </c>
      <c r="V257" s="1" t="str">
        <f t="shared" si="38"/>
        <v>EV2</v>
      </c>
      <c r="W257" s="1" t="str">
        <f t="shared" si="43"/>
        <v>EV2</v>
      </c>
      <c r="X257" s="4" t="b">
        <f t="shared" si="39"/>
        <v>1</v>
      </c>
      <c r="Y257" s="1">
        <f>VLOOKUP(D257,'Orden de Imagen'!$A$1:D402,4,FALSE())</f>
        <v>227</v>
      </c>
      <c r="Z257" s="1" t="str">
        <f t="shared" si="40"/>
        <v>227_26_02_20_EV2</v>
      </c>
    </row>
    <row r="258" spans="1:26" x14ac:dyDescent="0.25">
      <c r="A258" s="1">
        <v>248</v>
      </c>
      <c r="B258" s="1" t="s">
        <v>574</v>
      </c>
      <c r="C258" s="1" t="str">
        <f t="shared" si="44"/>
        <v>CL_MLP_PAO_IF_Ortho_26_02_20_Plataforma_Integrada_El_Mauro.tif</v>
      </c>
      <c r="D258" s="1" t="str">
        <f t="shared" si="41"/>
        <v>CL_MLP_PAO_IF_Ortho_26_02_20_Plataforma_Integrada_El_Mauro</v>
      </c>
      <c r="E258" s="1" t="s">
        <v>459</v>
      </c>
      <c r="F258" s="1" t="s">
        <v>460</v>
      </c>
      <c r="G258" s="1" t="s">
        <v>29</v>
      </c>
      <c r="H258" s="16">
        <v>46073</v>
      </c>
      <c r="I258" s="16">
        <v>46091</v>
      </c>
      <c r="J258" s="1" t="s">
        <v>30</v>
      </c>
      <c r="K258" s="2" t="str">
        <f t="shared" ref="K258:K292" si="45">CONCATENATE("https://sig.aminerals.cl/imgdyn/rest/services/CL_MLP_PAO/",U258,"/","ImageServer/file?id=.\",S258,"\",R258,"_",Q258,"_",P258,"\",C258,"&amp;rasterId=")</f>
        <v>https://sig.aminerals.cl/imgdyn/rest/services/CL_MLP_PAO/CL_MLP_PAO_IF_Ortho_Geosupport/ImageServer/file?id=.\El_Mauro_Drone\26_02_20\CL_MLP_PAO_IF_Ortho_26_02_20_Plataforma_Integrada_El_Mauro.tif&amp;rasterId=</v>
      </c>
      <c r="L258" s="1" t="s">
        <v>31</v>
      </c>
      <c r="M258" s="1" t="s">
        <v>32</v>
      </c>
      <c r="N258" s="1" t="s">
        <v>33</v>
      </c>
      <c r="O258" s="1" t="s">
        <v>34</v>
      </c>
      <c r="P258" s="3" t="str">
        <f t="shared" ref="P258:P321" si="46">TEXT(H258,"dd")</f>
        <v>20</v>
      </c>
      <c r="Q258" s="3" t="str">
        <f t="shared" ref="Q258:Q321" si="47">TEXT(H258,"MM")</f>
        <v>02</v>
      </c>
      <c r="R258" s="3" t="str">
        <f t="shared" ref="R258:R321" si="48">TEXT(H258,"YY")</f>
        <v>26</v>
      </c>
      <c r="S258" s="1" t="s">
        <v>87</v>
      </c>
      <c r="T258" s="1">
        <v>1</v>
      </c>
      <c r="U258" s="1" t="s">
        <v>461</v>
      </c>
      <c r="V258" s="1" t="str">
        <f t="shared" ref="V258:V321" si="49">RIGHT(D258,LEN(D258)-29)</f>
        <v>Plataforma_Integrada_El_Mauro</v>
      </c>
      <c r="W258" s="1" t="str">
        <f t="shared" si="43"/>
        <v>Plataforma_Integrada_El_Mauro</v>
      </c>
      <c r="X258" s="4" t="b">
        <f t="shared" ref="X258:X321" si="50">V258=W258</f>
        <v>1</v>
      </c>
      <c r="Y258" s="1">
        <f>VLOOKUP(D258,'Orden de Imagen'!$A$1:D390,4,FALSE())</f>
        <v>228</v>
      </c>
      <c r="Z258" s="1" t="str">
        <f t="shared" ref="Z258:Z321" si="51">CONCATENATE(Y258,"_",R258,"_",Q258,"_",P258,"_",E258)</f>
        <v>228_26_02_20_Plataforma_Integrada_El_Mauro</v>
      </c>
    </row>
    <row r="259" spans="1:26" x14ac:dyDescent="0.25">
      <c r="A259" s="1">
        <v>263</v>
      </c>
      <c r="B259" s="1" t="s">
        <v>575</v>
      </c>
      <c r="C259" s="1" t="str">
        <f t="shared" si="44"/>
        <v>CL_MLP_PAO_IF_Ortho_26_02_20_TORRES_E84_A_E127.tif</v>
      </c>
      <c r="D259" s="1" t="str">
        <f t="shared" si="41"/>
        <v>CL_MLP_PAO_IF_Ortho_26_02_20_TORRES_E84_A_E127</v>
      </c>
      <c r="E259" s="1" t="s">
        <v>576</v>
      </c>
      <c r="F259" s="1" t="s">
        <v>460</v>
      </c>
      <c r="G259" s="1" t="s">
        <v>29</v>
      </c>
      <c r="H259" s="16">
        <v>46073</v>
      </c>
      <c r="I259" s="16">
        <v>46100</v>
      </c>
      <c r="J259" s="1" t="s">
        <v>30</v>
      </c>
      <c r="K259" s="2" t="str">
        <f t="shared" si="45"/>
        <v>https://sig.aminerals.cl/imgdyn/rest/services/CL_MLP_PAO/CL_MLP_PAO_IF_Ortho_Geosupport/ImageServer/file?id=.\El_Mauro_Puerto_Punta_Chungo_Drone\26_02_20\CL_MLP_PAO_IF_Ortho_26_02_20_TORRES_E84_A_E127.tif&amp;rasterId=</v>
      </c>
      <c r="L259" s="1" t="s">
        <v>31</v>
      </c>
      <c r="M259" s="1" t="s">
        <v>32</v>
      </c>
      <c r="N259" s="1" t="s">
        <v>33</v>
      </c>
      <c r="O259" s="1" t="s">
        <v>34</v>
      </c>
      <c r="P259" s="3" t="str">
        <f t="shared" si="46"/>
        <v>20</v>
      </c>
      <c r="Q259" s="3" t="str">
        <f t="shared" si="47"/>
        <v>02</v>
      </c>
      <c r="R259" s="3" t="str">
        <f t="shared" si="48"/>
        <v>26</v>
      </c>
      <c r="S259" s="1" t="s">
        <v>50</v>
      </c>
      <c r="U259" s="1" t="s">
        <v>461</v>
      </c>
      <c r="V259" s="1" t="str">
        <f t="shared" si="49"/>
        <v>TORRES_E84_A_E127</v>
      </c>
      <c r="W259" s="1" t="str">
        <f t="shared" si="43"/>
        <v>TORRES_E84_A_E127</v>
      </c>
      <c r="X259" s="4" t="b">
        <f t="shared" si="50"/>
        <v>1</v>
      </c>
      <c r="Y259" s="1">
        <f>VLOOKUP(D259,'Orden de Imagen'!$A$1:D405,4,FALSE())</f>
        <v>229</v>
      </c>
      <c r="Z259" s="1" t="str">
        <f t="shared" si="51"/>
        <v>229_26_02_20_TORRES_E84_A_E127</v>
      </c>
    </row>
    <row r="260" spans="1:26" x14ac:dyDescent="0.25">
      <c r="A260" s="1">
        <v>254</v>
      </c>
      <c r="B260" s="1" t="s">
        <v>577</v>
      </c>
      <c r="C260" s="1" t="str">
        <f t="shared" si="44"/>
        <v>CL_MLP_PAO_IF_Ortho_26_02_21_ED2.tif</v>
      </c>
      <c r="D260" s="1" t="str">
        <f t="shared" si="41"/>
        <v>CL_MLP_PAO_IF_Ortho_26_02_21_ED2</v>
      </c>
      <c r="E260" s="1" t="s">
        <v>468</v>
      </c>
      <c r="F260" s="1" t="s">
        <v>460</v>
      </c>
      <c r="G260" s="1" t="s">
        <v>29</v>
      </c>
      <c r="H260" s="16">
        <v>46074</v>
      </c>
      <c r="I260" s="16">
        <v>46100</v>
      </c>
      <c r="J260" s="1" t="s">
        <v>30</v>
      </c>
      <c r="K260" s="2" t="str">
        <f t="shared" si="45"/>
        <v>https://sig.aminerals.cl/imgdyn/rest/services/CL_MLP_PAO/CL_MLP_PAO_IF_Ortho_Geosupport/ImageServer/file?id=.\Chacay_El_Mauro_Drone\26_02_21\CL_MLP_PAO_IF_Ortho_26_02_21_ED2.tif&amp;rasterId=</v>
      </c>
      <c r="L260" s="1" t="s">
        <v>31</v>
      </c>
      <c r="M260" s="1" t="s">
        <v>32</v>
      </c>
      <c r="N260" s="1" t="s">
        <v>33</v>
      </c>
      <c r="O260" s="1" t="s">
        <v>34</v>
      </c>
      <c r="P260" s="3" t="str">
        <f t="shared" si="46"/>
        <v>21</v>
      </c>
      <c r="Q260" s="3" t="str">
        <f t="shared" si="47"/>
        <v>02</v>
      </c>
      <c r="R260" s="3" t="str">
        <f t="shared" si="48"/>
        <v>26</v>
      </c>
      <c r="S260" s="1" t="s">
        <v>40</v>
      </c>
      <c r="U260" s="1" t="s">
        <v>461</v>
      </c>
      <c r="V260" s="1" t="str">
        <f t="shared" si="49"/>
        <v>ED2</v>
      </c>
      <c r="W260" s="1" t="str">
        <f t="shared" si="43"/>
        <v>ED2</v>
      </c>
      <c r="X260" s="4" t="b">
        <f t="shared" si="50"/>
        <v>1</v>
      </c>
      <c r="Y260" s="1">
        <f>VLOOKUP(D260,'Orden de Imagen'!$A$1:D396,4,FALSE())</f>
        <v>230</v>
      </c>
      <c r="Z260" s="1" t="str">
        <f t="shared" si="51"/>
        <v>230_26_02_21_ED2</v>
      </c>
    </row>
    <row r="261" spans="1:26" x14ac:dyDescent="0.25">
      <c r="A261" s="1">
        <v>261</v>
      </c>
      <c r="B261" s="1" t="s">
        <v>578</v>
      </c>
      <c r="C261" s="1" t="str">
        <f t="shared" si="44"/>
        <v>CL_MLP_PAO_IF_Ortho_26_02_21_EV1.tif</v>
      </c>
      <c r="D261" s="1" t="str">
        <f t="shared" si="41"/>
        <v>CL_MLP_PAO_IF_Ortho_26_02_21_EV1</v>
      </c>
      <c r="E261" s="1" t="s">
        <v>258</v>
      </c>
      <c r="F261" s="1" t="s">
        <v>460</v>
      </c>
      <c r="G261" s="1" t="s">
        <v>29</v>
      </c>
      <c r="H261" s="16">
        <v>46074</v>
      </c>
      <c r="I261" s="16">
        <v>46100</v>
      </c>
      <c r="J261" s="1" t="s">
        <v>30</v>
      </c>
      <c r="K261" s="2" t="str">
        <f t="shared" si="45"/>
        <v>https://sig.aminerals.cl/imgdyn/rest/services/CL_MLP_PAO/CL_MLP_PAO_IF_Ortho_Geosupport/ImageServer/file?id=.\Chacay_El_Mauro_Drone\26_02_21\CL_MLP_PAO_IF_Ortho_26_02_21_EV1.tif&amp;rasterId=</v>
      </c>
      <c r="L261" s="1" t="s">
        <v>31</v>
      </c>
      <c r="M261" s="1" t="s">
        <v>32</v>
      </c>
      <c r="N261" s="1" t="s">
        <v>33</v>
      </c>
      <c r="O261" s="1" t="s">
        <v>34</v>
      </c>
      <c r="P261" s="3" t="str">
        <f t="shared" si="46"/>
        <v>21</v>
      </c>
      <c r="Q261" s="3" t="str">
        <f t="shared" si="47"/>
        <v>02</v>
      </c>
      <c r="R261" s="3" t="str">
        <f t="shared" si="48"/>
        <v>26</v>
      </c>
      <c r="S261" s="1" t="s">
        <v>40</v>
      </c>
      <c r="U261" s="1" t="s">
        <v>461</v>
      </c>
      <c r="V261" s="1" t="str">
        <f t="shared" si="49"/>
        <v>EV1</v>
      </c>
      <c r="W261" s="1" t="str">
        <f t="shared" si="43"/>
        <v>EV1</v>
      </c>
      <c r="X261" s="4" t="b">
        <f t="shared" si="50"/>
        <v>1</v>
      </c>
      <c r="Y261" s="1">
        <f>VLOOKUP(D261,'Orden de Imagen'!$A$1:D403,4,FALSE())</f>
        <v>231</v>
      </c>
      <c r="Z261" s="1" t="str">
        <f t="shared" si="51"/>
        <v>231_26_02_21_EV1</v>
      </c>
    </row>
    <row r="262" spans="1:26" x14ac:dyDescent="0.25">
      <c r="A262" s="1">
        <v>258</v>
      </c>
      <c r="B262" s="1" t="s">
        <v>579</v>
      </c>
      <c r="C262" s="1" t="str">
        <f t="shared" si="44"/>
        <v>CL_MLP_PAO_IF_Ortho_26_02_21_IIFF9-PA13.tif</v>
      </c>
      <c r="D262" s="1" t="str">
        <f t="shared" si="41"/>
        <v>CL_MLP_PAO_IF_Ortho_26_02_21_IIFF9-PA13</v>
      </c>
      <c r="E262" s="1" t="s">
        <v>508</v>
      </c>
      <c r="F262" s="1" t="s">
        <v>460</v>
      </c>
      <c r="G262" s="1" t="s">
        <v>29</v>
      </c>
      <c r="H262" s="16">
        <v>46074</v>
      </c>
      <c r="I262" s="16">
        <v>46100</v>
      </c>
      <c r="J262" s="1" t="s">
        <v>30</v>
      </c>
      <c r="K262" s="2" t="str">
        <f t="shared" si="45"/>
        <v>https://sig.aminerals.cl/imgdyn/rest/services/CL_MLP_PAO/CL_MLP_PAO_IF_Ortho_Geosupport/ImageServer/file?id=.\Chacay_El_Mauro_Drone\26_02_21\CL_MLP_PAO_IF_Ortho_26_02_21_IIFF9-PA13.tif&amp;rasterId=</v>
      </c>
      <c r="L262" s="1" t="s">
        <v>31</v>
      </c>
      <c r="M262" s="1" t="s">
        <v>32</v>
      </c>
      <c r="N262" s="1" t="s">
        <v>33</v>
      </c>
      <c r="O262" s="1" t="s">
        <v>34</v>
      </c>
      <c r="P262" s="3" t="str">
        <f t="shared" si="46"/>
        <v>21</v>
      </c>
      <c r="Q262" s="3" t="str">
        <f t="shared" si="47"/>
        <v>02</v>
      </c>
      <c r="R262" s="3" t="str">
        <f t="shared" si="48"/>
        <v>26</v>
      </c>
      <c r="S262" s="1" t="s">
        <v>40</v>
      </c>
      <c r="U262" s="1" t="s">
        <v>461</v>
      </c>
      <c r="V262" s="1" t="str">
        <f t="shared" si="49"/>
        <v>IIFF9-PA13</v>
      </c>
      <c r="W262" s="1" t="str">
        <f t="shared" si="43"/>
        <v>IIFF9-PA13</v>
      </c>
      <c r="X262" s="4" t="b">
        <f t="shared" si="50"/>
        <v>1</v>
      </c>
      <c r="Y262" s="1">
        <f>VLOOKUP(D262,'Orden de Imagen'!$A$1:D400,4,FALSE())</f>
        <v>232</v>
      </c>
      <c r="Z262" s="1" t="str">
        <f t="shared" si="51"/>
        <v>232_26_02_21_IIFF9-PA13</v>
      </c>
    </row>
    <row r="263" spans="1:26" x14ac:dyDescent="0.25">
      <c r="A263" s="1">
        <v>267</v>
      </c>
      <c r="B263" s="1" t="s">
        <v>580</v>
      </c>
      <c r="C263" s="1" t="str">
        <f t="shared" si="44"/>
        <v>CL_MLP_PAO_IF_Ortho_26_02_21_Patio-19B-y-Armado.tif</v>
      </c>
      <c r="D263" s="1" t="str">
        <f t="shared" si="41"/>
        <v>CL_MLP_PAO_IF_Ortho_26_02_21_Patio-19B-y-Armado</v>
      </c>
      <c r="E263" s="1" t="s">
        <v>472</v>
      </c>
      <c r="F263" s="1" t="s">
        <v>460</v>
      </c>
      <c r="G263" s="1" t="s">
        <v>29</v>
      </c>
      <c r="H263" s="16">
        <v>46074</v>
      </c>
      <c r="I263" s="16">
        <v>46100</v>
      </c>
      <c r="J263" s="1" t="s">
        <v>30</v>
      </c>
      <c r="K263" s="2" t="str">
        <f t="shared" si="45"/>
        <v>https://sig.aminerals.cl/imgdyn/rest/services/CL_MLP_PAO/CL_MLP_PAO_IF_Ortho_Geosupport/ImageServer/file?id=.\El_Mauro_Drone\26_02_21\CL_MLP_PAO_IF_Ortho_26_02_21_Patio-19B-y-Armado.tif&amp;rasterId=</v>
      </c>
      <c r="L263" s="1" t="s">
        <v>31</v>
      </c>
      <c r="M263" s="1" t="s">
        <v>32</v>
      </c>
      <c r="N263" s="1" t="s">
        <v>33</v>
      </c>
      <c r="O263" s="1" t="s">
        <v>34</v>
      </c>
      <c r="P263" s="3" t="str">
        <f t="shared" si="46"/>
        <v>21</v>
      </c>
      <c r="Q263" s="3" t="str">
        <f t="shared" si="47"/>
        <v>02</v>
      </c>
      <c r="R263" s="3" t="str">
        <f t="shared" si="48"/>
        <v>26</v>
      </c>
      <c r="S263" s="1" t="s">
        <v>87</v>
      </c>
      <c r="U263" s="1" t="s">
        <v>461</v>
      </c>
      <c r="V263" s="1" t="str">
        <f t="shared" si="49"/>
        <v>Patio-19B-y-Armado</v>
      </c>
      <c r="W263" s="1" t="str">
        <f t="shared" si="43"/>
        <v>Patio-19B-y-Armado</v>
      </c>
      <c r="X263" s="4" t="b">
        <f t="shared" si="50"/>
        <v>1</v>
      </c>
      <c r="Y263" s="1">
        <f>VLOOKUP(D263,'Orden de Imagen'!$A$1:D409,4,FALSE())</f>
        <v>233</v>
      </c>
      <c r="Z263" s="1" t="str">
        <f t="shared" si="51"/>
        <v>233_26_02_21_Patio-19B-y-Armado</v>
      </c>
    </row>
    <row r="264" spans="1:26" x14ac:dyDescent="0.25">
      <c r="A264" s="1">
        <v>268</v>
      </c>
      <c r="B264" s="1" t="s">
        <v>581</v>
      </c>
      <c r="C264" s="1" t="str">
        <f t="shared" si="44"/>
        <v>CL_MLP_PAO_IF_Ortho_26_02_21_Subestacion-El-Mauro.tif</v>
      </c>
      <c r="D264" s="1" t="str">
        <f t="shared" si="41"/>
        <v>CL_MLP_PAO_IF_Ortho_26_02_21_Subestacion-El-Mauro</v>
      </c>
      <c r="E264" s="1" t="s">
        <v>90</v>
      </c>
      <c r="F264" s="1" t="s">
        <v>460</v>
      </c>
      <c r="G264" s="1" t="s">
        <v>29</v>
      </c>
      <c r="H264" s="16">
        <v>46074</v>
      </c>
      <c r="I264" s="16">
        <v>46100</v>
      </c>
      <c r="J264" s="1" t="s">
        <v>30</v>
      </c>
      <c r="K264" s="2" t="str">
        <f t="shared" si="45"/>
        <v>https://sig.aminerals.cl/imgdyn/rest/services/CL_MLP_PAO/CL_MLP_PAO_IF_Ortho_Geosupport/ImageServer/file?id=.\El_Mauro_Drone\26_02_21\CL_MLP_PAO_IF_Ortho_26_02_21_Subestacion-El-Mauro.tif&amp;rasterId=</v>
      </c>
      <c r="L264" s="1" t="s">
        <v>31</v>
      </c>
      <c r="M264" s="1" t="s">
        <v>32</v>
      </c>
      <c r="N264" s="1" t="s">
        <v>33</v>
      </c>
      <c r="O264" s="1" t="s">
        <v>34</v>
      </c>
      <c r="P264" s="3" t="str">
        <f t="shared" si="46"/>
        <v>21</v>
      </c>
      <c r="Q264" s="3" t="str">
        <f t="shared" si="47"/>
        <v>02</v>
      </c>
      <c r="R264" s="3" t="str">
        <f t="shared" si="48"/>
        <v>26</v>
      </c>
      <c r="S264" s="1" t="s">
        <v>87</v>
      </c>
      <c r="U264" s="1" t="s">
        <v>461</v>
      </c>
      <c r="V264" s="1" t="str">
        <f t="shared" si="49"/>
        <v>Subestacion-El-Mauro</v>
      </c>
      <c r="W264" s="1" t="str">
        <f t="shared" si="43"/>
        <v>Subestacion-El-Mauro</v>
      </c>
      <c r="X264" s="4" t="b">
        <f t="shared" si="50"/>
        <v>1</v>
      </c>
      <c r="Y264" s="1">
        <f>VLOOKUP(D264,'Orden de Imagen'!$A$1:D410,4,FALSE())</f>
        <v>234</v>
      </c>
      <c r="Z264" s="1" t="str">
        <f t="shared" si="51"/>
        <v>234_26_02_21_Subestacion-El-Mauro</v>
      </c>
    </row>
    <row r="265" spans="1:26" s="8" customFormat="1" x14ac:dyDescent="0.25">
      <c r="A265" s="1">
        <v>269</v>
      </c>
      <c r="B265" s="1" t="s">
        <v>582</v>
      </c>
      <c r="C265" s="1" t="str">
        <f t="shared" si="44"/>
        <v>CL_MLP_PAO_IF_Ortho_26_02_22_TORRES_E31_A_E48_PV4.tif</v>
      </c>
      <c r="D265" s="1" t="str">
        <f t="shared" si="41"/>
        <v>CL_MLP_PAO_IF_Ortho_26_02_22_TORRES_E31_A_E48_PV4</v>
      </c>
      <c r="E265" s="1" t="s">
        <v>478</v>
      </c>
      <c r="F265" s="1" t="s">
        <v>460</v>
      </c>
      <c r="G265" s="1" t="s">
        <v>29</v>
      </c>
      <c r="H265" s="16">
        <v>46075</v>
      </c>
      <c r="I265" s="16">
        <v>46100</v>
      </c>
      <c r="J265" s="1" t="s">
        <v>30</v>
      </c>
      <c r="K265" s="2" t="str">
        <f t="shared" si="45"/>
        <v>https://sig.aminerals.cl/imgdyn/rest/services/CL_MLP_PAO/CL_MLP_PAO_IF_Ortho_Geosupport/ImageServer/file?id=.\El_Mauro_Drone\26_02_22\CL_MLP_PAO_IF_Ortho_26_02_22_TORRES_E31_A_E48_PV4.tif&amp;rasterId=</v>
      </c>
      <c r="L265" s="1" t="s">
        <v>31</v>
      </c>
      <c r="M265" s="1" t="s">
        <v>32</v>
      </c>
      <c r="N265" s="1" t="s">
        <v>33</v>
      </c>
      <c r="O265" s="1" t="s">
        <v>34</v>
      </c>
      <c r="P265" s="3" t="str">
        <f t="shared" si="46"/>
        <v>22</v>
      </c>
      <c r="Q265" s="3" t="str">
        <f t="shared" si="47"/>
        <v>02</v>
      </c>
      <c r="R265" s="3" t="str">
        <f t="shared" si="48"/>
        <v>26</v>
      </c>
      <c r="S265" s="1" t="s">
        <v>87</v>
      </c>
      <c r="T265" s="1"/>
      <c r="U265" s="1" t="s">
        <v>461</v>
      </c>
      <c r="V265" s="1" t="str">
        <f t="shared" si="49"/>
        <v>TORRES_E31_A_E48_PV4</v>
      </c>
      <c r="W265" s="1" t="str">
        <f t="shared" si="43"/>
        <v>TORRES_E31_A_E48_PV4</v>
      </c>
      <c r="X265" s="4" t="b">
        <f t="shared" si="50"/>
        <v>1</v>
      </c>
      <c r="Y265" s="1">
        <f>VLOOKUP(D265,'Orden de Imagen'!$A$1:D411,4,FALSE())</f>
        <v>235</v>
      </c>
      <c r="Z265" s="1" t="str">
        <f t="shared" si="51"/>
        <v>235_26_02_22_TORRES_E31_A_E48_PV4</v>
      </c>
    </row>
    <row r="266" spans="1:26" s="8" customFormat="1" x14ac:dyDescent="0.25">
      <c r="A266" s="1">
        <v>283</v>
      </c>
      <c r="B266" s="1" t="s">
        <v>583</v>
      </c>
      <c r="C266" s="1" t="str">
        <f t="shared" si="44"/>
        <v>CL_MLP_PAO_IF_Ortho_26_02_24_Linea-33-kV-NorteElMauro-Area3.tif</v>
      </c>
      <c r="D266" s="1" t="str">
        <f t="shared" si="41"/>
        <v>CL_MLP_PAO_IF_Ortho_26_02_24_Linea-33-kV-NorteElMauro-Area3</v>
      </c>
      <c r="E266" s="1" t="s">
        <v>480</v>
      </c>
      <c r="F266" s="1" t="s">
        <v>460</v>
      </c>
      <c r="G266" s="1" t="s">
        <v>29</v>
      </c>
      <c r="H266" s="16">
        <v>46077</v>
      </c>
      <c r="I266" s="16">
        <v>46100</v>
      </c>
      <c r="J266" s="1" t="s">
        <v>30</v>
      </c>
      <c r="K266" s="2" t="str">
        <f t="shared" si="45"/>
        <v>https://sig.aminerals.cl/imgdyn/rest/services/CL_MLP_PAO/CL_MLP_PAO_IF_Ortho_Geosupport/ImageServer/file?id=.\El_Mauro_Drone\26_02_24\CL_MLP_PAO_IF_Ortho_26_02_24_Linea-33-kV-NorteElMauro-Area3.tif&amp;rasterId=</v>
      </c>
      <c r="L266" s="1" t="s">
        <v>31</v>
      </c>
      <c r="M266" s="1" t="s">
        <v>32</v>
      </c>
      <c r="N266" s="1" t="s">
        <v>33</v>
      </c>
      <c r="O266" s="1" t="s">
        <v>34</v>
      </c>
      <c r="P266" s="3" t="str">
        <f t="shared" si="46"/>
        <v>24</v>
      </c>
      <c r="Q266" s="3" t="str">
        <f t="shared" si="47"/>
        <v>02</v>
      </c>
      <c r="R266" s="3" t="str">
        <f t="shared" si="48"/>
        <v>26</v>
      </c>
      <c r="S266" s="1" t="s">
        <v>87</v>
      </c>
      <c r="T266" s="1"/>
      <c r="U266" s="1" t="s">
        <v>461</v>
      </c>
      <c r="V266" s="1" t="str">
        <f t="shared" si="49"/>
        <v>Linea-33-kV-NorteElMauro-Area3</v>
      </c>
      <c r="W266" s="1" t="str">
        <f t="shared" si="43"/>
        <v>Linea-33-kV-NorteElMauro-Area3</v>
      </c>
      <c r="X266" s="4" t="b">
        <f t="shared" si="50"/>
        <v>1</v>
      </c>
      <c r="Y266" s="1">
        <f>VLOOKUP(D266,'Orden de Imagen'!$A$1:D425,4,FALSE())</f>
        <v>236</v>
      </c>
      <c r="Z266" s="1" t="str">
        <f t="shared" si="51"/>
        <v>236_26_02_24_Linea-33-kV-NorteElMauro-Area3</v>
      </c>
    </row>
    <row r="267" spans="1:26" s="8" customFormat="1" x14ac:dyDescent="0.25">
      <c r="A267" s="1">
        <v>273</v>
      </c>
      <c r="B267" s="1" t="s">
        <v>584</v>
      </c>
      <c r="C267" s="1" t="str">
        <f t="shared" si="44"/>
        <v>CL_MLP_PAO_IF_Ortho_26_02_25_EM4.tif</v>
      </c>
      <c r="D267" s="1" t="str">
        <f t="shared" si="41"/>
        <v>CL_MLP_PAO_IF_Ortho_26_02_25_EM4</v>
      </c>
      <c r="E267" s="1" t="s">
        <v>540</v>
      </c>
      <c r="F267" s="1" t="s">
        <v>460</v>
      </c>
      <c r="G267" s="1" t="s">
        <v>29</v>
      </c>
      <c r="H267" s="16">
        <v>46078</v>
      </c>
      <c r="I267" s="16">
        <v>46100</v>
      </c>
      <c r="J267" s="1" t="s">
        <v>30</v>
      </c>
      <c r="K267" s="2" t="str">
        <f t="shared" si="45"/>
        <v>https://sig.aminerals.cl/imgdyn/rest/services/CL_MLP_PAO/CL_MLP_PAO_IF_Ortho_Geosupport/ImageServer/file?id=.\El_Mauro_Drone\26_02_25\CL_MLP_PAO_IF_Ortho_26_02_25_EM4.tif&amp;rasterId=</v>
      </c>
      <c r="L267" s="1" t="s">
        <v>31</v>
      </c>
      <c r="M267" s="1" t="s">
        <v>32</v>
      </c>
      <c r="N267" s="1" t="s">
        <v>33</v>
      </c>
      <c r="O267" s="1" t="s">
        <v>34</v>
      </c>
      <c r="P267" s="3" t="str">
        <f t="shared" si="46"/>
        <v>25</v>
      </c>
      <c r="Q267" s="3" t="str">
        <f t="shared" si="47"/>
        <v>02</v>
      </c>
      <c r="R267" s="3" t="str">
        <f t="shared" si="48"/>
        <v>26</v>
      </c>
      <c r="S267" s="1" t="s">
        <v>87</v>
      </c>
      <c r="T267" s="1"/>
      <c r="U267" s="1" t="s">
        <v>461</v>
      </c>
      <c r="V267" s="1" t="str">
        <f t="shared" si="49"/>
        <v>EM4</v>
      </c>
      <c r="W267" s="1" t="str">
        <f t="shared" si="43"/>
        <v>EM4</v>
      </c>
      <c r="X267" s="4" t="b">
        <f t="shared" si="50"/>
        <v>1</v>
      </c>
      <c r="Y267" s="1">
        <f>VLOOKUP(D267,'Orden de Imagen'!$A$1:D415,4,FALSE())</f>
        <v>237</v>
      </c>
      <c r="Z267" s="1" t="str">
        <f t="shared" si="51"/>
        <v>237_26_02_25_EM4</v>
      </c>
    </row>
    <row r="268" spans="1:26" x14ac:dyDescent="0.25">
      <c r="A268" s="1">
        <v>284</v>
      </c>
      <c r="B268" s="1" t="s">
        <v>585</v>
      </c>
      <c r="C268" s="1" t="str">
        <f t="shared" si="44"/>
        <v>CL_MLP_PAO_IF_Ortho_26_02_25_EV1.tif</v>
      </c>
      <c r="D268" s="1" t="str">
        <f t="shared" si="41"/>
        <v>CL_MLP_PAO_IF_Ortho_26_02_25_EV1</v>
      </c>
      <c r="E268" s="1" t="s">
        <v>258</v>
      </c>
      <c r="F268" s="1" t="s">
        <v>460</v>
      </c>
      <c r="G268" s="1" t="s">
        <v>29</v>
      </c>
      <c r="H268" s="16">
        <v>46078</v>
      </c>
      <c r="I268" s="16">
        <v>46100</v>
      </c>
      <c r="J268" s="1" t="s">
        <v>30</v>
      </c>
      <c r="K268" s="2" t="str">
        <f t="shared" si="45"/>
        <v>https://sig.aminerals.cl/imgdyn/rest/services/CL_MLP_PAO/CL_MLP_PAO_IF_Ortho_Geosupport/ImageServer/file?id=.\Chacay_El_Mauro_Drone\26_02_25\CL_MLP_PAO_IF_Ortho_26_02_25_EV1.tif&amp;rasterId=</v>
      </c>
      <c r="L268" s="1" t="s">
        <v>31</v>
      </c>
      <c r="M268" s="1" t="s">
        <v>32</v>
      </c>
      <c r="N268" s="1" t="s">
        <v>33</v>
      </c>
      <c r="O268" s="1" t="s">
        <v>34</v>
      </c>
      <c r="P268" s="3" t="str">
        <f t="shared" si="46"/>
        <v>25</v>
      </c>
      <c r="Q268" s="3" t="str">
        <f t="shared" si="47"/>
        <v>02</v>
      </c>
      <c r="R268" s="3" t="str">
        <f t="shared" si="48"/>
        <v>26</v>
      </c>
      <c r="S268" s="1" t="s">
        <v>40</v>
      </c>
      <c r="U268" s="1" t="s">
        <v>461</v>
      </c>
      <c r="V268" s="1" t="str">
        <f t="shared" si="49"/>
        <v>EV1</v>
      </c>
      <c r="W268" s="1" t="str">
        <f t="shared" si="43"/>
        <v>EV1</v>
      </c>
      <c r="X268" s="4" t="b">
        <f t="shared" si="50"/>
        <v>1</v>
      </c>
      <c r="Y268" s="1">
        <f>VLOOKUP(D268,'Orden de Imagen'!$A$1:D426,4,FALSE())</f>
        <v>238</v>
      </c>
      <c r="Z268" s="1" t="str">
        <f t="shared" si="51"/>
        <v>238_26_02_25_EV1</v>
      </c>
    </row>
    <row r="269" spans="1:26" x14ac:dyDescent="0.25">
      <c r="A269" s="1">
        <v>276</v>
      </c>
      <c r="B269" s="1" t="s">
        <v>586</v>
      </c>
      <c r="C269" s="1" t="str">
        <f t="shared" si="44"/>
        <v>CL_MLP_PAO_IF_Ortho_26_02_25_MonteAranda-NSTC-Km-84p2-a-82p3.tif</v>
      </c>
      <c r="D269" s="1" t="str">
        <f t="shared" si="41"/>
        <v>CL_MLP_PAO_IF_Ortho_26_02_25_MonteAranda-NSTC-Km-84p2-a-82p3</v>
      </c>
      <c r="E269" s="1" t="s">
        <v>488</v>
      </c>
      <c r="F269" s="1" t="s">
        <v>460</v>
      </c>
      <c r="G269" s="1" t="s">
        <v>29</v>
      </c>
      <c r="H269" s="16">
        <v>46078</v>
      </c>
      <c r="I269" s="16">
        <v>46100</v>
      </c>
      <c r="J269" s="1" t="s">
        <v>30</v>
      </c>
      <c r="K269" s="2" t="str">
        <f t="shared" si="45"/>
        <v>https://sig.aminerals.cl/imgdyn/rest/services/CL_MLP_PAO/CL_MLP_PAO_IF_Ortho_Geosupport/ImageServer/file?id=.\El_Mauro_Puerto_Punta_Chungo_Drone\26_02_25\CL_MLP_PAO_IF_Ortho_26_02_25_MonteAranda-NSTC-Km-84p2-a-82p3.tif&amp;rasterId=</v>
      </c>
      <c r="L269" s="1" t="s">
        <v>31</v>
      </c>
      <c r="M269" s="1" t="s">
        <v>32</v>
      </c>
      <c r="N269" s="1" t="s">
        <v>33</v>
      </c>
      <c r="O269" s="1" t="s">
        <v>34</v>
      </c>
      <c r="P269" s="3" t="str">
        <f t="shared" si="46"/>
        <v>25</v>
      </c>
      <c r="Q269" s="3" t="str">
        <f t="shared" si="47"/>
        <v>02</v>
      </c>
      <c r="R269" s="3" t="str">
        <f t="shared" si="48"/>
        <v>26</v>
      </c>
      <c r="S269" s="1" t="s">
        <v>50</v>
      </c>
      <c r="U269" s="1" t="s">
        <v>461</v>
      </c>
      <c r="V269" s="1" t="str">
        <f t="shared" si="49"/>
        <v>MonteAranda-NSTC-Km-84p2-a-82p3</v>
      </c>
      <c r="W269" s="1" t="str">
        <f t="shared" si="43"/>
        <v>MonteAranda-NSTC-Km-84p2-a-82p3</v>
      </c>
      <c r="X269" s="4" t="b">
        <f t="shared" si="50"/>
        <v>1</v>
      </c>
      <c r="Y269" s="1">
        <f>VLOOKUP(D269,'Orden de Imagen'!$A$1:D418,4,FALSE())</f>
        <v>239</v>
      </c>
      <c r="Z269" s="1" t="str">
        <f t="shared" si="51"/>
        <v>239_26_02_25_MonteAranda-NSTC-Km-84p2-a-82p3</v>
      </c>
    </row>
    <row r="270" spans="1:26" x14ac:dyDescent="0.25">
      <c r="A270" s="1">
        <v>270</v>
      </c>
      <c r="B270" s="1" t="s">
        <v>587</v>
      </c>
      <c r="C270" s="1" t="str">
        <f t="shared" si="44"/>
        <v>CL_MLP_PAO_IF_Ortho_26_02_26_EB3.tif</v>
      </c>
      <c r="D270" s="1" t="str">
        <f t="shared" si="41"/>
        <v>CL_MLP_PAO_IF_Ortho_26_02_26_EB3</v>
      </c>
      <c r="E270" s="1" t="s">
        <v>588</v>
      </c>
      <c r="F270" s="1" t="s">
        <v>460</v>
      </c>
      <c r="G270" s="1" t="s">
        <v>29</v>
      </c>
      <c r="H270" s="16">
        <v>46079</v>
      </c>
      <c r="I270" s="16">
        <v>46100</v>
      </c>
      <c r="J270" s="1" t="s">
        <v>30</v>
      </c>
      <c r="K270" s="2" t="str">
        <f t="shared" si="45"/>
        <v>https://sig.aminerals.cl/imgdyn/rest/services/CL_MLP_PAO/CL_MLP_PAO_IF_Ortho_Geosupport/ImageServer/file?id=.\El_Mauro_Drone\26_02_26\CL_MLP_PAO_IF_Ortho_26_02_26_EB3.tif&amp;rasterId=</v>
      </c>
      <c r="L270" s="1" t="s">
        <v>31</v>
      </c>
      <c r="M270" s="1" t="s">
        <v>32</v>
      </c>
      <c r="N270" s="1" t="s">
        <v>33</v>
      </c>
      <c r="O270" s="1" t="s">
        <v>34</v>
      </c>
      <c r="P270" s="3" t="str">
        <f t="shared" si="46"/>
        <v>26</v>
      </c>
      <c r="Q270" s="3" t="str">
        <f t="shared" si="47"/>
        <v>02</v>
      </c>
      <c r="R270" s="3" t="str">
        <f t="shared" si="48"/>
        <v>26</v>
      </c>
      <c r="S270" s="1" t="s">
        <v>87</v>
      </c>
      <c r="U270" s="1" t="s">
        <v>461</v>
      </c>
      <c r="V270" s="1" t="str">
        <f t="shared" si="49"/>
        <v>EB3</v>
      </c>
      <c r="W270" s="1" t="str">
        <f t="shared" si="43"/>
        <v>EB3</v>
      </c>
      <c r="X270" s="4" t="b">
        <f t="shared" si="50"/>
        <v>1</v>
      </c>
      <c r="Y270" s="1">
        <f>VLOOKUP(D270,'Orden de Imagen'!$A$1:D412,4,FALSE())</f>
        <v>240</v>
      </c>
      <c r="Z270" s="1" t="str">
        <f t="shared" si="51"/>
        <v>240_26_02_26_EB3</v>
      </c>
    </row>
    <row r="271" spans="1:26" s="8" customFormat="1" x14ac:dyDescent="0.25">
      <c r="A271" s="1">
        <v>256</v>
      </c>
      <c r="B271" s="1" t="s">
        <v>589</v>
      </c>
      <c r="C271" s="1" t="str">
        <f t="shared" si="44"/>
        <v>CL_MLP_PAO_IF_Ortho_26_02_26_EM2.tif</v>
      </c>
      <c r="D271" s="1" t="str">
        <f t="shared" ref="D271:D334" si="52">CONCATENATE(L271,"_",M271,"_",G271,"_",N271,"_",O271,"_",R271,"_",Q271,"_",P271,"_",E271)</f>
        <v>CL_MLP_PAO_IF_Ortho_26_02_26_EM2</v>
      </c>
      <c r="E271" s="1" t="s">
        <v>590</v>
      </c>
      <c r="F271" s="1" t="s">
        <v>460</v>
      </c>
      <c r="G271" s="1" t="s">
        <v>29</v>
      </c>
      <c r="H271" s="16">
        <v>46079</v>
      </c>
      <c r="I271" s="16">
        <v>46100</v>
      </c>
      <c r="J271" s="1" t="s">
        <v>30</v>
      </c>
      <c r="K271" s="2" t="str">
        <f t="shared" si="45"/>
        <v>https://sig.aminerals.cl/imgdyn/rest/services/CL_MLP_PAO/CL_MLP_PAO_IF_Ortho_Geosupport/ImageServer/file?id=.\Chacay_Drone\26_02_26\CL_MLP_PAO_IF_Ortho_26_02_26_EM2.tif&amp;rasterId=</v>
      </c>
      <c r="L271" s="1" t="s">
        <v>31</v>
      </c>
      <c r="M271" s="1" t="s">
        <v>32</v>
      </c>
      <c r="N271" s="1" t="s">
        <v>33</v>
      </c>
      <c r="O271" s="1" t="s">
        <v>34</v>
      </c>
      <c r="P271" s="3" t="str">
        <f t="shared" si="46"/>
        <v>26</v>
      </c>
      <c r="Q271" s="3" t="str">
        <f t="shared" si="47"/>
        <v>02</v>
      </c>
      <c r="R271" s="3" t="str">
        <f t="shared" si="48"/>
        <v>26</v>
      </c>
      <c r="S271" s="1" t="s">
        <v>56</v>
      </c>
      <c r="T271" s="1"/>
      <c r="U271" s="1" t="s">
        <v>461</v>
      </c>
      <c r="V271" s="1" t="str">
        <f t="shared" si="49"/>
        <v>EM2</v>
      </c>
      <c r="W271" s="1" t="str">
        <f t="shared" si="43"/>
        <v>EM2</v>
      </c>
      <c r="X271" s="4" t="b">
        <f t="shared" si="50"/>
        <v>1</v>
      </c>
      <c r="Y271" s="1">
        <f>VLOOKUP(D271,'Orden de Imagen'!$A$1:D398,4,FALSE())</f>
        <v>241</v>
      </c>
      <c r="Z271" s="1" t="str">
        <f t="shared" si="51"/>
        <v>241_26_02_26_EM2</v>
      </c>
    </row>
    <row r="272" spans="1:26" x14ac:dyDescent="0.25">
      <c r="A272" s="1">
        <v>252</v>
      </c>
      <c r="B272" s="1" t="s">
        <v>591</v>
      </c>
      <c r="C272" s="1" t="str">
        <f t="shared" si="44"/>
        <v>CL_MLP_PAO_IF_Ortho_26_02_26_EV1.tif</v>
      </c>
      <c r="D272" s="1" t="str">
        <f t="shared" si="52"/>
        <v>CL_MLP_PAO_IF_Ortho_26_02_26_EV1</v>
      </c>
      <c r="E272" s="1" t="s">
        <v>258</v>
      </c>
      <c r="F272" s="1" t="s">
        <v>460</v>
      </c>
      <c r="G272" s="1" t="s">
        <v>29</v>
      </c>
      <c r="H272" s="16">
        <v>46079</v>
      </c>
      <c r="I272" s="16">
        <v>46100</v>
      </c>
      <c r="J272" s="1" t="s">
        <v>30</v>
      </c>
      <c r="K272" s="2" t="str">
        <f t="shared" si="45"/>
        <v>https://sig.aminerals.cl/imgdyn/rest/services/CL_MLP_PAO/CL_MLP_PAO_IF_Ortho_Geosupport/ImageServer/file?id=.\Chacay_El_Mauro_Drone\26_02_26\CL_MLP_PAO_IF_Ortho_26_02_26_EV1.tif&amp;rasterId=</v>
      </c>
      <c r="L272" s="1" t="s">
        <v>31</v>
      </c>
      <c r="M272" s="1" t="s">
        <v>32</v>
      </c>
      <c r="N272" s="1" t="s">
        <v>33</v>
      </c>
      <c r="O272" s="1" t="s">
        <v>34</v>
      </c>
      <c r="P272" s="3" t="str">
        <f t="shared" si="46"/>
        <v>26</v>
      </c>
      <c r="Q272" s="3" t="str">
        <f t="shared" si="47"/>
        <v>02</v>
      </c>
      <c r="R272" s="3" t="str">
        <f t="shared" si="48"/>
        <v>26</v>
      </c>
      <c r="S272" s="1" t="s">
        <v>40</v>
      </c>
      <c r="U272" s="1" t="s">
        <v>461</v>
      </c>
      <c r="V272" s="1" t="str">
        <f t="shared" si="49"/>
        <v>EV1</v>
      </c>
      <c r="W272" s="1" t="str">
        <f t="shared" si="43"/>
        <v>EV1</v>
      </c>
      <c r="X272" s="4" t="b">
        <f t="shared" si="50"/>
        <v>1</v>
      </c>
      <c r="Y272" s="1">
        <f>VLOOKUP(D272,'Orden de Imagen'!$A$1:D394,4,FALSE())</f>
        <v>242</v>
      </c>
      <c r="Z272" s="1" t="str">
        <f t="shared" si="51"/>
        <v>242_26_02_26_EV1</v>
      </c>
    </row>
    <row r="273" spans="1:26" x14ac:dyDescent="0.25">
      <c r="A273" s="1">
        <v>274</v>
      </c>
      <c r="B273" s="1" t="s">
        <v>592</v>
      </c>
      <c r="C273" s="1" t="str">
        <f t="shared" si="44"/>
        <v>CL_MLP_PAO_IF_Ortho_26_02_26_EV2.tif</v>
      </c>
      <c r="D273" s="1" t="str">
        <f t="shared" si="52"/>
        <v>CL_MLP_PAO_IF_Ortho_26_02_26_EV2</v>
      </c>
      <c r="E273" s="1" t="s">
        <v>74</v>
      </c>
      <c r="F273" s="1" t="s">
        <v>460</v>
      </c>
      <c r="G273" s="1" t="s">
        <v>29</v>
      </c>
      <c r="H273" s="16">
        <v>46079</v>
      </c>
      <c r="I273" s="16">
        <v>46100</v>
      </c>
      <c r="J273" s="1" t="s">
        <v>30</v>
      </c>
      <c r="K273" s="2" t="str">
        <f t="shared" si="45"/>
        <v>https://sig.aminerals.cl/imgdyn/rest/services/CL_MLP_PAO/CL_MLP_PAO_IF_Ortho_Geosupport/ImageServer/file?id=.\El_Mauro_Puerto_Punta_Chungo_Drone\26_02_26\CL_MLP_PAO_IF_Ortho_26_02_26_EV2.tif&amp;rasterId=</v>
      </c>
      <c r="L273" s="1" t="s">
        <v>31</v>
      </c>
      <c r="M273" s="1" t="s">
        <v>32</v>
      </c>
      <c r="N273" s="1" t="s">
        <v>33</v>
      </c>
      <c r="O273" s="1" t="s">
        <v>34</v>
      </c>
      <c r="P273" s="3" t="str">
        <f t="shared" si="46"/>
        <v>26</v>
      </c>
      <c r="Q273" s="3" t="str">
        <f t="shared" si="47"/>
        <v>02</v>
      </c>
      <c r="R273" s="3" t="str">
        <f t="shared" si="48"/>
        <v>26</v>
      </c>
      <c r="S273" s="1" t="s">
        <v>50</v>
      </c>
      <c r="U273" s="1" t="s">
        <v>461</v>
      </c>
      <c r="V273" s="1" t="str">
        <f t="shared" si="49"/>
        <v>EV2</v>
      </c>
      <c r="W273" s="1" t="str">
        <f t="shared" si="43"/>
        <v>EV2</v>
      </c>
      <c r="X273" s="4" t="b">
        <f t="shared" si="50"/>
        <v>1</v>
      </c>
      <c r="Y273" s="1">
        <f>VLOOKUP(D273,'Orden de Imagen'!$A$1:D416,4,FALSE())</f>
        <v>243</v>
      </c>
      <c r="Z273" s="1" t="str">
        <f t="shared" si="51"/>
        <v>243_26_02_26_EV2</v>
      </c>
    </row>
    <row r="274" spans="1:26" x14ac:dyDescent="0.25">
      <c r="A274" s="1">
        <v>259</v>
      </c>
      <c r="B274" s="1" t="s">
        <v>593</v>
      </c>
      <c r="C274" s="1" t="str">
        <f t="shared" si="44"/>
        <v>CL_MLP_PAO_IF_Ortho_26_02_26_IIFF9-PA13.tif</v>
      </c>
      <c r="D274" s="1" t="str">
        <f t="shared" si="52"/>
        <v>CL_MLP_PAO_IF_Ortho_26_02_26_IIFF9-PA13</v>
      </c>
      <c r="E274" s="1" t="s">
        <v>508</v>
      </c>
      <c r="F274" s="1" t="s">
        <v>460</v>
      </c>
      <c r="G274" s="1" t="s">
        <v>29</v>
      </c>
      <c r="H274" s="16">
        <v>46079</v>
      </c>
      <c r="I274" s="16">
        <v>46100</v>
      </c>
      <c r="J274" s="1" t="s">
        <v>30</v>
      </c>
      <c r="K274" s="2" t="str">
        <f t="shared" si="45"/>
        <v>https://sig.aminerals.cl/imgdyn/rest/services/CL_MLP_PAO/CL_MLP_PAO_IF_Ortho_Geosupport/ImageServer/file?id=.\Chacay_El_Mauro_Drone\26_02_26\CL_MLP_PAO_IF_Ortho_26_02_26_IIFF9-PA13.tif&amp;rasterId=</v>
      </c>
      <c r="L274" s="1" t="s">
        <v>31</v>
      </c>
      <c r="M274" s="1" t="s">
        <v>32</v>
      </c>
      <c r="N274" s="1" t="s">
        <v>33</v>
      </c>
      <c r="O274" s="1" t="s">
        <v>34</v>
      </c>
      <c r="P274" s="3" t="str">
        <f t="shared" si="46"/>
        <v>26</v>
      </c>
      <c r="Q274" s="3" t="str">
        <f t="shared" si="47"/>
        <v>02</v>
      </c>
      <c r="R274" s="3" t="str">
        <f t="shared" si="48"/>
        <v>26</v>
      </c>
      <c r="S274" s="1" t="s">
        <v>40</v>
      </c>
      <c r="U274" s="1" t="s">
        <v>461</v>
      </c>
      <c r="V274" s="1" t="str">
        <f t="shared" si="49"/>
        <v>IIFF9-PA13</v>
      </c>
      <c r="W274" s="1" t="str">
        <f t="shared" si="43"/>
        <v>IIFF9-PA13</v>
      </c>
      <c r="X274" s="4" t="b">
        <f t="shared" si="50"/>
        <v>1</v>
      </c>
      <c r="Y274" s="1">
        <f>VLOOKUP(D274,'Orden de Imagen'!$A$1:D401,4,FALSE())</f>
        <v>244</v>
      </c>
      <c r="Z274" s="1" t="str">
        <f t="shared" si="51"/>
        <v>244_26_02_26_IIFF9-PA13</v>
      </c>
    </row>
    <row r="275" spans="1:26" x14ac:dyDescent="0.25">
      <c r="A275" s="1">
        <v>275</v>
      </c>
      <c r="B275" s="1" t="s">
        <v>594</v>
      </c>
      <c r="C275" s="1" t="str">
        <f t="shared" si="44"/>
        <v>CL_MLP_PAO_IF_Ortho_26_02_26_Subestacion-El-Mauro.tif</v>
      </c>
      <c r="D275" s="1" t="str">
        <f t="shared" si="52"/>
        <v>CL_MLP_PAO_IF_Ortho_26_02_26_Subestacion-El-Mauro</v>
      </c>
      <c r="E275" s="1" t="s">
        <v>90</v>
      </c>
      <c r="F275" s="1" t="s">
        <v>460</v>
      </c>
      <c r="G275" s="1" t="s">
        <v>29</v>
      </c>
      <c r="H275" s="16">
        <v>46079</v>
      </c>
      <c r="I275" s="16">
        <v>46100</v>
      </c>
      <c r="J275" s="1" t="s">
        <v>30</v>
      </c>
      <c r="K275" s="2" t="str">
        <f t="shared" si="45"/>
        <v>https://sig.aminerals.cl/imgdyn/rest/services/CL_MLP_PAO/CL_MLP_PAO_IF_Ortho_Geosupport/ImageServer/file?id=.\El_Mauro_Drone\26_02_26\CL_MLP_PAO_IF_Ortho_26_02_26_Subestacion-El-Mauro.tif&amp;rasterId=</v>
      </c>
      <c r="L275" s="1" t="s">
        <v>31</v>
      </c>
      <c r="M275" s="1" t="s">
        <v>32</v>
      </c>
      <c r="N275" s="1" t="s">
        <v>33</v>
      </c>
      <c r="O275" s="1" t="s">
        <v>34</v>
      </c>
      <c r="P275" s="3" t="str">
        <f t="shared" si="46"/>
        <v>26</v>
      </c>
      <c r="Q275" s="3" t="str">
        <f t="shared" si="47"/>
        <v>02</v>
      </c>
      <c r="R275" s="3" t="str">
        <f t="shared" si="48"/>
        <v>26</v>
      </c>
      <c r="S275" s="1" t="s">
        <v>87</v>
      </c>
      <c r="U275" s="1" t="s">
        <v>461</v>
      </c>
      <c r="V275" s="1" t="str">
        <f t="shared" si="49"/>
        <v>Subestacion-El-Mauro</v>
      </c>
      <c r="W275" s="1" t="str">
        <f t="shared" si="43"/>
        <v>Subestacion-El-Mauro</v>
      </c>
      <c r="X275" s="4" t="b">
        <f t="shared" si="50"/>
        <v>1</v>
      </c>
      <c r="Y275" s="1">
        <f>VLOOKUP(D275,'Orden de Imagen'!$A$1:D417,4,FALSE())</f>
        <v>245</v>
      </c>
      <c r="Z275" s="1" t="str">
        <f t="shared" si="51"/>
        <v>245_26_02_26_Subestacion-El-Mauro</v>
      </c>
    </row>
    <row r="276" spans="1:26" x14ac:dyDescent="0.25">
      <c r="A276" s="1">
        <v>280</v>
      </c>
      <c r="B276" s="1" t="s">
        <v>595</v>
      </c>
      <c r="C276" s="1" t="str">
        <f t="shared" si="44"/>
        <v>CL_MLP_PAO_IF_Ortho_26_02_26_TORRE_E85_A_E_125.tif</v>
      </c>
      <c r="D276" s="1" t="str">
        <f t="shared" si="52"/>
        <v>CL_MLP_PAO_IF_Ortho_26_02_26_TORRE_E85_A_E_125</v>
      </c>
      <c r="E276" s="1" t="s">
        <v>483</v>
      </c>
      <c r="F276" s="1" t="s">
        <v>460</v>
      </c>
      <c r="G276" s="1" t="s">
        <v>29</v>
      </c>
      <c r="H276" s="16">
        <v>46079</v>
      </c>
      <c r="I276" s="16">
        <v>46100</v>
      </c>
      <c r="J276" s="1" t="s">
        <v>30</v>
      </c>
      <c r="K276" s="2" t="str">
        <f t="shared" si="45"/>
        <v>https://sig.aminerals.cl/imgdyn/rest/services/CL_MLP_PAO/CL_MLP_PAO_IF_Ortho_Geosupport/ImageServer/file?id=.\El_Mauro_Puerto_Punta_Chungo_Drone\26_02_26\CL_MLP_PAO_IF_Ortho_26_02_26_TORRE_E85_A_E_125.tif&amp;rasterId=</v>
      </c>
      <c r="L276" s="1" t="s">
        <v>31</v>
      </c>
      <c r="M276" s="1" t="s">
        <v>32</v>
      </c>
      <c r="N276" s="1" t="s">
        <v>33</v>
      </c>
      <c r="O276" s="1" t="s">
        <v>34</v>
      </c>
      <c r="P276" s="3" t="str">
        <f t="shared" si="46"/>
        <v>26</v>
      </c>
      <c r="Q276" s="3" t="str">
        <f t="shared" si="47"/>
        <v>02</v>
      </c>
      <c r="R276" s="3" t="str">
        <f t="shared" si="48"/>
        <v>26</v>
      </c>
      <c r="S276" s="1" t="s">
        <v>50</v>
      </c>
      <c r="U276" s="1" t="s">
        <v>461</v>
      </c>
      <c r="V276" s="1" t="str">
        <f t="shared" si="49"/>
        <v>TORRE_E85_A_E_125</v>
      </c>
      <c r="W276" s="1" t="str">
        <f t="shared" si="43"/>
        <v>TORRE_E85_A_E_125</v>
      </c>
      <c r="X276" s="4" t="b">
        <f t="shared" si="50"/>
        <v>1</v>
      </c>
      <c r="Y276" s="1">
        <f>VLOOKUP(D276,'Orden de Imagen'!$A$1:D422,4,FALSE())</f>
        <v>246</v>
      </c>
      <c r="Z276" s="1" t="str">
        <f t="shared" si="51"/>
        <v>246_26_02_26_TORRE_E85_A_E_125</v>
      </c>
    </row>
    <row r="277" spans="1:26" x14ac:dyDescent="0.25">
      <c r="A277" s="1">
        <v>249</v>
      </c>
      <c r="B277" s="1" t="s">
        <v>596</v>
      </c>
      <c r="C277" s="1" t="str">
        <f t="shared" si="44"/>
        <v>CL_MLP_PAO_IF_Ortho_26_02_27_Plataforma_Integrada_El_Mauro.tif</v>
      </c>
      <c r="D277" s="1" t="str">
        <f t="shared" si="52"/>
        <v>CL_MLP_PAO_IF_Ortho_26_02_27_Plataforma_Integrada_El_Mauro</v>
      </c>
      <c r="E277" s="1" t="s">
        <v>459</v>
      </c>
      <c r="F277" s="1" t="s">
        <v>460</v>
      </c>
      <c r="G277" s="1" t="s">
        <v>29</v>
      </c>
      <c r="H277" s="16">
        <v>46080</v>
      </c>
      <c r="I277" s="16">
        <v>46091</v>
      </c>
      <c r="J277" s="1" t="s">
        <v>30</v>
      </c>
      <c r="K277" s="2" t="str">
        <f t="shared" si="45"/>
        <v>https://sig.aminerals.cl/imgdyn/rest/services/CL_MLP_PAO/CL_MLP_PAO_IF_Ortho_Geosupport/ImageServer/file?id=.\El_Mauro_Drone\26_02_27\CL_MLP_PAO_IF_Ortho_26_02_27_Plataforma_Integrada_El_Mauro.tif&amp;rasterId=</v>
      </c>
      <c r="L277" s="1" t="s">
        <v>31</v>
      </c>
      <c r="M277" s="1" t="s">
        <v>32</v>
      </c>
      <c r="N277" s="1" t="s">
        <v>33</v>
      </c>
      <c r="O277" s="1" t="s">
        <v>34</v>
      </c>
      <c r="P277" s="3" t="str">
        <f t="shared" si="46"/>
        <v>27</v>
      </c>
      <c r="Q277" s="3" t="str">
        <f t="shared" si="47"/>
        <v>02</v>
      </c>
      <c r="R277" s="3" t="str">
        <f t="shared" si="48"/>
        <v>26</v>
      </c>
      <c r="S277" s="1" t="s">
        <v>87</v>
      </c>
      <c r="T277" s="1">
        <v>1</v>
      </c>
      <c r="U277" s="1" t="s">
        <v>461</v>
      </c>
      <c r="V277" s="1" t="str">
        <f t="shared" si="49"/>
        <v>Plataforma_Integrada_El_Mauro</v>
      </c>
      <c r="W277" s="1" t="str">
        <f t="shared" si="43"/>
        <v>Plataforma_Integrada_El_Mauro</v>
      </c>
      <c r="X277" s="4" t="b">
        <f t="shared" si="50"/>
        <v>1</v>
      </c>
      <c r="Y277" s="1">
        <f>VLOOKUP(D277,'Orden de Imagen'!$A$1:D391,4,FALSE())</f>
        <v>247</v>
      </c>
      <c r="Z277" s="1" t="str">
        <f t="shared" si="51"/>
        <v>247_26_02_27_Plataforma_Integrada_El_Mauro</v>
      </c>
    </row>
    <row r="278" spans="1:26" x14ac:dyDescent="0.25">
      <c r="A278" s="1">
        <v>282</v>
      </c>
      <c r="B278" s="1" t="s">
        <v>597</v>
      </c>
      <c r="C278" s="1" t="str">
        <f t="shared" si="44"/>
        <v>CL_MLP_PAO_IF_Ortho_26_02_28_EM1.tif</v>
      </c>
      <c r="D278" s="1" t="str">
        <f t="shared" si="52"/>
        <v>CL_MLP_PAO_IF_Ortho_26_02_28_EM1</v>
      </c>
      <c r="E278" s="1" t="s">
        <v>375</v>
      </c>
      <c r="F278" s="1" t="s">
        <v>460</v>
      </c>
      <c r="G278" s="1" t="s">
        <v>29</v>
      </c>
      <c r="H278" s="16">
        <v>46081</v>
      </c>
      <c r="I278" s="16">
        <v>46100</v>
      </c>
      <c r="J278" s="1" t="s">
        <v>30</v>
      </c>
      <c r="K278" s="2" t="str">
        <f t="shared" si="45"/>
        <v>https://sig.aminerals.cl/imgdyn/rest/services/CL_MLP_PAO/CL_MLP_PAO_IF_Ortho_Geosupport/ImageServer/file?id=.\Chacay_Drone\26_02_28\CL_MLP_PAO_IF_Ortho_26_02_28_EM1.tif&amp;rasterId=</v>
      </c>
      <c r="L278" s="1" t="s">
        <v>31</v>
      </c>
      <c r="M278" s="1" t="s">
        <v>32</v>
      </c>
      <c r="N278" s="1" t="s">
        <v>33</v>
      </c>
      <c r="O278" s="1" t="s">
        <v>34</v>
      </c>
      <c r="P278" s="3" t="str">
        <f t="shared" si="46"/>
        <v>28</v>
      </c>
      <c r="Q278" s="3" t="str">
        <f t="shared" si="47"/>
        <v>02</v>
      </c>
      <c r="R278" s="3" t="str">
        <f t="shared" si="48"/>
        <v>26</v>
      </c>
      <c r="S278" s="1" t="s">
        <v>56</v>
      </c>
      <c r="U278" s="1" t="s">
        <v>461</v>
      </c>
      <c r="V278" s="1" t="str">
        <f t="shared" si="49"/>
        <v>EM1</v>
      </c>
      <c r="W278" s="1" t="str">
        <f t="shared" si="43"/>
        <v>EM1</v>
      </c>
      <c r="X278" s="4" t="b">
        <f t="shared" si="50"/>
        <v>1</v>
      </c>
      <c r="Y278" s="1">
        <f>VLOOKUP(D278,'Orden de Imagen'!$A$1:D424,4,FALSE())</f>
        <v>248</v>
      </c>
      <c r="Z278" s="1" t="str">
        <f t="shared" si="51"/>
        <v>248_26_02_28_EM1</v>
      </c>
    </row>
    <row r="279" spans="1:26" x14ac:dyDescent="0.25">
      <c r="A279" s="1">
        <v>285</v>
      </c>
      <c r="B279" s="1" t="s">
        <v>598</v>
      </c>
      <c r="C279" s="1" t="str">
        <f t="shared" si="44"/>
        <v>CL_MLP_PAO_IF_Ortho_26_02_28_Patio-19B-y-Armado.tif</v>
      </c>
      <c r="D279" s="1" t="str">
        <f t="shared" si="52"/>
        <v>CL_MLP_PAO_IF_Ortho_26_02_28_Patio-19B-y-Armado</v>
      </c>
      <c r="E279" s="1" t="s">
        <v>472</v>
      </c>
      <c r="F279" s="1" t="s">
        <v>460</v>
      </c>
      <c r="G279" s="1" t="s">
        <v>29</v>
      </c>
      <c r="H279" s="16">
        <v>46081</v>
      </c>
      <c r="I279" s="16">
        <v>46100</v>
      </c>
      <c r="J279" s="1" t="s">
        <v>30</v>
      </c>
      <c r="K279" s="2" t="str">
        <f t="shared" si="45"/>
        <v>https://sig.aminerals.cl/imgdyn/rest/services/CL_MLP_PAO/CL_MLP_PAO_IF_Ortho_Geosupport/ImageServer/file?id=.\El_Mauro_Drone\26_02_28\CL_MLP_PAO_IF_Ortho_26_02_28_Patio-19B-y-Armado.tif&amp;rasterId=</v>
      </c>
      <c r="L279" s="1" t="s">
        <v>31</v>
      </c>
      <c r="M279" s="1" t="s">
        <v>32</v>
      </c>
      <c r="N279" s="1" t="s">
        <v>33</v>
      </c>
      <c r="O279" s="1" t="s">
        <v>34</v>
      </c>
      <c r="P279" s="3" t="str">
        <f t="shared" si="46"/>
        <v>28</v>
      </c>
      <c r="Q279" s="3" t="str">
        <f t="shared" si="47"/>
        <v>02</v>
      </c>
      <c r="R279" s="3" t="str">
        <f t="shared" si="48"/>
        <v>26</v>
      </c>
      <c r="S279" s="1" t="s">
        <v>87</v>
      </c>
      <c r="U279" s="1" t="s">
        <v>461</v>
      </c>
      <c r="V279" s="1" t="str">
        <f t="shared" si="49"/>
        <v>Patio-19B-y-Armado</v>
      </c>
      <c r="W279" s="1" t="str">
        <f t="shared" si="43"/>
        <v>Patio-19B-y-Armado</v>
      </c>
      <c r="X279" s="4" t="b">
        <f t="shared" si="50"/>
        <v>1</v>
      </c>
      <c r="Y279" s="1">
        <f>VLOOKUP(D279,'Orden de Imagen'!$A$1:D427,4,FALSE())</f>
        <v>249</v>
      </c>
      <c r="Z279" s="1" t="str">
        <f t="shared" si="51"/>
        <v>249_26_02_28_Patio-19B-y-Armado</v>
      </c>
    </row>
    <row r="280" spans="1:26" x14ac:dyDescent="0.25">
      <c r="A280" s="1">
        <v>277</v>
      </c>
      <c r="B280" s="1" t="s">
        <v>599</v>
      </c>
      <c r="C280" s="1" t="str">
        <f t="shared" si="44"/>
        <v>CL_MLP_PAO_IF_Ortho_26_02_28_TORRES_E35_A_E48.tif</v>
      </c>
      <c r="D280" s="1" t="str">
        <f t="shared" si="52"/>
        <v>CL_MLP_PAO_IF_Ortho_26_02_28_TORRES_E35_A_E48</v>
      </c>
      <c r="E280" s="1" t="s">
        <v>600</v>
      </c>
      <c r="F280" s="1" t="s">
        <v>460</v>
      </c>
      <c r="G280" s="1" t="s">
        <v>29</v>
      </c>
      <c r="H280" s="16">
        <v>46081</v>
      </c>
      <c r="I280" s="16">
        <v>46100</v>
      </c>
      <c r="J280" s="1" t="s">
        <v>30</v>
      </c>
      <c r="K280" s="2" t="str">
        <f t="shared" si="45"/>
        <v>https://sig.aminerals.cl/imgdyn/rest/services/CL_MLP_PAO/CL_MLP_PAO_IF_Ortho_Geosupport/ImageServer/file?id=.\El_Mauro_Drone\26_02_28\CL_MLP_PAO_IF_Ortho_26_02_28_TORRES_E35_A_E48.tif&amp;rasterId=</v>
      </c>
      <c r="L280" s="1" t="s">
        <v>31</v>
      </c>
      <c r="M280" s="1" t="s">
        <v>32</v>
      </c>
      <c r="N280" s="1" t="s">
        <v>33</v>
      </c>
      <c r="O280" s="1" t="s">
        <v>34</v>
      </c>
      <c r="P280" s="3" t="str">
        <f t="shared" si="46"/>
        <v>28</v>
      </c>
      <c r="Q280" s="3" t="str">
        <f t="shared" si="47"/>
        <v>02</v>
      </c>
      <c r="R280" s="3" t="str">
        <f t="shared" si="48"/>
        <v>26</v>
      </c>
      <c r="S280" s="1" t="s">
        <v>87</v>
      </c>
      <c r="U280" s="1" t="s">
        <v>461</v>
      </c>
      <c r="V280" s="1" t="str">
        <f t="shared" si="49"/>
        <v>TORRES_E35_A_E48</v>
      </c>
      <c r="W280" s="1" t="str">
        <f t="shared" si="43"/>
        <v>TORRES_E35_A_E48</v>
      </c>
      <c r="X280" s="4" t="b">
        <f t="shared" si="50"/>
        <v>1</v>
      </c>
      <c r="Y280" s="1">
        <f>VLOOKUP(D280,'Orden de Imagen'!$A$1:D419,4,FALSE())</f>
        <v>250</v>
      </c>
      <c r="Z280" s="1" t="str">
        <f t="shared" si="51"/>
        <v>250_26_02_28_TORRES_E35_A_E48</v>
      </c>
    </row>
    <row r="281" spans="1:26" s="8" customFormat="1" x14ac:dyDescent="0.25">
      <c r="A281" s="1">
        <v>278</v>
      </c>
      <c r="B281" s="1" t="s">
        <v>601</v>
      </c>
      <c r="C281" s="1" t="str">
        <f t="shared" si="44"/>
        <v>CL_MLP_PAO_IF_Ortho_26_02_28_TORRES_E48_A_E84_PV4.tif</v>
      </c>
      <c r="D281" s="1" t="str">
        <f t="shared" si="52"/>
        <v>CL_MLP_PAO_IF_Ortho_26_02_28_TORRES_E48_A_E84_PV4</v>
      </c>
      <c r="E281" s="1" t="s">
        <v>566</v>
      </c>
      <c r="F281" s="1" t="s">
        <v>460</v>
      </c>
      <c r="G281" s="1" t="s">
        <v>29</v>
      </c>
      <c r="H281" s="16">
        <v>46081</v>
      </c>
      <c r="I281" s="16">
        <v>46100</v>
      </c>
      <c r="J281" s="1" t="s">
        <v>30</v>
      </c>
      <c r="K281" s="2" t="str">
        <f t="shared" si="45"/>
        <v>https://sig.aminerals.cl/imgdyn/rest/services/CL_MLP_PAO/CL_MLP_PAO_IF_Ortho_Geosupport/ImageServer/file?id=.\El_Mauro_Drone\26_02_28\CL_MLP_PAO_IF_Ortho_26_02_28_TORRES_E48_A_E84_PV4.tif&amp;rasterId=</v>
      </c>
      <c r="L281" s="1" t="s">
        <v>31</v>
      </c>
      <c r="M281" s="1" t="s">
        <v>32</v>
      </c>
      <c r="N281" s="1" t="s">
        <v>33</v>
      </c>
      <c r="O281" s="1" t="s">
        <v>34</v>
      </c>
      <c r="P281" s="3" t="str">
        <f t="shared" si="46"/>
        <v>28</v>
      </c>
      <c r="Q281" s="3" t="str">
        <f t="shared" si="47"/>
        <v>02</v>
      </c>
      <c r="R281" s="3" t="str">
        <f t="shared" si="48"/>
        <v>26</v>
      </c>
      <c r="S281" s="1" t="s">
        <v>87</v>
      </c>
      <c r="T281" s="1"/>
      <c r="U281" s="1" t="s">
        <v>461</v>
      </c>
      <c r="V281" s="1" t="str">
        <f t="shared" si="49"/>
        <v>TORRES_E48_A_E84_PV4</v>
      </c>
      <c r="W281" s="1" t="str">
        <f t="shared" si="43"/>
        <v>TORRES_E48_A_E84_PV4</v>
      </c>
      <c r="X281" s="4" t="b">
        <f t="shared" si="50"/>
        <v>1</v>
      </c>
      <c r="Y281" s="1">
        <f>VLOOKUP(D281,'Orden de Imagen'!$A$1:D420,4,FALSE())</f>
        <v>251</v>
      </c>
      <c r="Z281" s="1" t="str">
        <f t="shared" si="51"/>
        <v>251_26_02_28_TORRES_E48_A_E84_PV4</v>
      </c>
    </row>
    <row r="282" spans="1:26" x14ac:dyDescent="0.25">
      <c r="A282" s="1">
        <v>281</v>
      </c>
      <c r="B282" s="1" t="s">
        <v>602</v>
      </c>
      <c r="C282" s="1" t="str">
        <f t="shared" si="44"/>
        <v>CL_MLP_PAO_IF_Ortho_26_03_01_ED1-IIFF7-DME8.tif</v>
      </c>
      <c r="D282" s="1" t="str">
        <f t="shared" si="52"/>
        <v>CL_MLP_PAO_IF_Ortho_26_03_01_ED1-IIFF7-DME8</v>
      </c>
      <c r="E282" s="1" t="s">
        <v>485</v>
      </c>
      <c r="F282" s="1" t="s">
        <v>460</v>
      </c>
      <c r="G282" s="1" t="s">
        <v>29</v>
      </c>
      <c r="H282" s="16">
        <v>46082</v>
      </c>
      <c r="I282" s="16">
        <v>46100</v>
      </c>
      <c r="J282" s="1" t="s">
        <v>30</v>
      </c>
      <c r="K282" s="2" t="str">
        <f t="shared" si="45"/>
        <v>https://sig.aminerals.cl/imgdyn/rest/services/CL_MLP_PAO/CL_MLP_PAO_IF_Ortho_Geosupport/ImageServer/file?id=.\Chacay_El_Mauro_Drone\26_03_01\CL_MLP_PAO_IF_Ortho_26_03_01_ED1-IIFF7-DME8.tif&amp;rasterId=</v>
      </c>
      <c r="L282" s="1" t="s">
        <v>31</v>
      </c>
      <c r="M282" s="1" t="s">
        <v>32</v>
      </c>
      <c r="N282" s="1" t="s">
        <v>33</v>
      </c>
      <c r="O282" s="1" t="s">
        <v>34</v>
      </c>
      <c r="P282" s="3" t="str">
        <f t="shared" si="46"/>
        <v>01</v>
      </c>
      <c r="Q282" s="3" t="str">
        <f t="shared" si="47"/>
        <v>03</v>
      </c>
      <c r="R282" s="3" t="str">
        <f t="shared" si="48"/>
        <v>26</v>
      </c>
      <c r="S282" s="1" t="s">
        <v>40</v>
      </c>
      <c r="U282" s="1" t="s">
        <v>461</v>
      </c>
      <c r="V282" s="1" t="str">
        <f t="shared" si="49"/>
        <v>ED1-IIFF7-DME8</v>
      </c>
      <c r="W282" s="1" t="str">
        <f t="shared" si="43"/>
        <v>ED1-IIFF7-DME8</v>
      </c>
      <c r="X282" s="4" t="b">
        <f t="shared" si="50"/>
        <v>1</v>
      </c>
      <c r="Y282" s="1">
        <f>VLOOKUP(D282,'Orden de Imagen'!$A$1:D423,4,FALSE())</f>
        <v>252</v>
      </c>
      <c r="Z282" s="1" t="str">
        <f t="shared" si="51"/>
        <v>252_26_03_01_ED1-IIFF7-DME8</v>
      </c>
    </row>
    <row r="283" spans="1:26" x14ac:dyDescent="0.25">
      <c r="A283" s="1">
        <v>279</v>
      </c>
      <c r="B283" s="1" t="s">
        <v>603</v>
      </c>
      <c r="C283" s="1" t="str">
        <f t="shared" si="44"/>
        <v>CL_MLP_PAO_IF_Ortho_26_03_01_Subestacion-El-Mauro_A_E35.tif</v>
      </c>
      <c r="D283" s="1" t="str">
        <f t="shared" si="52"/>
        <v>CL_MLP_PAO_IF_Ortho_26_03_01_Subestacion-El-Mauro_A_E35</v>
      </c>
      <c r="E283" s="1" t="s">
        <v>604</v>
      </c>
      <c r="F283" s="1" t="s">
        <v>460</v>
      </c>
      <c r="G283" s="1" t="s">
        <v>29</v>
      </c>
      <c r="H283" s="16">
        <v>46082</v>
      </c>
      <c r="I283" s="16">
        <v>46100</v>
      </c>
      <c r="J283" s="1" t="s">
        <v>30</v>
      </c>
      <c r="K283" s="2" t="str">
        <f t="shared" si="45"/>
        <v>https://sig.aminerals.cl/imgdyn/rest/services/CL_MLP_PAO/CL_MLP_PAO_IF_Ortho_Geosupport/ImageServer/file?id=.\El_Mauro_Drone\26_03_01\CL_MLP_PAO_IF_Ortho_26_03_01_Subestacion-El-Mauro_A_E35.tif&amp;rasterId=</v>
      </c>
      <c r="L283" s="1" t="s">
        <v>31</v>
      </c>
      <c r="M283" s="1" t="s">
        <v>32</v>
      </c>
      <c r="N283" s="1" t="s">
        <v>33</v>
      </c>
      <c r="O283" s="1" t="s">
        <v>34</v>
      </c>
      <c r="P283" s="3" t="str">
        <f t="shared" si="46"/>
        <v>01</v>
      </c>
      <c r="Q283" s="3" t="str">
        <f t="shared" si="47"/>
        <v>03</v>
      </c>
      <c r="R283" s="3" t="str">
        <f t="shared" si="48"/>
        <v>26</v>
      </c>
      <c r="S283" s="1" t="s">
        <v>87</v>
      </c>
      <c r="U283" s="1" t="s">
        <v>461</v>
      </c>
      <c r="V283" s="1" t="str">
        <f t="shared" si="49"/>
        <v>Subestacion-El-Mauro_A_E35</v>
      </c>
      <c r="W283" s="1" t="str">
        <f t="shared" si="43"/>
        <v>Subestacion-El-Mauro_A_E35</v>
      </c>
      <c r="X283" s="4" t="b">
        <f t="shared" si="50"/>
        <v>1</v>
      </c>
      <c r="Y283" s="1">
        <f>VLOOKUP(D283,'Orden de Imagen'!$A$1:D421,4,FALSE())</f>
        <v>253</v>
      </c>
      <c r="Z283" s="1" t="str">
        <f t="shared" si="51"/>
        <v>253_26_03_01_Subestacion-El-Mauro_A_E35</v>
      </c>
    </row>
    <row r="284" spans="1:26" x14ac:dyDescent="0.25">
      <c r="A284" s="1">
        <v>271</v>
      </c>
      <c r="B284" s="1" t="s">
        <v>605</v>
      </c>
      <c r="C284" s="1" t="str">
        <f t="shared" si="44"/>
        <v>CL_MLP_PAO_IF_Ortho_26_03_02_ED2.tif</v>
      </c>
      <c r="D284" s="1" t="str">
        <f t="shared" si="52"/>
        <v>CL_MLP_PAO_IF_Ortho_26_03_02_ED2</v>
      </c>
      <c r="E284" s="1" t="s">
        <v>468</v>
      </c>
      <c r="F284" s="1" t="s">
        <v>460</v>
      </c>
      <c r="G284" s="1" t="s">
        <v>29</v>
      </c>
      <c r="H284" s="16">
        <v>46083</v>
      </c>
      <c r="I284" s="16">
        <v>46100</v>
      </c>
      <c r="J284" s="1" t="s">
        <v>30</v>
      </c>
      <c r="K284" s="2" t="str">
        <f t="shared" si="45"/>
        <v>https://sig.aminerals.cl/imgdyn/rest/services/CL_MLP_PAO/CL_MLP_PAO_IF_Ortho_Geosupport/ImageServer/file?id=.\Chacay_El_Mauro_Drone\26_03_02\CL_MLP_PAO_IF_Ortho_26_03_02_ED2.tif&amp;rasterId=</v>
      </c>
      <c r="L284" s="1" t="s">
        <v>31</v>
      </c>
      <c r="M284" s="1" t="s">
        <v>32</v>
      </c>
      <c r="N284" s="1" t="s">
        <v>33</v>
      </c>
      <c r="O284" s="1" t="s">
        <v>34</v>
      </c>
      <c r="P284" s="3" t="str">
        <f t="shared" si="46"/>
        <v>02</v>
      </c>
      <c r="Q284" s="3" t="str">
        <f t="shared" si="47"/>
        <v>03</v>
      </c>
      <c r="R284" s="3" t="str">
        <f t="shared" si="48"/>
        <v>26</v>
      </c>
      <c r="S284" s="1" t="s">
        <v>40</v>
      </c>
      <c r="U284" s="1" t="s">
        <v>461</v>
      </c>
      <c r="V284" s="1" t="str">
        <f t="shared" si="49"/>
        <v>ED2</v>
      </c>
      <c r="W284" s="1" t="str">
        <f t="shared" ref="W284:W315" si="53">E284</f>
        <v>ED2</v>
      </c>
      <c r="X284" s="4" t="b">
        <f t="shared" si="50"/>
        <v>1</v>
      </c>
      <c r="Y284" s="1">
        <f>VLOOKUP(D284,'Orden de Imagen'!$A$1:D413,4,FALSE())</f>
        <v>254</v>
      </c>
      <c r="Z284" s="1" t="str">
        <f t="shared" si="51"/>
        <v>254_26_03_02_ED2</v>
      </c>
    </row>
    <row r="285" spans="1:26" x14ac:dyDescent="0.25">
      <c r="A285" s="1">
        <v>295</v>
      </c>
      <c r="B285" s="1" t="s">
        <v>606</v>
      </c>
      <c r="C285" s="1" t="str">
        <f t="shared" si="44"/>
        <v>CL_MLP_PAO_IF_Ortho_26_03_04_DME9-PA12-IIFF8.tif</v>
      </c>
      <c r="D285" s="1" t="str">
        <f t="shared" si="52"/>
        <v>CL_MLP_PAO_IF_Ortho_26_03_04_DME9-PA12-IIFF8</v>
      </c>
      <c r="E285" s="1" t="s">
        <v>505</v>
      </c>
      <c r="F285" s="1" t="s">
        <v>460</v>
      </c>
      <c r="G285" s="1" t="s">
        <v>29</v>
      </c>
      <c r="H285" s="16">
        <v>46085</v>
      </c>
      <c r="I285" s="16">
        <v>46112</v>
      </c>
      <c r="J285" s="1" t="s">
        <v>30</v>
      </c>
      <c r="K285" s="2" t="str">
        <f t="shared" si="45"/>
        <v>https://sig.aminerals.cl/imgdyn/rest/services/CL_MLP_PAO/CL_MLP_PAO_IF_Ortho_Geosupport/ImageServer/file?id=.\Chacay_El_Mauro_Drone\26_03_04\CL_MLP_PAO_IF_Ortho_26_03_04_DME9-PA12-IIFF8.tif&amp;rasterId=</v>
      </c>
      <c r="L285" s="1" t="s">
        <v>31</v>
      </c>
      <c r="M285" s="1" t="s">
        <v>32</v>
      </c>
      <c r="N285" s="1" t="s">
        <v>33</v>
      </c>
      <c r="O285" s="1" t="s">
        <v>34</v>
      </c>
      <c r="P285" s="3" t="str">
        <f t="shared" si="46"/>
        <v>04</v>
      </c>
      <c r="Q285" s="3" t="str">
        <f t="shared" si="47"/>
        <v>03</v>
      </c>
      <c r="R285" s="3" t="str">
        <f t="shared" si="48"/>
        <v>26</v>
      </c>
      <c r="S285" s="1" t="s">
        <v>40</v>
      </c>
      <c r="U285" s="1" t="s">
        <v>461</v>
      </c>
      <c r="V285" s="1" t="str">
        <f t="shared" si="49"/>
        <v>DME9-PA12-IIFF8</v>
      </c>
      <c r="W285" s="1" t="str">
        <f t="shared" si="53"/>
        <v>DME9-PA12-IIFF8</v>
      </c>
      <c r="X285" s="4" t="b">
        <f t="shared" si="50"/>
        <v>1</v>
      </c>
      <c r="Y285" s="1">
        <f>VLOOKUP(D285,'Orden de Imagen'!$A$1:D437,4,FALSE())</f>
        <v>255</v>
      </c>
      <c r="Z285" s="1" t="str">
        <f t="shared" si="51"/>
        <v>255_26_03_04_DME9-PA12-IIFF8</v>
      </c>
    </row>
    <row r="286" spans="1:26" x14ac:dyDescent="0.25">
      <c r="A286" s="1">
        <v>288</v>
      </c>
      <c r="B286" s="1" t="s">
        <v>607</v>
      </c>
      <c r="C286" s="1" t="str">
        <f t="shared" si="44"/>
        <v>CL_MLP_PAO_IF_Ortho_26_03_04_EBD.tif</v>
      </c>
      <c r="D286" s="1" t="str">
        <f t="shared" si="52"/>
        <v>CL_MLP_PAO_IF_Ortho_26_03_04_EBD</v>
      </c>
      <c r="E286" s="1" t="s">
        <v>608</v>
      </c>
      <c r="F286" s="1" t="s">
        <v>460</v>
      </c>
      <c r="G286" s="1" t="s">
        <v>29</v>
      </c>
      <c r="H286" s="16">
        <v>46085</v>
      </c>
      <c r="I286" s="16">
        <v>46112</v>
      </c>
      <c r="J286" s="1" t="s">
        <v>30</v>
      </c>
      <c r="K286" s="2" t="str">
        <f t="shared" si="45"/>
        <v>https://sig.aminerals.cl/imgdyn/rest/services/CL_MLP_PAO/CL_MLP_PAO_IF_Ortho_Geosupport/ImageServer/file?id=.\El_Mauro_Drone\26_03_04\CL_MLP_PAO_IF_Ortho_26_03_04_EBD.tif&amp;rasterId=</v>
      </c>
      <c r="L286" s="1" t="s">
        <v>31</v>
      </c>
      <c r="M286" s="1" t="s">
        <v>32</v>
      </c>
      <c r="N286" s="1" t="s">
        <v>33</v>
      </c>
      <c r="O286" s="1" t="s">
        <v>34</v>
      </c>
      <c r="P286" s="3" t="str">
        <f t="shared" si="46"/>
        <v>04</v>
      </c>
      <c r="Q286" s="3" t="str">
        <f t="shared" si="47"/>
        <v>03</v>
      </c>
      <c r="R286" s="3" t="str">
        <f t="shared" si="48"/>
        <v>26</v>
      </c>
      <c r="S286" s="1" t="s">
        <v>87</v>
      </c>
      <c r="U286" s="1" t="s">
        <v>461</v>
      </c>
      <c r="V286" s="1" t="str">
        <f t="shared" si="49"/>
        <v>EBD</v>
      </c>
      <c r="W286" s="1" t="str">
        <f t="shared" si="53"/>
        <v>EBD</v>
      </c>
      <c r="X286" s="4" t="b">
        <f t="shared" si="50"/>
        <v>1</v>
      </c>
      <c r="Y286" s="1">
        <f>VLOOKUP(D286,'Orden de Imagen'!$A$1:D430,4,FALSE())</f>
        <v>256</v>
      </c>
      <c r="Z286" s="1" t="str">
        <f t="shared" si="51"/>
        <v>256_26_03_04_EBD</v>
      </c>
    </row>
    <row r="287" spans="1:26" x14ac:dyDescent="0.25">
      <c r="A287" s="1">
        <v>296</v>
      </c>
      <c r="B287" s="1" t="s">
        <v>609</v>
      </c>
      <c r="C287" s="1" t="str">
        <f t="shared" si="44"/>
        <v>CL_MLP_PAO_IF_Ortho_26_03_04_IIFF9-PA13.tif</v>
      </c>
      <c r="D287" s="1" t="str">
        <f t="shared" si="52"/>
        <v>CL_MLP_PAO_IF_Ortho_26_03_04_IIFF9-PA13</v>
      </c>
      <c r="E287" s="1" t="s">
        <v>508</v>
      </c>
      <c r="F287" s="1" t="s">
        <v>460</v>
      </c>
      <c r="G287" s="1" t="s">
        <v>29</v>
      </c>
      <c r="H287" s="16">
        <v>46085</v>
      </c>
      <c r="I287" s="16">
        <v>46112</v>
      </c>
      <c r="J287" s="1" t="s">
        <v>30</v>
      </c>
      <c r="K287" s="2" t="str">
        <f t="shared" si="45"/>
        <v>https://sig.aminerals.cl/imgdyn/rest/services/CL_MLP_PAO/CL_MLP_PAO_IF_Ortho_Geosupport/ImageServer/file?id=.\Chacay_El_Mauro_Drone\26_03_04\CL_MLP_PAO_IF_Ortho_26_03_04_IIFF9-PA13.tif&amp;rasterId=</v>
      </c>
      <c r="L287" s="1" t="s">
        <v>31</v>
      </c>
      <c r="M287" s="1" t="s">
        <v>32</v>
      </c>
      <c r="N287" s="1" t="s">
        <v>33</v>
      </c>
      <c r="O287" s="1" t="s">
        <v>34</v>
      </c>
      <c r="P287" s="3" t="str">
        <f t="shared" si="46"/>
        <v>04</v>
      </c>
      <c r="Q287" s="3" t="str">
        <f t="shared" si="47"/>
        <v>03</v>
      </c>
      <c r="R287" s="3" t="str">
        <f t="shared" si="48"/>
        <v>26</v>
      </c>
      <c r="S287" s="1" t="s">
        <v>40</v>
      </c>
      <c r="U287" s="1" t="s">
        <v>461</v>
      </c>
      <c r="V287" s="1" t="str">
        <f t="shared" si="49"/>
        <v>IIFF9-PA13</v>
      </c>
      <c r="W287" s="1" t="str">
        <f t="shared" si="53"/>
        <v>IIFF9-PA13</v>
      </c>
      <c r="X287" s="4" t="b">
        <f t="shared" si="50"/>
        <v>1</v>
      </c>
      <c r="Y287" s="1">
        <f>VLOOKUP(D287,'Orden de Imagen'!$A$1:D438,4,FALSE())</f>
        <v>257</v>
      </c>
      <c r="Z287" s="1" t="str">
        <f t="shared" si="51"/>
        <v>257_26_03_04_IIFF9-PA13</v>
      </c>
    </row>
    <row r="288" spans="1:26" x14ac:dyDescent="0.25">
      <c r="A288" s="1">
        <v>300</v>
      </c>
      <c r="B288" s="1" t="s">
        <v>610</v>
      </c>
      <c r="C288" s="1" t="str">
        <f t="shared" si="44"/>
        <v>CL_MLP_PAO_IF_Ortho_26_03_04_Linea-33-kV-NorteElMauro-Area3.tif</v>
      </c>
      <c r="D288" s="1" t="str">
        <f t="shared" si="52"/>
        <v>CL_MLP_PAO_IF_Ortho_26_03_04_Linea-33-kV-NorteElMauro-Area3</v>
      </c>
      <c r="E288" s="1" t="s">
        <v>480</v>
      </c>
      <c r="F288" s="1" t="s">
        <v>460</v>
      </c>
      <c r="G288" s="1" t="s">
        <v>29</v>
      </c>
      <c r="H288" s="16">
        <v>46085</v>
      </c>
      <c r="I288" s="16">
        <v>46112</v>
      </c>
      <c r="J288" s="1" t="s">
        <v>30</v>
      </c>
      <c r="K288" s="2" t="str">
        <f t="shared" si="45"/>
        <v>https://sig.aminerals.cl/imgdyn/rest/services/CL_MLP_PAO/CL_MLP_PAO_IF_Ortho_Geosupport/ImageServer/file?id=.\El_Mauro_Drone\26_03_04\CL_MLP_PAO_IF_Ortho_26_03_04_Linea-33-kV-NorteElMauro-Area3.tif&amp;rasterId=</v>
      </c>
      <c r="L288" s="1" t="s">
        <v>31</v>
      </c>
      <c r="M288" s="1" t="s">
        <v>32</v>
      </c>
      <c r="N288" s="1" t="s">
        <v>33</v>
      </c>
      <c r="O288" s="1" t="s">
        <v>34</v>
      </c>
      <c r="P288" s="3" t="str">
        <f t="shared" si="46"/>
        <v>04</v>
      </c>
      <c r="Q288" s="3" t="str">
        <f t="shared" si="47"/>
        <v>03</v>
      </c>
      <c r="R288" s="3" t="str">
        <f t="shared" si="48"/>
        <v>26</v>
      </c>
      <c r="S288" s="1" t="s">
        <v>87</v>
      </c>
      <c r="U288" s="1" t="s">
        <v>461</v>
      </c>
      <c r="V288" s="1" t="str">
        <f t="shared" si="49"/>
        <v>Linea-33-kV-NorteElMauro-Area3</v>
      </c>
      <c r="W288" s="1" t="str">
        <f t="shared" si="53"/>
        <v>Linea-33-kV-NorteElMauro-Area3</v>
      </c>
      <c r="X288" s="4" t="b">
        <f t="shared" si="50"/>
        <v>1</v>
      </c>
      <c r="Y288" s="1">
        <f>VLOOKUP(D288,'Orden de Imagen'!$A$1:D442,4,FALSE())</f>
        <v>258</v>
      </c>
      <c r="Z288" s="1" t="str">
        <f t="shared" si="51"/>
        <v>258_26_03_04_Linea-33-kV-NorteElMauro-Area3</v>
      </c>
    </row>
    <row r="289" spans="1:26" x14ac:dyDescent="0.25">
      <c r="A289" s="1">
        <v>291</v>
      </c>
      <c r="B289" s="1" t="s">
        <v>611</v>
      </c>
      <c r="C289" s="1" t="str">
        <f t="shared" si="44"/>
        <v>CL_MLP_PAO_IF_Ortho_26_03_05_ED2.tif</v>
      </c>
      <c r="D289" s="1" t="str">
        <f t="shared" si="52"/>
        <v>CL_MLP_PAO_IF_Ortho_26_03_05_ED2</v>
      </c>
      <c r="E289" s="1" t="s">
        <v>468</v>
      </c>
      <c r="F289" s="1" t="s">
        <v>460</v>
      </c>
      <c r="G289" s="1" t="s">
        <v>29</v>
      </c>
      <c r="H289" s="16">
        <v>46086</v>
      </c>
      <c r="I289" s="16">
        <v>46112</v>
      </c>
      <c r="J289" s="1" t="s">
        <v>30</v>
      </c>
      <c r="K289" s="2" t="str">
        <f t="shared" si="45"/>
        <v>https://sig.aminerals.cl/imgdyn/rest/services/CL_MLP_PAO/CL_MLP_PAO_IF_Ortho_Geosupport/ImageServer/file?id=.\Chacay_El_Mauro_Drone\26_03_05\CL_MLP_PAO_IF_Ortho_26_03_05_ED2.tif&amp;rasterId=</v>
      </c>
      <c r="L289" s="1" t="s">
        <v>31</v>
      </c>
      <c r="M289" s="1" t="s">
        <v>32</v>
      </c>
      <c r="N289" s="1" t="s">
        <v>33</v>
      </c>
      <c r="O289" s="1" t="s">
        <v>34</v>
      </c>
      <c r="P289" s="3" t="str">
        <f t="shared" si="46"/>
        <v>05</v>
      </c>
      <c r="Q289" s="3" t="str">
        <f t="shared" si="47"/>
        <v>03</v>
      </c>
      <c r="R289" s="3" t="str">
        <f t="shared" si="48"/>
        <v>26</v>
      </c>
      <c r="S289" s="1" t="s">
        <v>40</v>
      </c>
      <c r="U289" s="1" t="s">
        <v>461</v>
      </c>
      <c r="V289" s="1" t="str">
        <f t="shared" si="49"/>
        <v>ED2</v>
      </c>
      <c r="W289" s="1" t="str">
        <f t="shared" si="53"/>
        <v>ED2</v>
      </c>
      <c r="X289" s="4" t="b">
        <f t="shared" si="50"/>
        <v>1</v>
      </c>
      <c r="Y289" s="1">
        <f>VLOOKUP(D289,'Orden de Imagen'!$A$1:D433,4,FALSE())</f>
        <v>259</v>
      </c>
      <c r="Z289" s="1" t="str">
        <f t="shared" si="51"/>
        <v>259_26_03_05_ED2</v>
      </c>
    </row>
    <row r="290" spans="1:26" x14ac:dyDescent="0.25">
      <c r="A290" s="1">
        <v>298</v>
      </c>
      <c r="B290" s="1" t="s">
        <v>612</v>
      </c>
      <c r="C290" s="1" t="str">
        <f t="shared" si="44"/>
        <v>CL_MLP_PAO_IF_Ortho_26_03_05_EV1.tif</v>
      </c>
      <c r="D290" s="1" t="str">
        <f t="shared" si="52"/>
        <v>CL_MLP_PAO_IF_Ortho_26_03_05_EV1</v>
      </c>
      <c r="E290" s="1" t="s">
        <v>258</v>
      </c>
      <c r="F290" s="1" t="s">
        <v>460</v>
      </c>
      <c r="G290" s="1" t="s">
        <v>29</v>
      </c>
      <c r="H290" s="16">
        <v>46086</v>
      </c>
      <c r="I290" s="16">
        <v>46112</v>
      </c>
      <c r="J290" s="1" t="s">
        <v>30</v>
      </c>
      <c r="K290" s="2" t="str">
        <f t="shared" si="45"/>
        <v>https://sig.aminerals.cl/imgdyn/rest/services/CL_MLP_PAO/CL_MLP_PAO_IF_Ortho_Geosupport/ImageServer/file?id=.\Chacay_El_Mauro_Drone\26_03_05\CL_MLP_PAO_IF_Ortho_26_03_05_EV1.tif&amp;rasterId=</v>
      </c>
      <c r="L290" s="1" t="s">
        <v>31</v>
      </c>
      <c r="M290" s="1" t="s">
        <v>32</v>
      </c>
      <c r="N290" s="1" t="s">
        <v>33</v>
      </c>
      <c r="O290" s="1" t="s">
        <v>34</v>
      </c>
      <c r="P290" s="3" t="str">
        <f t="shared" si="46"/>
        <v>05</v>
      </c>
      <c r="Q290" s="3" t="str">
        <f t="shared" si="47"/>
        <v>03</v>
      </c>
      <c r="R290" s="3" t="str">
        <f t="shared" si="48"/>
        <v>26</v>
      </c>
      <c r="S290" s="1" t="s">
        <v>40</v>
      </c>
      <c r="U290" s="1" t="s">
        <v>461</v>
      </c>
      <c r="V290" s="1" t="str">
        <f t="shared" si="49"/>
        <v>EV1</v>
      </c>
      <c r="W290" s="1" t="str">
        <f t="shared" si="53"/>
        <v>EV1</v>
      </c>
      <c r="X290" s="4" t="b">
        <f t="shared" si="50"/>
        <v>1</v>
      </c>
      <c r="Y290" s="1">
        <f>VLOOKUP(D290,'Orden de Imagen'!$A$1:D440,4,FALSE())</f>
        <v>260</v>
      </c>
      <c r="Z290" s="1" t="str">
        <f t="shared" si="51"/>
        <v>260_26_03_05_EV1</v>
      </c>
    </row>
    <row r="291" spans="1:26" x14ac:dyDescent="0.25">
      <c r="A291" s="1">
        <v>293</v>
      </c>
      <c r="B291" s="1" t="s">
        <v>613</v>
      </c>
      <c r="C291" s="1" t="str">
        <f t="shared" si="44"/>
        <v>CL_MLP_PAO_IF_Ortho_26_03_06_EM1.tif</v>
      </c>
      <c r="D291" s="1" t="str">
        <f t="shared" si="52"/>
        <v>CL_MLP_PAO_IF_Ortho_26_03_06_EM1</v>
      </c>
      <c r="E291" s="1" t="s">
        <v>375</v>
      </c>
      <c r="F291" s="1" t="s">
        <v>460</v>
      </c>
      <c r="G291" s="1" t="s">
        <v>29</v>
      </c>
      <c r="H291" s="16">
        <v>46087</v>
      </c>
      <c r="I291" s="16">
        <v>46112</v>
      </c>
      <c r="J291" s="1" t="s">
        <v>30</v>
      </c>
      <c r="K291" s="2" t="str">
        <f t="shared" si="45"/>
        <v>https://sig.aminerals.cl/imgdyn/rest/services/CL_MLP_PAO/CL_MLP_PAO_IF_Ortho_Geosupport/ImageServer/file?id=.\Chacay_Drone\26_03_06\CL_MLP_PAO_IF_Ortho_26_03_06_EM1.tif&amp;rasterId=</v>
      </c>
      <c r="L291" s="1" t="s">
        <v>31</v>
      </c>
      <c r="M291" s="1" t="s">
        <v>32</v>
      </c>
      <c r="N291" s="1" t="s">
        <v>33</v>
      </c>
      <c r="O291" s="1" t="s">
        <v>34</v>
      </c>
      <c r="P291" s="3" t="str">
        <f t="shared" si="46"/>
        <v>06</v>
      </c>
      <c r="Q291" s="3" t="str">
        <f t="shared" si="47"/>
        <v>03</v>
      </c>
      <c r="R291" s="3" t="str">
        <f t="shared" si="48"/>
        <v>26</v>
      </c>
      <c r="S291" s="1" t="s">
        <v>56</v>
      </c>
      <c r="U291" s="1" t="s">
        <v>461</v>
      </c>
      <c r="V291" s="1" t="str">
        <f t="shared" si="49"/>
        <v>EM1</v>
      </c>
      <c r="W291" s="1" t="str">
        <f t="shared" si="53"/>
        <v>EM1</v>
      </c>
      <c r="X291" s="4" t="b">
        <f t="shared" si="50"/>
        <v>1</v>
      </c>
      <c r="Y291" s="1">
        <f>VLOOKUP(D291,'Orden de Imagen'!$A$1:D435,4,FALSE())</f>
        <v>261</v>
      </c>
      <c r="Z291" s="1" t="str">
        <f t="shared" si="51"/>
        <v>261_26_03_06_EM1</v>
      </c>
    </row>
    <row r="292" spans="1:26" x14ac:dyDescent="0.25">
      <c r="A292" s="1">
        <v>297</v>
      </c>
      <c r="B292" s="1" t="s">
        <v>614</v>
      </c>
      <c r="C292" s="1" t="str">
        <f t="shared" si="44"/>
        <v>CL_MLP_PAO_IF_Ortho_26_03_06_EM4.tif</v>
      </c>
      <c r="D292" s="1" t="str">
        <f t="shared" si="52"/>
        <v>CL_MLP_PAO_IF_Ortho_26_03_06_EM4</v>
      </c>
      <c r="E292" s="1" t="s">
        <v>540</v>
      </c>
      <c r="F292" s="1" t="s">
        <v>460</v>
      </c>
      <c r="G292" s="1" t="s">
        <v>29</v>
      </c>
      <c r="H292" s="16">
        <v>46087</v>
      </c>
      <c r="I292" s="16">
        <v>46112</v>
      </c>
      <c r="J292" s="1" t="s">
        <v>30</v>
      </c>
      <c r="K292" s="2" t="str">
        <f t="shared" si="45"/>
        <v>https://sig.aminerals.cl/imgdyn/rest/services/CL_MLP_PAO/CL_MLP_PAO_IF_Ortho_Geosupport/ImageServer/file?id=.\El_Mauro_Drone\26_03_06\CL_MLP_PAO_IF_Ortho_26_03_06_EM4.tif&amp;rasterId=</v>
      </c>
      <c r="L292" s="1" t="s">
        <v>31</v>
      </c>
      <c r="M292" s="1" t="s">
        <v>32</v>
      </c>
      <c r="N292" s="1" t="s">
        <v>33</v>
      </c>
      <c r="O292" s="1" t="s">
        <v>34</v>
      </c>
      <c r="P292" s="3" t="str">
        <f t="shared" si="46"/>
        <v>06</v>
      </c>
      <c r="Q292" s="3" t="str">
        <f t="shared" si="47"/>
        <v>03</v>
      </c>
      <c r="R292" s="3" t="str">
        <f t="shared" si="48"/>
        <v>26</v>
      </c>
      <c r="S292" s="1" t="s">
        <v>87</v>
      </c>
      <c r="U292" s="1" t="s">
        <v>461</v>
      </c>
      <c r="V292" s="1" t="str">
        <f t="shared" si="49"/>
        <v>EM4</v>
      </c>
      <c r="W292" s="1" t="str">
        <f t="shared" si="53"/>
        <v>EM4</v>
      </c>
      <c r="X292" s="4" t="b">
        <f t="shared" si="50"/>
        <v>1</v>
      </c>
      <c r="Y292" s="1">
        <f>VLOOKUP(D292,'Orden de Imagen'!$A$1:D439,4,FALSE())</f>
        <v>262</v>
      </c>
      <c r="Z292" s="1" t="str">
        <f t="shared" si="51"/>
        <v>262_26_03_06_EM4</v>
      </c>
    </row>
    <row r="293" spans="1:26" x14ac:dyDescent="0.25">
      <c r="A293" s="1">
        <v>390</v>
      </c>
      <c r="B293" s="1" t="s">
        <v>615</v>
      </c>
      <c r="C293" s="1" t="str">
        <f t="shared" si="44"/>
        <v>CL_MLP_PAO_IF_Ortho_26_03_06_Plataforma_Integrada_El_Mauro.tif</v>
      </c>
      <c r="D293" s="1" t="str">
        <f t="shared" si="52"/>
        <v>CL_MLP_PAO_IF_Ortho_26_03_06_Plataforma_Integrada_El_Mauro</v>
      </c>
      <c r="E293" s="1" t="s">
        <v>459</v>
      </c>
      <c r="F293" s="1" t="s">
        <v>460</v>
      </c>
      <c r="G293" s="1" t="s">
        <v>29</v>
      </c>
      <c r="H293" s="16">
        <v>46087</v>
      </c>
      <c r="I293" s="16">
        <v>46135</v>
      </c>
      <c r="J293" s="1" t="s">
        <v>30</v>
      </c>
      <c r="K293" s="2" t="str">
        <f>CONCATENATE("https://sig.aminerals.cl/imgdyn/rest/services/CL_MLP_PAO/",U293,"/","ImageServer/file?id=.\",S293,"\",R293,"_",Q293,"\",C293,"&amp;rasterId=")</f>
        <v>https://sig.aminerals.cl/imgdyn/rest/services/CL_MLP_PAO/CL_MLP_PAO_IF_Ortho_Geosupport/ImageServer/file?id=.\El_Mauro_Drone\26_03\CL_MLP_PAO_IF_Ortho_26_03_06_Plataforma_Integrada_El_Mauro.tif&amp;rasterId=</v>
      </c>
      <c r="L293" s="1" t="s">
        <v>31</v>
      </c>
      <c r="M293" s="1" t="s">
        <v>32</v>
      </c>
      <c r="N293" s="1" t="s">
        <v>33</v>
      </c>
      <c r="O293" s="1" t="s">
        <v>34</v>
      </c>
      <c r="P293" s="3" t="str">
        <f t="shared" si="46"/>
        <v>06</v>
      </c>
      <c r="Q293" s="3" t="str">
        <f t="shared" si="47"/>
        <v>03</v>
      </c>
      <c r="R293" s="3" t="str">
        <f t="shared" si="48"/>
        <v>26</v>
      </c>
      <c r="S293" s="1" t="s">
        <v>87</v>
      </c>
      <c r="U293" s="1" t="s">
        <v>461</v>
      </c>
      <c r="V293" s="1" t="str">
        <f t="shared" si="49"/>
        <v>Plataforma_Integrada_El_Mauro</v>
      </c>
      <c r="W293" s="1" t="str">
        <f t="shared" si="53"/>
        <v>Plataforma_Integrada_El_Mauro</v>
      </c>
      <c r="X293" s="4" t="b">
        <f t="shared" si="50"/>
        <v>1</v>
      </c>
      <c r="Y293" s="1">
        <f>VLOOKUP(D293,'Orden de Imagen'!$A$1:D529,4,FALSE())</f>
        <v>263</v>
      </c>
      <c r="Z293" s="1" t="str">
        <f t="shared" si="51"/>
        <v>263_26_03_06_Plataforma_Integrada_El_Mauro</v>
      </c>
    </row>
    <row r="294" spans="1:26" x14ac:dyDescent="0.25">
      <c r="A294" s="1">
        <v>286</v>
      </c>
      <c r="B294" s="1" t="s">
        <v>616</v>
      </c>
      <c r="C294" s="1" t="str">
        <f t="shared" si="44"/>
        <v>CL_MLP_PAO_IF_Ortho_26_03_06_TORRES_E48_A_E84_PV4.tif</v>
      </c>
      <c r="D294" s="1" t="str">
        <f t="shared" si="52"/>
        <v>CL_MLP_PAO_IF_Ortho_26_03_06_TORRES_E48_A_E84_PV4</v>
      </c>
      <c r="E294" s="1" t="s">
        <v>566</v>
      </c>
      <c r="F294" s="1" t="s">
        <v>460</v>
      </c>
      <c r="G294" s="1" t="s">
        <v>29</v>
      </c>
      <c r="H294" s="16">
        <v>46087</v>
      </c>
      <c r="I294" s="16">
        <v>46112</v>
      </c>
      <c r="J294" s="1" t="s">
        <v>30</v>
      </c>
      <c r="K294" s="2" t="str">
        <f t="shared" ref="K294:K313" si="54">CONCATENATE("https://sig.aminerals.cl/imgdyn/rest/services/CL_MLP_PAO/",U294,"/","ImageServer/file?id=.\",S294,"\",R294,"_",Q294,"_",P294,"\",C294,"&amp;rasterId=")</f>
        <v>https://sig.aminerals.cl/imgdyn/rest/services/CL_MLP_PAO/CL_MLP_PAO_IF_Ortho_Geosupport/ImageServer/file?id=.\El_Mauro_Drone\26_03_06\CL_MLP_PAO_IF_Ortho_26_03_06_TORRES_E48_A_E84_PV4.tif&amp;rasterId=</v>
      </c>
      <c r="L294" s="1" t="s">
        <v>31</v>
      </c>
      <c r="M294" s="1" t="s">
        <v>32</v>
      </c>
      <c r="N294" s="1" t="s">
        <v>33</v>
      </c>
      <c r="O294" s="1" t="s">
        <v>34</v>
      </c>
      <c r="P294" s="3" t="str">
        <f t="shared" si="46"/>
        <v>06</v>
      </c>
      <c r="Q294" s="3" t="str">
        <f t="shared" si="47"/>
        <v>03</v>
      </c>
      <c r="R294" s="3" t="str">
        <f t="shared" si="48"/>
        <v>26</v>
      </c>
      <c r="S294" s="1" t="s">
        <v>87</v>
      </c>
      <c r="U294" s="1" t="s">
        <v>461</v>
      </c>
      <c r="V294" s="1" t="str">
        <f t="shared" si="49"/>
        <v>TORRES_E48_A_E84_PV4</v>
      </c>
      <c r="W294" s="1" t="str">
        <f t="shared" si="53"/>
        <v>TORRES_E48_A_E84_PV4</v>
      </c>
      <c r="X294" s="4" t="b">
        <f t="shared" si="50"/>
        <v>1</v>
      </c>
      <c r="Y294" s="1">
        <f>VLOOKUP(D294,'Orden de Imagen'!$A$1:D428,4,FALSE())</f>
        <v>264</v>
      </c>
      <c r="Z294" s="1" t="str">
        <f t="shared" si="51"/>
        <v>264_26_03_06_TORRES_E48_A_E84_PV4</v>
      </c>
    </row>
    <row r="295" spans="1:26" x14ac:dyDescent="0.25">
      <c r="A295" s="1">
        <v>287</v>
      </c>
      <c r="B295" s="1" t="s">
        <v>617</v>
      </c>
      <c r="C295" s="1" t="str">
        <f t="shared" si="44"/>
        <v>CL_MLP_PAO_IF_Ortho_26_03_07_EB3.tif</v>
      </c>
      <c r="D295" s="1" t="str">
        <f t="shared" si="52"/>
        <v>CL_MLP_PAO_IF_Ortho_26_03_07_EB3</v>
      </c>
      <c r="E295" s="1" t="s">
        <v>588</v>
      </c>
      <c r="F295" s="1" t="s">
        <v>460</v>
      </c>
      <c r="G295" s="1" t="s">
        <v>29</v>
      </c>
      <c r="H295" s="16">
        <v>46088</v>
      </c>
      <c r="I295" s="16">
        <v>46112</v>
      </c>
      <c r="J295" s="1" t="s">
        <v>30</v>
      </c>
      <c r="K295" s="2" t="str">
        <f t="shared" si="54"/>
        <v>https://sig.aminerals.cl/imgdyn/rest/services/CL_MLP_PAO/CL_MLP_PAO_IF_Ortho_Geosupport/ImageServer/file?id=.\El_Mauro_Drone\26_03_07\CL_MLP_PAO_IF_Ortho_26_03_07_EB3.tif&amp;rasterId=</v>
      </c>
      <c r="L295" s="1" t="s">
        <v>31</v>
      </c>
      <c r="M295" s="1" t="s">
        <v>32</v>
      </c>
      <c r="N295" s="1" t="s">
        <v>33</v>
      </c>
      <c r="O295" s="1" t="s">
        <v>34</v>
      </c>
      <c r="P295" s="3" t="str">
        <f t="shared" si="46"/>
        <v>07</v>
      </c>
      <c r="Q295" s="3" t="str">
        <f t="shared" si="47"/>
        <v>03</v>
      </c>
      <c r="R295" s="3" t="str">
        <f t="shared" si="48"/>
        <v>26</v>
      </c>
      <c r="S295" s="1" t="s">
        <v>87</v>
      </c>
      <c r="U295" s="1" t="s">
        <v>461</v>
      </c>
      <c r="V295" s="1" t="str">
        <f t="shared" si="49"/>
        <v>EB3</v>
      </c>
      <c r="W295" s="1" t="str">
        <f t="shared" si="53"/>
        <v>EB3</v>
      </c>
      <c r="X295" s="4" t="b">
        <f t="shared" si="50"/>
        <v>1</v>
      </c>
      <c r="Y295" s="1">
        <f>VLOOKUP(D295,'Orden de Imagen'!$A$1:D429,4,FALSE())</f>
        <v>265</v>
      </c>
      <c r="Z295" s="1" t="str">
        <f t="shared" si="51"/>
        <v>265_26_03_07_EB3</v>
      </c>
    </row>
    <row r="296" spans="1:26" x14ac:dyDescent="0.25">
      <c r="A296" s="1">
        <v>289</v>
      </c>
      <c r="B296" s="1" t="s">
        <v>618</v>
      </c>
      <c r="C296" s="1" t="str">
        <f t="shared" si="44"/>
        <v>CL_MLP_PAO_IF_Ortho_26_03_07_ED1-IIFF7-DME8.tif</v>
      </c>
      <c r="D296" s="1" t="str">
        <f t="shared" si="52"/>
        <v>CL_MLP_PAO_IF_Ortho_26_03_07_ED1-IIFF7-DME8</v>
      </c>
      <c r="E296" s="1" t="s">
        <v>485</v>
      </c>
      <c r="F296" s="1" t="s">
        <v>460</v>
      </c>
      <c r="G296" s="1" t="s">
        <v>29</v>
      </c>
      <c r="H296" s="16">
        <v>46088</v>
      </c>
      <c r="I296" s="16">
        <v>46112</v>
      </c>
      <c r="J296" s="1" t="s">
        <v>30</v>
      </c>
      <c r="K296" s="2" t="str">
        <f t="shared" si="54"/>
        <v>https://sig.aminerals.cl/imgdyn/rest/services/CL_MLP_PAO/CL_MLP_PAO_IF_Ortho_Geosupport/ImageServer/file?id=.\Chacay_El_Mauro_Drone\26_03_07\CL_MLP_PAO_IF_Ortho_26_03_07_ED1-IIFF7-DME8.tif&amp;rasterId=</v>
      </c>
      <c r="L296" s="1" t="s">
        <v>31</v>
      </c>
      <c r="M296" s="1" t="s">
        <v>32</v>
      </c>
      <c r="N296" s="1" t="s">
        <v>33</v>
      </c>
      <c r="O296" s="1" t="s">
        <v>34</v>
      </c>
      <c r="P296" s="3" t="str">
        <f t="shared" si="46"/>
        <v>07</v>
      </c>
      <c r="Q296" s="3" t="str">
        <f t="shared" si="47"/>
        <v>03</v>
      </c>
      <c r="R296" s="3" t="str">
        <f t="shared" si="48"/>
        <v>26</v>
      </c>
      <c r="S296" s="1" t="s">
        <v>40</v>
      </c>
      <c r="U296" s="1" t="s">
        <v>461</v>
      </c>
      <c r="V296" s="1" t="str">
        <f t="shared" si="49"/>
        <v>ED1-IIFF7-DME8</v>
      </c>
      <c r="W296" s="1" t="str">
        <f t="shared" si="53"/>
        <v>ED1-IIFF7-DME8</v>
      </c>
      <c r="X296" s="4" t="b">
        <f t="shared" si="50"/>
        <v>1</v>
      </c>
      <c r="Y296" s="1">
        <f>VLOOKUP(D296,'Orden de Imagen'!$A$1:D431,4,FALSE())</f>
        <v>266</v>
      </c>
      <c r="Z296" s="1" t="str">
        <f t="shared" si="51"/>
        <v>266_26_03_07_ED1-IIFF7-DME8</v>
      </c>
    </row>
    <row r="297" spans="1:26" x14ac:dyDescent="0.25">
      <c r="A297" s="1">
        <v>299</v>
      </c>
      <c r="B297" s="1" t="s">
        <v>619</v>
      </c>
      <c r="C297" s="1" t="str">
        <f t="shared" si="44"/>
        <v>CL_MLP_PAO_IF_Ortho_26_03_07_EV2.tif</v>
      </c>
      <c r="D297" s="1" t="str">
        <f t="shared" si="52"/>
        <v>CL_MLP_PAO_IF_Ortho_26_03_07_EV2</v>
      </c>
      <c r="E297" s="1" t="s">
        <v>74</v>
      </c>
      <c r="F297" s="1" t="s">
        <v>460</v>
      </c>
      <c r="G297" s="1" t="s">
        <v>29</v>
      </c>
      <c r="H297" s="16">
        <v>46088</v>
      </c>
      <c r="I297" s="16">
        <v>46112</v>
      </c>
      <c r="J297" s="1" t="s">
        <v>30</v>
      </c>
      <c r="K297" s="2" t="str">
        <f t="shared" si="54"/>
        <v>https://sig.aminerals.cl/imgdyn/rest/services/CL_MLP_PAO/CL_MLP_PAO_IF_Ortho_Geosupport/ImageServer/file?id=.\El_Mauro_Puerto_Punta_Chungo_Drone\26_03_07\CL_MLP_PAO_IF_Ortho_26_03_07_EV2.tif&amp;rasterId=</v>
      </c>
      <c r="L297" s="1" t="s">
        <v>31</v>
      </c>
      <c r="M297" s="1" t="s">
        <v>32</v>
      </c>
      <c r="N297" s="1" t="s">
        <v>33</v>
      </c>
      <c r="O297" s="1" t="s">
        <v>34</v>
      </c>
      <c r="P297" s="3" t="str">
        <f t="shared" si="46"/>
        <v>07</v>
      </c>
      <c r="Q297" s="3" t="str">
        <f t="shared" si="47"/>
        <v>03</v>
      </c>
      <c r="R297" s="3" t="str">
        <f t="shared" si="48"/>
        <v>26</v>
      </c>
      <c r="S297" s="1" t="s">
        <v>50</v>
      </c>
      <c r="U297" s="1" t="s">
        <v>461</v>
      </c>
      <c r="V297" s="1" t="str">
        <f t="shared" si="49"/>
        <v>EV2</v>
      </c>
      <c r="W297" s="1" t="str">
        <f t="shared" si="53"/>
        <v>EV2</v>
      </c>
      <c r="X297" s="4" t="b">
        <f t="shared" si="50"/>
        <v>1</v>
      </c>
      <c r="Y297" s="1">
        <f>VLOOKUP(D297,'Orden de Imagen'!$A$1:D441,4,FALSE())</f>
        <v>267</v>
      </c>
      <c r="Z297" s="1" t="str">
        <f t="shared" si="51"/>
        <v>267_26_03_07_EV2</v>
      </c>
    </row>
    <row r="298" spans="1:26" x14ac:dyDescent="0.25">
      <c r="A298" s="1">
        <v>304</v>
      </c>
      <c r="B298" s="1" t="s">
        <v>620</v>
      </c>
      <c r="C298" s="1" t="str">
        <f t="shared" si="44"/>
        <v>CL_MLP_PAO_IF_Ortho_26_03_07_Patio-19B-y-Armado.tif</v>
      </c>
      <c r="D298" s="1" t="str">
        <f t="shared" si="52"/>
        <v>CL_MLP_PAO_IF_Ortho_26_03_07_Patio-19B-y-Armado</v>
      </c>
      <c r="E298" s="1" t="s">
        <v>472</v>
      </c>
      <c r="F298" s="1" t="s">
        <v>460</v>
      </c>
      <c r="G298" s="1" t="s">
        <v>29</v>
      </c>
      <c r="H298" s="16">
        <v>46088</v>
      </c>
      <c r="I298" s="16">
        <v>46112</v>
      </c>
      <c r="J298" s="1" t="s">
        <v>30</v>
      </c>
      <c r="K298" s="2" t="str">
        <f t="shared" si="54"/>
        <v>https://sig.aminerals.cl/imgdyn/rest/services/CL_MLP_PAO/CL_MLP_PAO_IF_Ortho_Geosupport/ImageServer/file?id=.\El_Mauro_Drone\26_03_07\CL_MLP_PAO_IF_Ortho_26_03_07_Patio-19B-y-Armado.tif&amp;rasterId=</v>
      </c>
      <c r="L298" s="1" t="s">
        <v>31</v>
      </c>
      <c r="M298" s="1" t="s">
        <v>32</v>
      </c>
      <c r="N298" s="1" t="s">
        <v>33</v>
      </c>
      <c r="O298" s="1" t="s">
        <v>34</v>
      </c>
      <c r="P298" s="3" t="str">
        <f t="shared" si="46"/>
        <v>07</v>
      </c>
      <c r="Q298" s="3" t="str">
        <f t="shared" si="47"/>
        <v>03</v>
      </c>
      <c r="R298" s="3" t="str">
        <f t="shared" si="48"/>
        <v>26</v>
      </c>
      <c r="S298" s="1" t="s">
        <v>87</v>
      </c>
      <c r="U298" s="1" t="s">
        <v>461</v>
      </c>
      <c r="V298" s="1" t="str">
        <f t="shared" si="49"/>
        <v>Patio-19B-y-Armado</v>
      </c>
      <c r="W298" s="1" t="str">
        <f t="shared" si="53"/>
        <v>Patio-19B-y-Armado</v>
      </c>
      <c r="X298" s="4" t="b">
        <f t="shared" si="50"/>
        <v>1</v>
      </c>
      <c r="Y298" s="1">
        <f>VLOOKUP(D298,'Orden de Imagen'!$A$1:D446,4,FALSE())</f>
        <v>268</v>
      </c>
      <c r="Z298" s="1" t="str">
        <f t="shared" si="51"/>
        <v>268_26_03_07_Patio-19B-y-Armado</v>
      </c>
    </row>
    <row r="299" spans="1:26" x14ac:dyDescent="0.25">
      <c r="A299" s="1">
        <v>302</v>
      </c>
      <c r="B299" s="1" t="s">
        <v>621</v>
      </c>
      <c r="C299" s="1" t="str">
        <f t="shared" si="44"/>
        <v>CL_MLP_PAO_IF_Ortho_26_03_07_Subestacion-El-Mauro.tif</v>
      </c>
      <c r="D299" s="1" t="str">
        <f t="shared" si="52"/>
        <v>CL_MLP_PAO_IF_Ortho_26_03_07_Subestacion-El-Mauro</v>
      </c>
      <c r="E299" s="1" t="s">
        <v>90</v>
      </c>
      <c r="F299" s="1" t="s">
        <v>460</v>
      </c>
      <c r="G299" s="1" t="s">
        <v>29</v>
      </c>
      <c r="H299" s="16">
        <v>46088</v>
      </c>
      <c r="I299" s="16">
        <v>46112</v>
      </c>
      <c r="J299" s="1" t="s">
        <v>30</v>
      </c>
      <c r="K299" s="2" t="str">
        <f t="shared" si="54"/>
        <v>https://sig.aminerals.cl/imgdyn/rest/services/CL_MLP_PAO/CL_MLP_PAO_IF_Ortho_Geosupport/ImageServer/file?id=.\El_Mauro_Drone\26_03_07\CL_MLP_PAO_IF_Ortho_26_03_07_Subestacion-El-Mauro.tif&amp;rasterId=</v>
      </c>
      <c r="L299" s="1" t="s">
        <v>31</v>
      </c>
      <c r="M299" s="1" t="s">
        <v>32</v>
      </c>
      <c r="N299" s="1" t="s">
        <v>33</v>
      </c>
      <c r="O299" s="1" t="s">
        <v>34</v>
      </c>
      <c r="P299" s="3" t="str">
        <f t="shared" si="46"/>
        <v>07</v>
      </c>
      <c r="Q299" s="3" t="str">
        <f t="shared" si="47"/>
        <v>03</v>
      </c>
      <c r="R299" s="3" t="str">
        <f t="shared" si="48"/>
        <v>26</v>
      </c>
      <c r="S299" s="1" t="s">
        <v>87</v>
      </c>
      <c r="U299" s="1" t="s">
        <v>461</v>
      </c>
      <c r="V299" s="1" t="str">
        <f t="shared" si="49"/>
        <v>Subestacion-El-Mauro</v>
      </c>
      <c r="W299" s="1" t="str">
        <f t="shared" si="53"/>
        <v>Subestacion-El-Mauro</v>
      </c>
      <c r="X299" s="4" t="b">
        <f t="shared" si="50"/>
        <v>1</v>
      </c>
      <c r="Y299" s="1">
        <f>VLOOKUP(D299,'Orden de Imagen'!$A$1:D444,4,FALSE())</f>
        <v>269</v>
      </c>
      <c r="Z299" s="1" t="str">
        <f t="shared" si="51"/>
        <v>269_26_03_07_Subestacion-El-Mauro</v>
      </c>
    </row>
    <row r="300" spans="1:26" x14ac:dyDescent="0.25">
      <c r="A300" s="1">
        <v>301</v>
      </c>
      <c r="B300" s="1" t="s">
        <v>622</v>
      </c>
      <c r="C300" s="1" t="str">
        <f t="shared" si="44"/>
        <v>CL_MLP_PAO_IF_Ortho_26_03_08_MonteAranda-NSTC-Km-84p2-a-82p3.tif</v>
      </c>
      <c r="D300" s="1" t="str">
        <f t="shared" si="52"/>
        <v>CL_MLP_PAO_IF_Ortho_26_03_08_MonteAranda-NSTC-Km-84p2-a-82p3</v>
      </c>
      <c r="E300" s="1" t="s">
        <v>488</v>
      </c>
      <c r="F300" s="1" t="s">
        <v>460</v>
      </c>
      <c r="G300" s="1" t="s">
        <v>29</v>
      </c>
      <c r="H300" s="16">
        <v>46089</v>
      </c>
      <c r="I300" s="16">
        <v>46112</v>
      </c>
      <c r="J300" s="1" t="s">
        <v>30</v>
      </c>
      <c r="K300" s="2" t="str">
        <f t="shared" si="54"/>
        <v>https://sig.aminerals.cl/imgdyn/rest/services/CL_MLP_PAO/CL_MLP_PAO_IF_Ortho_Geosupport/ImageServer/file?id=.\El_Mauro_Puerto_Punta_Chungo_Drone\26_03_08\CL_MLP_PAO_IF_Ortho_26_03_08_MonteAranda-NSTC-Km-84p2-a-82p3.tif&amp;rasterId=</v>
      </c>
      <c r="L300" s="1" t="s">
        <v>31</v>
      </c>
      <c r="M300" s="1" t="s">
        <v>32</v>
      </c>
      <c r="N300" s="1" t="s">
        <v>33</v>
      </c>
      <c r="O300" s="1" t="s">
        <v>34</v>
      </c>
      <c r="P300" s="3" t="str">
        <f t="shared" si="46"/>
        <v>08</v>
      </c>
      <c r="Q300" s="3" t="str">
        <f t="shared" si="47"/>
        <v>03</v>
      </c>
      <c r="R300" s="3" t="str">
        <f t="shared" si="48"/>
        <v>26</v>
      </c>
      <c r="S300" s="1" t="s">
        <v>50</v>
      </c>
      <c r="U300" s="1" t="s">
        <v>461</v>
      </c>
      <c r="V300" s="1" t="str">
        <f t="shared" si="49"/>
        <v>MonteAranda-NSTC-Km-84p2-a-82p3</v>
      </c>
      <c r="W300" s="1" t="str">
        <f t="shared" si="53"/>
        <v>MonteAranda-NSTC-Km-84p2-a-82p3</v>
      </c>
      <c r="X300" s="4" t="b">
        <f t="shared" si="50"/>
        <v>1</v>
      </c>
      <c r="Y300" s="1">
        <f>VLOOKUP(D300,'Orden de Imagen'!$A$1:D443,4,FALSE())</f>
        <v>270</v>
      </c>
      <c r="Z300" s="1" t="str">
        <f t="shared" si="51"/>
        <v>270_26_03_08_MonteAranda-NSTC-Km-84p2-a-82p3</v>
      </c>
    </row>
    <row r="301" spans="1:26" x14ac:dyDescent="0.25">
      <c r="A301" s="1">
        <v>303</v>
      </c>
      <c r="B301" s="1" t="s">
        <v>623</v>
      </c>
      <c r="C301" s="1" t="str">
        <f t="shared" si="44"/>
        <v>CL_MLP_PAO_IF_Ortho_26_03_08_Subestacion-El-Mauro_A_E35.tif</v>
      </c>
      <c r="D301" s="1" t="str">
        <f t="shared" si="52"/>
        <v>CL_MLP_PAO_IF_Ortho_26_03_08_Subestacion-El-Mauro_A_E35</v>
      </c>
      <c r="E301" s="1" t="s">
        <v>604</v>
      </c>
      <c r="F301" s="1" t="s">
        <v>460</v>
      </c>
      <c r="G301" s="1" t="s">
        <v>29</v>
      </c>
      <c r="H301" s="16">
        <v>46089</v>
      </c>
      <c r="I301" s="16">
        <v>46112</v>
      </c>
      <c r="J301" s="1" t="s">
        <v>30</v>
      </c>
      <c r="K301" s="2" t="str">
        <f t="shared" si="54"/>
        <v>https://sig.aminerals.cl/imgdyn/rest/services/CL_MLP_PAO/CL_MLP_PAO_IF_Ortho_Geosupport/ImageServer/file?id=.\El_Mauro_Drone\26_03_08\CL_MLP_PAO_IF_Ortho_26_03_08_Subestacion-El-Mauro_A_E35.tif&amp;rasterId=</v>
      </c>
      <c r="L301" s="1" t="s">
        <v>31</v>
      </c>
      <c r="M301" s="1" t="s">
        <v>32</v>
      </c>
      <c r="N301" s="1" t="s">
        <v>33</v>
      </c>
      <c r="O301" s="1" t="s">
        <v>34</v>
      </c>
      <c r="P301" s="3" t="str">
        <f t="shared" si="46"/>
        <v>08</v>
      </c>
      <c r="Q301" s="3" t="str">
        <f t="shared" si="47"/>
        <v>03</v>
      </c>
      <c r="R301" s="3" t="str">
        <f t="shared" si="48"/>
        <v>26</v>
      </c>
      <c r="S301" s="1" t="s">
        <v>87</v>
      </c>
      <c r="U301" s="1" t="s">
        <v>461</v>
      </c>
      <c r="V301" s="1" t="str">
        <f t="shared" si="49"/>
        <v>Subestacion-El-Mauro_A_E35</v>
      </c>
      <c r="W301" s="1" t="str">
        <f t="shared" si="53"/>
        <v>Subestacion-El-Mauro_A_E35</v>
      </c>
      <c r="X301" s="4" t="b">
        <f t="shared" si="50"/>
        <v>1</v>
      </c>
      <c r="Y301" s="1">
        <f>VLOOKUP(D301,'Orden de Imagen'!$A$1:D445,4,FALSE())</f>
        <v>271</v>
      </c>
      <c r="Z301" s="1" t="str">
        <f t="shared" si="51"/>
        <v>271_26_03_08_Subestacion-El-Mauro_A_E35</v>
      </c>
    </row>
    <row r="302" spans="1:26" x14ac:dyDescent="0.25">
      <c r="A302" s="1">
        <v>314</v>
      </c>
      <c r="B302" s="1" t="s">
        <v>624</v>
      </c>
      <c r="C302" s="1" t="str">
        <f t="shared" si="44"/>
        <v>CL_MLP_PAO_IF_Ortho_26_03_08_TORRES_E35_A_E48.tif</v>
      </c>
      <c r="D302" s="1" t="str">
        <f t="shared" si="52"/>
        <v>CL_MLP_PAO_IF_Ortho_26_03_08_TORRES_E35_A_E48</v>
      </c>
      <c r="E302" s="1" t="s">
        <v>600</v>
      </c>
      <c r="F302" s="1" t="s">
        <v>460</v>
      </c>
      <c r="G302" s="1" t="s">
        <v>29</v>
      </c>
      <c r="H302" s="16">
        <v>46089</v>
      </c>
      <c r="I302" s="16">
        <v>46112</v>
      </c>
      <c r="J302" s="1" t="s">
        <v>30</v>
      </c>
      <c r="K302" s="2" t="str">
        <f t="shared" si="54"/>
        <v>https://sig.aminerals.cl/imgdyn/rest/services/CL_MLP_PAO/CL_MLP_PAO_IF_Ortho_Geosupport/ImageServer/file?id=.\El_Mauro_Drone\26_03_08\CL_MLP_PAO_IF_Ortho_26_03_08_TORRES_E35_A_E48.tif&amp;rasterId=</v>
      </c>
      <c r="L302" s="1" t="s">
        <v>31</v>
      </c>
      <c r="M302" s="1" t="s">
        <v>32</v>
      </c>
      <c r="N302" s="1" t="s">
        <v>33</v>
      </c>
      <c r="O302" s="1" t="s">
        <v>34</v>
      </c>
      <c r="P302" s="3" t="str">
        <f t="shared" si="46"/>
        <v>08</v>
      </c>
      <c r="Q302" s="3" t="str">
        <f t="shared" si="47"/>
        <v>03</v>
      </c>
      <c r="R302" s="3" t="str">
        <f t="shared" si="48"/>
        <v>26</v>
      </c>
      <c r="S302" s="1" t="s">
        <v>87</v>
      </c>
      <c r="U302" s="1" t="s">
        <v>461</v>
      </c>
      <c r="V302" s="1" t="str">
        <f t="shared" si="49"/>
        <v>TORRES_E35_A_E48</v>
      </c>
      <c r="W302" s="1" t="str">
        <f t="shared" si="53"/>
        <v>TORRES_E35_A_E48</v>
      </c>
      <c r="X302" s="4" t="b">
        <f t="shared" si="50"/>
        <v>1</v>
      </c>
      <c r="Y302" s="1">
        <f>VLOOKUP(D302,'Orden de Imagen'!$A$1:D456,4,FALSE())</f>
        <v>272</v>
      </c>
      <c r="Z302" s="1" t="str">
        <f t="shared" si="51"/>
        <v>272_26_03_08_TORRES_E35_A_E48</v>
      </c>
    </row>
    <row r="303" spans="1:26" x14ac:dyDescent="0.25">
      <c r="A303" s="1">
        <v>315</v>
      </c>
      <c r="B303" s="1" t="s">
        <v>625</v>
      </c>
      <c r="C303" s="1" t="str">
        <f t="shared" si="44"/>
        <v>CL_MLP_PAO_IF_Ortho_26_03_08_TORRES_E85_A_E125.tif</v>
      </c>
      <c r="D303" s="1" t="str">
        <f t="shared" si="52"/>
        <v>CL_MLP_PAO_IF_Ortho_26_03_08_TORRES_E85_A_E125</v>
      </c>
      <c r="E303" s="1" t="s">
        <v>626</v>
      </c>
      <c r="F303" s="1" t="s">
        <v>460</v>
      </c>
      <c r="G303" s="1" t="s">
        <v>29</v>
      </c>
      <c r="H303" s="16">
        <v>46089</v>
      </c>
      <c r="I303" s="16">
        <v>46112</v>
      </c>
      <c r="J303" s="1" t="s">
        <v>30</v>
      </c>
      <c r="K303" s="2" t="str">
        <f t="shared" si="54"/>
        <v>https://sig.aminerals.cl/imgdyn/rest/services/CL_MLP_PAO/CL_MLP_PAO_IF_Ortho_Geosupport/ImageServer/file?id=.\El_Mauro_Puerto_Punta_Chungo_Drone\26_03_08\CL_MLP_PAO_IF_Ortho_26_03_08_TORRES_E85_A_E125.tif&amp;rasterId=</v>
      </c>
      <c r="L303" s="1" t="s">
        <v>31</v>
      </c>
      <c r="M303" s="1" t="s">
        <v>32</v>
      </c>
      <c r="N303" s="1" t="s">
        <v>33</v>
      </c>
      <c r="O303" s="1" t="s">
        <v>34</v>
      </c>
      <c r="P303" s="3" t="str">
        <f t="shared" si="46"/>
        <v>08</v>
      </c>
      <c r="Q303" s="3" t="str">
        <f t="shared" si="47"/>
        <v>03</v>
      </c>
      <c r="R303" s="3" t="str">
        <f t="shared" si="48"/>
        <v>26</v>
      </c>
      <c r="S303" s="1" t="s">
        <v>50</v>
      </c>
      <c r="U303" s="1" t="s">
        <v>461</v>
      </c>
      <c r="V303" s="1" t="str">
        <f t="shared" si="49"/>
        <v>TORRES_E85_A_E125</v>
      </c>
      <c r="W303" s="1" t="str">
        <f t="shared" si="53"/>
        <v>TORRES_E85_A_E125</v>
      </c>
      <c r="X303" s="4" t="b">
        <f t="shared" si="50"/>
        <v>1</v>
      </c>
      <c r="Y303" s="1">
        <f>VLOOKUP(D303,'Orden de Imagen'!$A$1:D457,4,FALSE())</f>
        <v>273</v>
      </c>
      <c r="Z303" s="1" t="str">
        <f t="shared" si="51"/>
        <v>273_26_03_08_TORRES_E85_A_E125</v>
      </c>
    </row>
    <row r="304" spans="1:26" x14ac:dyDescent="0.25">
      <c r="A304" s="1">
        <v>309</v>
      </c>
      <c r="B304" s="1" t="s">
        <v>627</v>
      </c>
      <c r="C304" s="1" t="str">
        <f t="shared" si="44"/>
        <v>CL_MLP_PAO_IF_Ortho_26_03_11_EV1.tif</v>
      </c>
      <c r="D304" s="1" t="str">
        <f t="shared" si="52"/>
        <v>CL_MLP_PAO_IF_Ortho_26_03_11_EV1</v>
      </c>
      <c r="E304" s="1" t="s">
        <v>258</v>
      </c>
      <c r="F304" s="1" t="s">
        <v>460</v>
      </c>
      <c r="G304" s="1" t="s">
        <v>29</v>
      </c>
      <c r="H304" s="16">
        <v>46092</v>
      </c>
      <c r="I304" s="16">
        <v>46112</v>
      </c>
      <c r="J304" s="1" t="s">
        <v>30</v>
      </c>
      <c r="K304" s="2" t="str">
        <f t="shared" si="54"/>
        <v>https://sig.aminerals.cl/imgdyn/rest/services/CL_MLP_PAO/CL_MLP_PAO_IF_Ortho_Geosupport/ImageServer/file?id=.\Chacay_El_Mauro_Drone\26_03_11\CL_MLP_PAO_IF_Ortho_26_03_11_EV1.tif&amp;rasterId=</v>
      </c>
      <c r="L304" s="1" t="s">
        <v>31</v>
      </c>
      <c r="M304" s="1" t="s">
        <v>32</v>
      </c>
      <c r="N304" s="1" t="s">
        <v>33</v>
      </c>
      <c r="O304" s="1" t="s">
        <v>34</v>
      </c>
      <c r="P304" s="3" t="str">
        <f t="shared" si="46"/>
        <v>11</v>
      </c>
      <c r="Q304" s="3" t="str">
        <f t="shared" si="47"/>
        <v>03</v>
      </c>
      <c r="R304" s="3" t="str">
        <f t="shared" si="48"/>
        <v>26</v>
      </c>
      <c r="S304" s="1" t="s">
        <v>40</v>
      </c>
      <c r="U304" s="1" t="s">
        <v>461</v>
      </c>
      <c r="V304" s="1" t="str">
        <f t="shared" si="49"/>
        <v>EV1</v>
      </c>
      <c r="W304" s="1" t="str">
        <f t="shared" si="53"/>
        <v>EV1</v>
      </c>
      <c r="X304" s="4" t="b">
        <f t="shared" si="50"/>
        <v>1</v>
      </c>
      <c r="Y304" s="1">
        <f>VLOOKUP(D304,'Orden de Imagen'!$A$1:D451,4,FALSE())</f>
        <v>274</v>
      </c>
      <c r="Z304" s="1" t="str">
        <f t="shared" si="51"/>
        <v>274_26_03_11_EV1</v>
      </c>
    </row>
    <row r="305" spans="1:26" x14ac:dyDescent="0.25">
      <c r="A305" s="1">
        <v>320</v>
      </c>
      <c r="B305" s="1" t="s">
        <v>628</v>
      </c>
      <c r="C305" s="1" t="str">
        <f t="shared" si="44"/>
        <v>CL_MLP_PAO_IF_Ortho_26_03_11_TORRES_E035_E048.tif</v>
      </c>
      <c r="D305" s="1" t="str">
        <f t="shared" si="52"/>
        <v>CL_MLP_PAO_IF_Ortho_26_03_11_TORRES_E035_E048</v>
      </c>
      <c r="E305" s="1" t="s">
        <v>629</v>
      </c>
      <c r="F305" s="1" t="s">
        <v>460</v>
      </c>
      <c r="G305" s="1" t="s">
        <v>29</v>
      </c>
      <c r="H305" s="16">
        <v>46092</v>
      </c>
      <c r="I305" s="16">
        <v>46112</v>
      </c>
      <c r="J305" s="1" t="s">
        <v>30</v>
      </c>
      <c r="K305" s="2" t="str">
        <f t="shared" si="54"/>
        <v>https://sig.aminerals.cl/imgdyn/rest/services/CL_MLP_PAO/CL_MLP_PAO_IF_Ortho_Geosupport/ImageServer/file?id=.\El_Mauro_Drone\26_03_11\CL_MLP_PAO_IF_Ortho_26_03_11_TORRES_E035_E048.tif&amp;rasterId=</v>
      </c>
      <c r="L305" s="1" t="s">
        <v>31</v>
      </c>
      <c r="M305" s="1" t="s">
        <v>32</v>
      </c>
      <c r="N305" s="1" t="s">
        <v>33</v>
      </c>
      <c r="O305" s="1" t="s">
        <v>34</v>
      </c>
      <c r="P305" s="3" t="str">
        <f t="shared" si="46"/>
        <v>11</v>
      </c>
      <c r="Q305" s="3" t="str">
        <f t="shared" si="47"/>
        <v>03</v>
      </c>
      <c r="R305" s="3" t="str">
        <f t="shared" si="48"/>
        <v>26</v>
      </c>
      <c r="S305" s="1" t="s">
        <v>87</v>
      </c>
      <c r="U305" s="1" t="s">
        <v>461</v>
      </c>
      <c r="V305" s="1" t="str">
        <f t="shared" si="49"/>
        <v>TORRES_E035_E048</v>
      </c>
      <c r="W305" s="1" t="str">
        <f t="shared" si="53"/>
        <v>TORRES_E035_E048</v>
      </c>
      <c r="X305" s="4" t="b">
        <f t="shared" si="50"/>
        <v>1</v>
      </c>
      <c r="Y305" s="1">
        <f>VLOOKUP(D305,'Orden de Imagen'!$A$1:D462,4,FALSE())</f>
        <v>275</v>
      </c>
      <c r="Z305" s="1" t="str">
        <f t="shared" si="51"/>
        <v>275_26_03_11_TORRES_E035_E048</v>
      </c>
    </row>
    <row r="306" spans="1:26" x14ac:dyDescent="0.25">
      <c r="A306" s="1">
        <v>317</v>
      </c>
      <c r="B306" s="1" t="s">
        <v>630</v>
      </c>
      <c r="C306" s="1" t="str">
        <f t="shared" si="44"/>
        <v>CL_MLP_PAO_IF_Ortho_26_03_11_TORRES_E48_A_E84_PV4.tif</v>
      </c>
      <c r="D306" s="1" t="str">
        <f t="shared" si="52"/>
        <v>CL_MLP_PAO_IF_Ortho_26_03_11_TORRES_E48_A_E84_PV4</v>
      </c>
      <c r="E306" s="1" t="s">
        <v>566</v>
      </c>
      <c r="F306" s="1" t="s">
        <v>460</v>
      </c>
      <c r="G306" s="1" t="s">
        <v>29</v>
      </c>
      <c r="H306" s="16">
        <v>46092</v>
      </c>
      <c r="I306" s="16">
        <v>46112</v>
      </c>
      <c r="J306" s="1" t="s">
        <v>30</v>
      </c>
      <c r="K306" s="2" t="str">
        <f t="shared" si="54"/>
        <v>https://sig.aminerals.cl/imgdyn/rest/services/CL_MLP_PAO/CL_MLP_PAO_IF_Ortho_Geosupport/ImageServer/file?id=.\El_Mauro_Puerto_Punta_Chungo_Drone\26_03_11\CL_MLP_PAO_IF_Ortho_26_03_11_TORRES_E48_A_E84_PV4.tif&amp;rasterId=</v>
      </c>
      <c r="L306" s="1" t="s">
        <v>31</v>
      </c>
      <c r="M306" s="1" t="s">
        <v>32</v>
      </c>
      <c r="N306" s="1" t="s">
        <v>33</v>
      </c>
      <c r="O306" s="1" t="s">
        <v>34</v>
      </c>
      <c r="P306" s="3" t="str">
        <f t="shared" si="46"/>
        <v>11</v>
      </c>
      <c r="Q306" s="3" t="str">
        <f t="shared" si="47"/>
        <v>03</v>
      </c>
      <c r="R306" s="3" t="str">
        <f t="shared" si="48"/>
        <v>26</v>
      </c>
      <c r="S306" s="1" t="s">
        <v>50</v>
      </c>
      <c r="U306" s="1" t="s">
        <v>461</v>
      </c>
      <c r="V306" s="1" t="str">
        <f t="shared" si="49"/>
        <v>TORRES_E48_A_E84_PV4</v>
      </c>
      <c r="W306" s="1" t="str">
        <f t="shared" si="53"/>
        <v>TORRES_E48_A_E84_PV4</v>
      </c>
      <c r="X306" s="4" t="b">
        <f t="shared" si="50"/>
        <v>1</v>
      </c>
      <c r="Y306" s="1">
        <f>VLOOKUP(D306,'Orden de Imagen'!$A$1:D459,4,FALSE())</f>
        <v>276</v>
      </c>
      <c r="Z306" s="1" t="str">
        <f t="shared" si="51"/>
        <v>276_26_03_11_TORRES_E48_A_E84_PV4</v>
      </c>
    </row>
    <row r="307" spans="1:26" x14ac:dyDescent="0.25">
      <c r="A307" s="1">
        <v>305</v>
      </c>
      <c r="B307" s="1" t="s">
        <v>631</v>
      </c>
      <c r="C307" s="1" t="str">
        <f t="shared" si="44"/>
        <v>CL_MLP_PAO_IF_Ortho_26_03_12_EB3.tif</v>
      </c>
      <c r="D307" s="1" t="str">
        <f t="shared" si="52"/>
        <v>CL_MLP_PAO_IF_Ortho_26_03_12_EB3</v>
      </c>
      <c r="E307" s="1" t="s">
        <v>588</v>
      </c>
      <c r="F307" s="1" t="s">
        <v>460</v>
      </c>
      <c r="G307" s="1" t="s">
        <v>29</v>
      </c>
      <c r="H307" s="16">
        <v>46093</v>
      </c>
      <c r="I307" s="16">
        <v>46112</v>
      </c>
      <c r="J307" s="1" t="s">
        <v>30</v>
      </c>
      <c r="K307" s="2" t="str">
        <f t="shared" si="54"/>
        <v>https://sig.aminerals.cl/imgdyn/rest/services/CL_MLP_PAO/CL_MLP_PAO_IF_Ortho_Geosupport/ImageServer/file?id=.\El_Mauro_Drone\26_03_12\CL_MLP_PAO_IF_Ortho_26_03_12_EB3.tif&amp;rasterId=</v>
      </c>
      <c r="L307" s="1" t="s">
        <v>31</v>
      </c>
      <c r="M307" s="1" t="s">
        <v>32</v>
      </c>
      <c r="N307" s="1" t="s">
        <v>33</v>
      </c>
      <c r="O307" s="1" t="s">
        <v>34</v>
      </c>
      <c r="P307" s="3" t="str">
        <f t="shared" si="46"/>
        <v>12</v>
      </c>
      <c r="Q307" s="3" t="str">
        <f t="shared" si="47"/>
        <v>03</v>
      </c>
      <c r="R307" s="3" t="str">
        <f t="shared" si="48"/>
        <v>26</v>
      </c>
      <c r="S307" s="1" t="s">
        <v>87</v>
      </c>
      <c r="U307" s="1" t="s">
        <v>461</v>
      </c>
      <c r="V307" s="1" t="str">
        <f t="shared" si="49"/>
        <v>EB3</v>
      </c>
      <c r="W307" s="1" t="str">
        <f t="shared" si="53"/>
        <v>EB3</v>
      </c>
      <c r="X307" s="4" t="b">
        <f t="shared" si="50"/>
        <v>1</v>
      </c>
      <c r="Y307" s="1">
        <f>VLOOKUP(D307,'Orden de Imagen'!$A$1:D447,4,FALSE())</f>
        <v>277</v>
      </c>
      <c r="Z307" s="1" t="str">
        <f t="shared" si="51"/>
        <v>277_26_03_12_EB3</v>
      </c>
    </row>
    <row r="308" spans="1:26" x14ac:dyDescent="0.25">
      <c r="A308" s="1">
        <v>311</v>
      </c>
      <c r="B308" s="1" t="s">
        <v>632</v>
      </c>
      <c r="C308" s="1" t="str">
        <f t="shared" si="44"/>
        <v>CL_MLP_PAO_IF_Ortho_26_03_12_Subestacion-El-Mauro.tif</v>
      </c>
      <c r="D308" s="1" t="str">
        <f t="shared" si="52"/>
        <v>CL_MLP_PAO_IF_Ortho_26_03_12_Subestacion-El-Mauro</v>
      </c>
      <c r="E308" s="1" t="s">
        <v>90</v>
      </c>
      <c r="F308" s="1" t="s">
        <v>460</v>
      </c>
      <c r="G308" s="1" t="s">
        <v>29</v>
      </c>
      <c r="H308" s="16">
        <v>46093</v>
      </c>
      <c r="I308" s="16">
        <v>46112</v>
      </c>
      <c r="J308" s="1" t="s">
        <v>30</v>
      </c>
      <c r="K308" s="2" t="str">
        <f t="shared" si="54"/>
        <v>https://sig.aminerals.cl/imgdyn/rest/services/CL_MLP_PAO/CL_MLP_PAO_IF_Ortho_Geosupport/ImageServer/file?id=.\El_Mauro_Drone\26_03_12\CL_MLP_PAO_IF_Ortho_26_03_12_Subestacion-El-Mauro.tif&amp;rasterId=</v>
      </c>
      <c r="L308" s="1" t="s">
        <v>31</v>
      </c>
      <c r="M308" s="1" t="s">
        <v>32</v>
      </c>
      <c r="N308" s="1" t="s">
        <v>33</v>
      </c>
      <c r="O308" s="1" t="s">
        <v>34</v>
      </c>
      <c r="P308" s="3" t="str">
        <f t="shared" si="46"/>
        <v>12</v>
      </c>
      <c r="Q308" s="3" t="str">
        <f t="shared" si="47"/>
        <v>03</v>
      </c>
      <c r="R308" s="3" t="str">
        <f t="shared" si="48"/>
        <v>26</v>
      </c>
      <c r="S308" s="1" t="s">
        <v>87</v>
      </c>
      <c r="U308" s="1" t="s">
        <v>461</v>
      </c>
      <c r="V308" s="1" t="str">
        <f t="shared" si="49"/>
        <v>Subestacion-El-Mauro</v>
      </c>
      <c r="W308" s="1" t="str">
        <f t="shared" si="53"/>
        <v>Subestacion-El-Mauro</v>
      </c>
      <c r="X308" s="4" t="b">
        <f t="shared" si="50"/>
        <v>1</v>
      </c>
      <c r="Y308" s="1">
        <f>VLOOKUP(D308,'Orden de Imagen'!$A$1:D453,4,FALSE())</f>
        <v>278</v>
      </c>
      <c r="Z308" s="1" t="str">
        <f t="shared" si="51"/>
        <v>278_26_03_12_Subestacion-El-Mauro</v>
      </c>
    </row>
    <row r="309" spans="1:26" x14ac:dyDescent="0.25">
      <c r="A309" s="1">
        <v>318</v>
      </c>
      <c r="B309" s="1" t="s">
        <v>633</v>
      </c>
      <c r="C309" s="1" t="str">
        <f t="shared" si="44"/>
        <v>CL_MLP_PAO_IF_Ortho_26_03_12_TORRE_E85_A_E125.tif</v>
      </c>
      <c r="D309" s="1" t="str">
        <f t="shared" si="52"/>
        <v>CL_MLP_PAO_IF_Ortho_26_03_12_TORRE_E85_A_E125</v>
      </c>
      <c r="E309" s="1" t="s">
        <v>634</v>
      </c>
      <c r="F309" s="1" t="s">
        <v>460</v>
      </c>
      <c r="G309" s="1" t="s">
        <v>29</v>
      </c>
      <c r="H309" s="16">
        <v>46093</v>
      </c>
      <c r="I309" s="16">
        <v>46112</v>
      </c>
      <c r="J309" s="1" t="s">
        <v>30</v>
      </c>
      <c r="K309" s="2" t="str">
        <f t="shared" si="54"/>
        <v>https://sig.aminerals.cl/imgdyn/rest/services/CL_MLP_PAO/CL_MLP_PAO_IF_Ortho_Geosupport/ImageServer/file?id=.\El_Mauro_Puerto_Punta_Chungo_Drone\26_03_12\CL_MLP_PAO_IF_Ortho_26_03_12_TORRE_E85_A_E125.tif&amp;rasterId=</v>
      </c>
      <c r="L309" s="1" t="s">
        <v>31</v>
      </c>
      <c r="M309" s="1" t="s">
        <v>32</v>
      </c>
      <c r="N309" s="1" t="s">
        <v>33</v>
      </c>
      <c r="O309" s="1" t="s">
        <v>34</v>
      </c>
      <c r="P309" s="3" t="str">
        <f t="shared" si="46"/>
        <v>12</v>
      </c>
      <c r="Q309" s="3" t="str">
        <f t="shared" si="47"/>
        <v>03</v>
      </c>
      <c r="R309" s="3" t="str">
        <f t="shared" si="48"/>
        <v>26</v>
      </c>
      <c r="S309" s="1" t="s">
        <v>50</v>
      </c>
      <c r="U309" s="1" t="s">
        <v>461</v>
      </c>
      <c r="V309" s="1" t="str">
        <f t="shared" si="49"/>
        <v>TORRE_E85_A_E125</v>
      </c>
      <c r="W309" s="1" t="str">
        <f t="shared" si="53"/>
        <v>TORRE_E85_A_E125</v>
      </c>
      <c r="X309" s="4" t="b">
        <f t="shared" si="50"/>
        <v>1</v>
      </c>
      <c r="Y309" s="1">
        <f>VLOOKUP(D309,'Orden de Imagen'!$A$1:D460,4,FALSE())</f>
        <v>279</v>
      </c>
      <c r="Z309" s="1" t="str">
        <f t="shared" si="51"/>
        <v>279_26_03_12_TORRE_E85_A_E125</v>
      </c>
    </row>
    <row r="310" spans="1:26" x14ac:dyDescent="0.25">
      <c r="A310" s="1">
        <v>306</v>
      </c>
      <c r="B310" s="1" t="s">
        <v>635</v>
      </c>
      <c r="C310" s="1" t="str">
        <f t="shared" si="44"/>
        <v>CL_MLP_PAO_IF_Ortho_26_03_13_EM1.tif</v>
      </c>
      <c r="D310" s="1" t="str">
        <f t="shared" si="52"/>
        <v>CL_MLP_PAO_IF_Ortho_26_03_13_EM1</v>
      </c>
      <c r="E310" s="1" t="s">
        <v>375</v>
      </c>
      <c r="F310" s="1" t="s">
        <v>460</v>
      </c>
      <c r="G310" s="1" t="s">
        <v>29</v>
      </c>
      <c r="H310" s="16">
        <v>46094</v>
      </c>
      <c r="I310" s="16">
        <v>46112</v>
      </c>
      <c r="J310" s="1" t="s">
        <v>30</v>
      </c>
      <c r="K310" s="2" t="str">
        <f t="shared" si="54"/>
        <v>https://sig.aminerals.cl/imgdyn/rest/services/CL_MLP_PAO/CL_MLP_PAO_IF_Ortho_Geosupport/ImageServer/file?id=.\Chacay_Drone\26_03_13\CL_MLP_PAO_IF_Ortho_26_03_13_EM1.tif&amp;rasterId=</v>
      </c>
      <c r="L310" s="1" t="s">
        <v>31</v>
      </c>
      <c r="M310" s="1" t="s">
        <v>32</v>
      </c>
      <c r="N310" s="1" t="s">
        <v>33</v>
      </c>
      <c r="O310" s="1" t="s">
        <v>34</v>
      </c>
      <c r="P310" s="3" t="str">
        <f t="shared" si="46"/>
        <v>13</v>
      </c>
      <c r="Q310" s="3" t="str">
        <f t="shared" si="47"/>
        <v>03</v>
      </c>
      <c r="R310" s="3" t="str">
        <f t="shared" si="48"/>
        <v>26</v>
      </c>
      <c r="S310" s="1" t="s">
        <v>56</v>
      </c>
      <c r="U310" s="1" t="s">
        <v>461</v>
      </c>
      <c r="V310" s="1" t="str">
        <f t="shared" si="49"/>
        <v>EM1</v>
      </c>
      <c r="W310" s="1" t="str">
        <f t="shared" si="53"/>
        <v>EM1</v>
      </c>
      <c r="X310" s="4" t="b">
        <f t="shared" si="50"/>
        <v>1</v>
      </c>
      <c r="Y310" s="1">
        <f>VLOOKUP(D310,'Orden de Imagen'!$A$1:D448,4,FALSE())</f>
        <v>280</v>
      </c>
      <c r="Z310" s="1" t="str">
        <f t="shared" si="51"/>
        <v>280_26_03_13_EM1</v>
      </c>
    </row>
    <row r="311" spans="1:26" x14ac:dyDescent="0.25">
      <c r="A311" s="1">
        <v>308</v>
      </c>
      <c r="B311" s="1" t="s">
        <v>636</v>
      </c>
      <c r="C311" s="1" t="str">
        <f t="shared" si="44"/>
        <v>CL_MLP_PAO_IF_Ortho_26_03_13_EM4.tif</v>
      </c>
      <c r="D311" s="1" t="str">
        <f t="shared" si="52"/>
        <v>CL_MLP_PAO_IF_Ortho_26_03_13_EM4</v>
      </c>
      <c r="E311" s="1" t="s">
        <v>540</v>
      </c>
      <c r="F311" s="1" t="s">
        <v>460</v>
      </c>
      <c r="G311" s="1" t="s">
        <v>29</v>
      </c>
      <c r="H311" s="16">
        <v>46094</v>
      </c>
      <c r="I311" s="16">
        <v>46112</v>
      </c>
      <c r="J311" s="1" t="s">
        <v>30</v>
      </c>
      <c r="K311" s="2" t="str">
        <f t="shared" si="54"/>
        <v>https://sig.aminerals.cl/imgdyn/rest/services/CL_MLP_PAO/CL_MLP_PAO_IF_Ortho_Geosupport/ImageServer/file?id=.\El_Mauro_Drone\26_03_13\CL_MLP_PAO_IF_Ortho_26_03_13_EM4.tif&amp;rasterId=</v>
      </c>
      <c r="L311" s="1" t="s">
        <v>31</v>
      </c>
      <c r="M311" s="1" t="s">
        <v>32</v>
      </c>
      <c r="N311" s="1" t="s">
        <v>33</v>
      </c>
      <c r="O311" s="1" t="s">
        <v>34</v>
      </c>
      <c r="P311" s="3" t="str">
        <f t="shared" si="46"/>
        <v>13</v>
      </c>
      <c r="Q311" s="3" t="str">
        <f t="shared" si="47"/>
        <v>03</v>
      </c>
      <c r="R311" s="3" t="str">
        <f t="shared" si="48"/>
        <v>26</v>
      </c>
      <c r="S311" s="1" t="s">
        <v>87</v>
      </c>
      <c r="U311" s="1" t="s">
        <v>461</v>
      </c>
      <c r="V311" s="1" t="str">
        <f t="shared" si="49"/>
        <v>EM4</v>
      </c>
      <c r="W311" s="1" t="str">
        <f t="shared" si="53"/>
        <v>EM4</v>
      </c>
      <c r="X311" s="4" t="b">
        <f t="shared" si="50"/>
        <v>1</v>
      </c>
      <c r="Y311" s="1">
        <f>VLOOKUP(D311,'Orden de Imagen'!$A$1:D450,4,FALSE())</f>
        <v>281</v>
      </c>
      <c r="Z311" s="1" t="str">
        <f t="shared" si="51"/>
        <v>281_26_03_13_EM4</v>
      </c>
    </row>
    <row r="312" spans="1:26" x14ac:dyDescent="0.25">
      <c r="A312" s="1">
        <v>310</v>
      </c>
      <c r="B312" s="1" t="s">
        <v>637</v>
      </c>
      <c r="C312" s="1" t="str">
        <f t="shared" si="44"/>
        <v>CL_MLP_PAO_IF_Ortho_26_03_13_EV2.tif</v>
      </c>
      <c r="D312" s="1" t="str">
        <f t="shared" si="52"/>
        <v>CL_MLP_PAO_IF_Ortho_26_03_13_EV2</v>
      </c>
      <c r="E312" s="1" t="s">
        <v>74</v>
      </c>
      <c r="F312" s="1" t="s">
        <v>460</v>
      </c>
      <c r="G312" s="1" t="s">
        <v>29</v>
      </c>
      <c r="H312" s="16">
        <v>46094</v>
      </c>
      <c r="I312" s="16">
        <v>46112</v>
      </c>
      <c r="J312" s="1" t="s">
        <v>30</v>
      </c>
      <c r="K312" s="2" t="str">
        <f t="shared" si="54"/>
        <v>https://sig.aminerals.cl/imgdyn/rest/services/CL_MLP_PAO/CL_MLP_PAO_IF_Ortho_Geosupport/ImageServer/file?id=.\El_Mauro_Puerto_Punta_Chungo_Drone\26_03_13\CL_MLP_PAO_IF_Ortho_26_03_13_EV2.tif&amp;rasterId=</v>
      </c>
      <c r="L312" s="1" t="s">
        <v>31</v>
      </c>
      <c r="M312" s="1" t="s">
        <v>32</v>
      </c>
      <c r="N312" s="1" t="s">
        <v>33</v>
      </c>
      <c r="O312" s="1" t="s">
        <v>34</v>
      </c>
      <c r="P312" s="3" t="str">
        <f t="shared" si="46"/>
        <v>13</v>
      </c>
      <c r="Q312" s="3" t="str">
        <f t="shared" si="47"/>
        <v>03</v>
      </c>
      <c r="R312" s="3" t="str">
        <f t="shared" si="48"/>
        <v>26</v>
      </c>
      <c r="S312" s="1" t="s">
        <v>50</v>
      </c>
      <c r="U312" s="1" t="s">
        <v>461</v>
      </c>
      <c r="V312" s="1" t="str">
        <f t="shared" si="49"/>
        <v>EV2</v>
      </c>
      <c r="W312" s="1" t="str">
        <f t="shared" si="53"/>
        <v>EV2</v>
      </c>
      <c r="X312" s="4" t="b">
        <f t="shared" si="50"/>
        <v>1</v>
      </c>
      <c r="Y312" s="1">
        <f>VLOOKUP(D312,'Orden de Imagen'!$A$1:D452,4,FALSE())</f>
        <v>282</v>
      </c>
      <c r="Z312" s="1" t="str">
        <f t="shared" si="51"/>
        <v>282_26_03_13_EV2</v>
      </c>
    </row>
    <row r="313" spans="1:26" x14ac:dyDescent="0.25">
      <c r="A313" s="1">
        <v>316</v>
      </c>
      <c r="B313" s="1" t="s">
        <v>638</v>
      </c>
      <c r="C313" s="1" t="str">
        <f t="shared" si="44"/>
        <v>CL_MLP_PAO_IF_Ortho_26_03_13_MonteAranda-NSTC-Km-84p2-a-82p3.tif</v>
      </c>
      <c r="D313" s="1" t="str">
        <f t="shared" si="52"/>
        <v>CL_MLP_PAO_IF_Ortho_26_03_13_MonteAranda-NSTC-Km-84p2-a-82p3</v>
      </c>
      <c r="E313" s="1" t="s">
        <v>488</v>
      </c>
      <c r="F313" s="1" t="s">
        <v>460</v>
      </c>
      <c r="G313" s="1" t="s">
        <v>29</v>
      </c>
      <c r="H313" s="16">
        <v>46094</v>
      </c>
      <c r="I313" s="16">
        <v>46112</v>
      </c>
      <c r="J313" s="1" t="s">
        <v>30</v>
      </c>
      <c r="K313" s="2" t="str">
        <f t="shared" si="54"/>
        <v>https://sig.aminerals.cl/imgdyn/rest/services/CL_MLP_PAO/CL_MLP_PAO_IF_Ortho_Geosupport/ImageServer/file?id=.\El_Mauro_Puerto_Punta_Chungo_Drone\26_03_13\CL_MLP_PAO_IF_Ortho_26_03_13_MonteAranda-NSTC-Km-84p2-a-82p3.tif&amp;rasterId=</v>
      </c>
      <c r="L313" s="1" t="s">
        <v>31</v>
      </c>
      <c r="M313" s="1" t="s">
        <v>32</v>
      </c>
      <c r="N313" s="1" t="s">
        <v>33</v>
      </c>
      <c r="O313" s="1" t="s">
        <v>34</v>
      </c>
      <c r="P313" s="3" t="str">
        <f t="shared" si="46"/>
        <v>13</v>
      </c>
      <c r="Q313" s="3" t="str">
        <f t="shared" si="47"/>
        <v>03</v>
      </c>
      <c r="R313" s="3" t="str">
        <f t="shared" si="48"/>
        <v>26</v>
      </c>
      <c r="S313" s="1" t="s">
        <v>50</v>
      </c>
      <c r="U313" s="1" t="s">
        <v>461</v>
      </c>
      <c r="V313" s="1" t="str">
        <f t="shared" si="49"/>
        <v>MonteAranda-NSTC-Km-84p2-a-82p3</v>
      </c>
      <c r="W313" s="1" t="str">
        <f t="shared" si="53"/>
        <v>MonteAranda-NSTC-Km-84p2-a-82p3</v>
      </c>
      <c r="X313" s="4" t="b">
        <f t="shared" si="50"/>
        <v>1</v>
      </c>
      <c r="Y313" s="1">
        <f>VLOOKUP(D313,'Orden de Imagen'!$A$1:D458,4,FALSE())</f>
        <v>283</v>
      </c>
      <c r="Z313" s="1" t="str">
        <f t="shared" si="51"/>
        <v>283_26_03_13_MonteAranda-NSTC-Km-84p2-a-82p3</v>
      </c>
    </row>
    <row r="314" spans="1:26" x14ac:dyDescent="0.25">
      <c r="A314" s="1">
        <v>391</v>
      </c>
      <c r="B314" s="1" t="s">
        <v>639</v>
      </c>
      <c r="C314" s="1" t="str">
        <f t="shared" si="44"/>
        <v>CL_MLP_PAO_IF_Ortho_26_03_13_Plataforma_Integrada_El_Mauro.tif</v>
      </c>
      <c r="D314" s="1" t="str">
        <f t="shared" si="52"/>
        <v>CL_MLP_PAO_IF_Ortho_26_03_13_Plataforma_Integrada_El_Mauro</v>
      </c>
      <c r="E314" s="1" t="s">
        <v>459</v>
      </c>
      <c r="F314" s="1" t="s">
        <v>460</v>
      </c>
      <c r="G314" s="1" t="s">
        <v>29</v>
      </c>
      <c r="H314" s="16">
        <v>46094</v>
      </c>
      <c r="I314" s="16">
        <v>46135</v>
      </c>
      <c r="J314" s="1" t="s">
        <v>30</v>
      </c>
      <c r="K314" s="2" t="str">
        <f>CONCATENATE("https://sig.aminerals.cl/imgdyn/rest/services/CL_MLP_PAO/",U314,"/","ImageServer/file?id=.\",S314,"\",R314,"_",Q314,"\",C314,"&amp;rasterId=")</f>
        <v>https://sig.aminerals.cl/imgdyn/rest/services/CL_MLP_PAO/CL_MLP_PAO_IF_Ortho_Geosupport/ImageServer/file?id=.\El_Mauro_Drone\26_03\CL_MLP_PAO_IF_Ortho_26_03_13_Plataforma_Integrada_El_Mauro.tif&amp;rasterId=</v>
      </c>
      <c r="L314" s="1" t="s">
        <v>31</v>
      </c>
      <c r="M314" s="1" t="s">
        <v>32</v>
      </c>
      <c r="N314" s="1" t="s">
        <v>33</v>
      </c>
      <c r="O314" s="1" t="s">
        <v>34</v>
      </c>
      <c r="P314" s="3" t="str">
        <f t="shared" si="46"/>
        <v>13</v>
      </c>
      <c r="Q314" s="3" t="str">
        <f t="shared" si="47"/>
        <v>03</v>
      </c>
      <c r="R314" s="3" t="str">
        <f t="shared" si="48"/>
        <v>26</v>
      </c>
      <c r="S314" s="1" t="s">
        <v>87</v>
      </c>
      <c r="U314" s="1" t="s">
        <v>461</v>
      </c>
      <c r="V314" s="1" t="str">
        <f t="shared" si="49"/>
        <v>Plataforma_Integrada_El_Mauro</v>
      </c>
      <c r="W314" s="1" t="str">
        <f t="shared" si="53"/>
        <v>Plataforma_Integrada_El_Mauro</v>
      </c>
      <c r="X314" s="4" t="b">
        <f t="shared" si="50"/>
        <v>1</v>
      </c>
      <c r="Y314" s="1">
        <f>VLOOKUP(D314,'Orden de Imagen'!$A$1:D530,4,FALSE())</f>
        <v>284</v>
      </c>
      <c r="Z314" s="1" t="str">
        <f t="shared" si="51"/>
        <v>284_26_03_13_Plataforma_Integrada_El_Mauro</v>
      </c>
    </row>
    <row r="315" spans="1:26" x14ac:dyDescent="0.25">
      <c r="A315" s="1">
        <v>290</v>
      </c>
      <c r="B315" s="1" t="s">
        <v>640</v>
      </c>
      <c r="C315" s="1" t="str">
        <f t="shared" si="44"/>
        <v>CL_MLP_PAO_IF_Ortho_26_03_14_ED1-IIFF7-DME8.tif</v>
      </c>
      <c r="D315" s="1" t="str">
        <f t="shared" si="52"/>
        <v>CL_MLP_PAO_IF_Ortho_26_03_14_ED1-IIFF7-DME8</v>
      </c>
      <c r="E315" s="1" t="s">
        <v>485</v>
      </c>
      <c r="F315" s="1" t="s">
        <v>460</v>
      </c>
      <c r="G315" s="1" t="s">
        <v>29</v>
      </c>
      <c r="H315" s="16">
        <v>46095</v>
      </c>
      <c r="I315" s="16">
        <v>46112</v>
      </c>
      <c r="J315" s="1" t="s">
        <v>30</v>
      </c>
      <c r="K315" s="2" t="str">
        <f t="shared" ref="K315:K326" si="55">CONCATENATE("https://sig.aminerals.cl/imgdyn/rest/services/CL_MLP_PAO/",U315,"/","ImageServer/file?id=.\",S315,"\",R315,"_",Q315,"_",P315,"\",C315,"&amp;rasterId=")</f>
        <v>https://sig.aminerals.cl/imgdyn/rest/services/CL_MLP_PAO/CL_MLP_PAO_IF_Ortho_Geosupport/ImageServer/file?id=.\Chacay_El_Mauro_Drone\26_03_14\CL_MLP_PAO_IF_Ortho_26_03_14_ED1-IIFF7-DME8.tif&amp;rasterId=</v>
      </c>
      <c r="L315" s="1" t="s">
        <v>31</v>
      </c>
      <c r="M315" s="1" t="s">
        <v>32</v>
      </c>
      <c r="N315" s="1" t="s">
        <v>33</v>
      </c>
      <c r="O315" s="1" t="s">
        <v>34</v>
      </c>
      <c r="P315" s="3" t="str">
        <f t="shared" si="46"/>
        <v>14</v>
      </c>
      <c r="Q315" s="3" t="str">
        <f t="shared" si="47"/>
        <v>03</v>
      </c>
      <c r="R315" s="3" t="str">
        <f t="shared" si="48"/>
        <v>26</v>
      </c>
      <c r="S315" s="1" t="s">
        <v>40</v>
      </c>
      <c r="U315" s="1" t="s">
        <v>461</v>
      </c>
      <c r="V315" s="1" t="str">
        <f t="shared" si="49"/>
        <v>ED1-IIFF7-DME8</v>
      </c>
      <c r="W315" s="1" t="str">
        <f t="shared" si="53"/>
        <v>ED1-IIFF7-DME8</v>
      </c>
      <c r="X315" s="4" t="b">
        <f t="shared" si="50"/>
        <v>1</v>
      </c>
      <c r="Y315" s="1">
        <f>VLOOKUP(D315,'Orden de Imagen'!$A$1:D432,4,FALSE())</f>
        <v>285</v>
      </c>
      <c r="Z315" s="1" t="str">
        <f t="shared" si="51"/>
        <v>285_26_03_14_ED1-IIFF7-DME8</v>
      </c>
    </row>
    <row r="316" spans="1:26" x14ac:dyDescent="0.25">
      <c r="A316" s="1">
        <v>294</v>
      </c>
      <c r="B316" s="1" t="s">
        <v>589</v>
      </c>
      <c r="C316" s="1" t="str">
        <f t="shared" si="44"/>
        <v>CL_MLP_PAO_IF_Ortho_26_03_14_EM2.tif</v>
      </c>
      <c r="D316" s="1" t="str">
        <f t="shared" si="52"/>
        <v>CL_MLP_PAO_IF_Ortho_26_03_14_EM2</v>
      </c>
      <c r="E316" s="1" t="s">
        <v>590</v>
      </c>
      <c r="F316" s="1" t="s">
        <v>460</v>
      </c>
      <c r="G316" s="1" t="s">
        <v>29</v>
      </c>
      <c r="H316" s="16">
        <v>46095</v>
      </c>
      <c r="I316" s="16">
        <v>46112</v>
      </c>
      <c r="J316" s="1" t="s">
        <v>30</v>
      </c>
      <c r="K316" s="2" t="str">
        <f t="shared" si="55"/>
        <v>https://sig.aminerals.cl/imgdyn/rest/services/CL_MLP_PAO/CL_MLP_PAO_IF_Ortho_Geosupport/ImageServer/file?id=.\Chacay_El_Mauro_Drone\26_03_14\CL_MLP_PAO_IF_Ortho_26_03_14_EM2.tif&amp;rasterId=</v>
      </c>
      <c r="L316" s="1" t="s">
        <v>31</v>
      </c>
      <c r="M316" s="1" t="s">
        <v>32</v>
      </c>
      <c r="N316" s="1" t="s">
        <v>33</v>
      </c>
      <c r="O316" s="1" t="s">
        <v>34</v>
      </c>
      <c r="P316" s="3" t="str">
        <f t="shared" si="46"/>
        <v>14</v>
      </c>
      <c r="Q316" s="3" t="str">
        <f t="shared" si="47"/>
        <v>03</v>
      </c>
      <c r="R316" s="3" t="str">
        <f t="shared" si="48"/>
        <v>26</v>
      </c>
      <c r="S316" s="1" t="s">
        <v>40</v>
      </c>
      <c r="U316" s="1" t="s">
        <v>461</v>
      </c>
      <c r="V316" s="1" t="str">
        <f t="shared" si="49"/>
        <v>EM2</v>
      </c>
      <c r="W316" s="1" t="str">
        <f t="shared" ref="W316:W347" si="56">E316</f>
        <v>EM2</v>
      </c>
      <c r="X316" s="4" t="b">
        <f t="shared" si="50"/>
        <v>1</v>
      </c>
      <c r="Y316" s="1">
        <f>VLOOKUP(D316,'Orden de Imagen'!$A$1:D436,4,FALSE())</f>
        <v>286</v>
      </c>
      <c r="Z316" s="1" t="str">
        <f t="shared" si="51"/>
        <v>286_26_03_14_EM2</v>
      </c>
    </row>
    <row r="317" spans="1:26" x14ac:dyDescent="0.25">
      <c r="A317" s="1">
        <v>307</v>
      </c>
      <c r="B317" s="1" t="s">
        <v>641</v>
      </c>
      <c r="C317" s="1" t="str">
        <f t="shared" si="44"/>
        <v>CL_MLP_PAO_IF_Ortho_26_03_14_IIFF9-PA13.tif</v>
      </c>
      <c r="D317" s="1" t="str">
        <f t="shared" si="52"/>
        <v>CL_MLP_PAO_IF_Ortho_26_03_14_IIFF9-PA13</v>
      </c>
      <c r="E317" s="1" t="s">
        <v>508</v>
      </c>
      <c r="F317" s="1" t="s">
        <v>460</v>
      </c>
      <c r="G317" s="1" t="s">
        <v>29</v>
      </c>
      <c r="H317" s="16">
        <v>46095</v>
      </c>
      <c r="I317" s="16">
        <v>46112</v>
      </c>
      <c r="J317" s="1" t="s">
        <v>30</v>
      </c>
      <c r="K317" s="2" t="str">
        <f t="shared" si="55"/>
        <v>https://sig.aminerals.cl/imgdyn/rest/services/CL_MLP_PAO/CL_MLP_PAO_IF_Ortho_Geosupport/ImageServer/file?id=.\Chacay_El_Mauro_Drone\26_03_14\CL_MLP_PAO_IF_Ortho_26_03_14_IIFF9-PA13.tif&amp;rasterId=</v>
      </c>
      <c r="L317" s="1" t="s">
        <v>31</v>
      </c>
      <c r="M317" s="1" t="s">
        <v>32</v>
      </c>
      <c r="N317" s="1" t="s">
        <v>33</v>
      </c>
      <c r="O317" s="1" t="s">
        <v>34</v>
      </c>
      <c r="P317" s="3" t="str">
        <f t="shared" si="46"/>
        <v>14</v>
      </c>
      <c r="Q317" s="3" t="str">
        <f t="shared" si="47"/>
        <v>03</v>
      </c>
      <c r="R317" s="3" t="str">
        <f t="shared" si="48"/>
        <v>26</v>
      </c>
      <c r="S317" s="1" t="s">
        <v>40</v>
      </c>
      <c r="U317" s="1" t="s">
        <v>461</v>
      </c>
      <c r="V317" s="1" t="str">
        <f t="shared" si="49"/>
        <v>IIFF9-PA13</v>
      </c>
      <c r="W317" s="1" t="str">
        <f t="shared" si="56"/>
        <v>IIFF9-PA13</v>
      </c>
      <c r="X317" s="4" t="b">
        <f t="shared" si="50"/>
        <v>1</v>
      </c>
      <c r="Y317" s="1">
        <f>VLOOKUP(D317,'Orden de Imagen'!$A$1:D449,4,FALSE())</f>
        <v>287</v>
      </c>
      <c r="Z317" s="1" t="str">
        <f t="shared" si="51"/>
        <v>287_26_03_14_IIFF9-PA13</v>
      </c>
    </row>
    <row r="318" spans="1:26" x14ac:dyDescent="0.25">
      <c r="A318" s="1">
        <v>319</v>
      </c>
      <c r="B318" s="1" t="s">
        <v>642</v>
      </c>
      <c r="C318" s="8" t="str">
        <f t="shared" si="44"/>
        <v>CL_MLP_PAO_IF_Ortho_26_03_14_Subestacion-El-Mauro_A_E35_.tif</v>
      </c>
      <c r="D318" s="1" t="str">
        <f t="shared" si="52"/>
        <v>CL_MLP_PAO_IF_Ortho_26_03_14_Subestacion-El-Mauro_A_E35_</v>
      </c>
      <c r="E318" s="1" t="s">
        <v>643</v>
      </c>
      <c r="F318" s="1" t="s">
        <v>460</v>
      </c>
      <c r="G318" s="1" t="s">
        <v>29</v>
      </c>
      <c r="H318" s="16">
        <v>46095</v>
      </c>
      <c r="I318" s="16">
        <v>46112</v>
      </c>
      <c r="J318" s="1" t="s">
        <v>30</v>
      </c>
      <c r="K318" s="2" t="str">
        <f t="shared" si="55"/>
        <v>https://sig.aminerals.cl/imgdyn/rest/services/CL_MLP_PAO/CL_MLP_PAO_IF_Ortho_Geosupport/ImageServer/file?id=.\El_Mauro_Drone\26_03_14\CL_MLP_PAO_IF_Ortho_26_03_14_Subestacion-El-Mauro_A_E35_.tif&amp;rasterId=</v>
      </c>
      <c r="L318" s="1" t="s">
        <v>31</v>
      </c>
      <c r="M318" s="1" t="s">
        <v>32</v>
      </c>
      <c r="N318" s="1" t="s">
        <v>33</v>
      </c>
      <c r="O318" s="1" t="s">
        <v>34</v>
      </c>
      <c r="P318" s="3" t="str">
        <f t="shared" si="46"/>
        <v>14</v>
      </c>
      <c r="Q318" s="3" t="str">
        <f t="shared" si="47"/>
        <v>03</v>
      </c>
      <c r="R318" s="3" t="str">
        <f t="shared" si="48"/>
        <v>26</v>
      </c>
      <c r="S318" s="1" t="s">
        <v>87</v>
      </c>
      <c r="U318" s="1" t="s">
        <v>461</v>
      </c>
      <c r="V318" s="1" t="str">
        <f t="shared" si="49"/>
        <v>Subestacion-El-Mauro_A_E35_</v>
      </c>
      <c r="W318" s="1" t="str">
        <f t="shared" si="56"/>
        <v>Subestacion-El-Mauro_A_E35_</v>
      </c>
      <c r="X318" s="4" t="b">
        <f t="shared" si="50"/>
        <v>1</v>
      </c>
      <c r="Y318" s="1" t="e">
        <f>VLOOKUP(D318,'Orden de Imagen'!$A$1:D461,4,FALSE())</f>
        <v>#N/A</v>
      </c>
      <c r="Z318" s="1" t="e">
        <f t="shared" si="51"/>
        <v>#N/A</v>
      </c>
    </row>
    <row r="319" spans="1:26" x14ac:dyDescent="0.25">
      <c r="A319" s="1">
        <v>292</v>
      </c>
      <c r="B319" s="1" t="s">
        <v>644</v>
      </c>
      <c r="C319" s="1" t="str">
        <f t="shared" ref="C319:C382" si="57">CONCATENATE(L319,"_",M319,"_",G319,"_",N319,"_",O319,"_",R319,"_",Q319,"_",P319,"_",E319,".tif")</f>
        <v>CL_MLP_PAO_IF_Ortho_26_03_15_ED2.tif</v>
      </c>
      <c r="D319" s="1" t="str">
        <f t="shared" si="52"/>
        <v>CL_MLP_PAO_IF_Ortho_26_03_15_ED2</v>
      </c>
      <c r="E319" s="1" t="s">
        <v>468</v>
      </c>
      <c r="F319" s="1" t="s">
        <v>460</v>
      </c>
      <c r="G319" s="1" t="s">
        <v>29</v>
      </c>
      <c r="H319" s="16">
        <v>46096</v>
      </c>
      <c r="I319" s="16">
        <v>46112</v>
      </c>
      <c r="J319" s="1" t="s">
        <v>30</v>
      </c>
      <c r="K319" s="2" t="str">
        <f t="shared" si="55"/>
        <v>https://sig.aminerals.cl/imgdyn/rest/services/CL_MLP_PAO/CL_MLP_PAO_IF_Ortho_Geosupport/ImageServer/file?id=.\Chacay_El_Mauro_Drone\26_03_15\CL_MLP_PAO_IF_Ortho_26_03_15_ED2.tif&amp;rasterId=</v>
      </c>
      <c r="L319" s="1" t="s">
        <v>31</v>
      </c>
      <c r="M319" s="1" t="s">
        <v>32</v>
      </c>
      <c r="N319" s="1" t="s">
        <v>33</v>
      </c>
      <c r="O319" s="1" t="s">
        <v>34</v>
      </c>
      <c r="P319" s="3" t="str">
        <f t="shared" si="46"/>
        <v>15</v>
      </c>
      <c r="Q319" s="3" t="str">
        <f t="shared" si="47"/>
        <v>03</v>
      </c>
      <c r="R319" s="3" t="str">
        <f t="shared" si="48"/>
        <v>26</v>
      </c>
      <c r="S319" s="1" t="s">
        <v>40</v>
      </c>
      <c r="U319" s="1" t="s">
        <v>461</v>
      </c>
      <c r="V319" s="1" t="str">
        <f t="shared" si="49"/>
        <v>ED2</v>
      </c>
      <c r="W319" s="1" t="str">
        <f t="shared" si="56"/>
        <v>ED2</v>
      </c>
      <c r="X319" s="4" t="b">
        <f t="shared" si="50"/>
        <v>1</v>
      </c>
      <c r="Y319" s="1">
        <f>VLOOKUP(D319,'Orden de Imagen'!$A$1:D434,4,FALSE())</f>
        <v>289</v>
      </c>
      <c r="Z319" s="1" t="str">
        <f t="shared" si="51"/>
        <v>289_26_03_15_ED2</v>
      </c>
    </row>
    <row r="320" spans="1:26" x14ac:dyDescent="0.25">
      <c r="A320" s="1">
        <v>313</v>
      </c>
      <c r="B320" s="1" t="s">
        <v>645</v>
      </c>
      <c r="C320" s="1" t="str">
        <f t="shared" si="57"/>
        <v>CL_MLP_PAO_IF_Ortho_26_03_15_Linea-33-kV-NorteElMauro-Area3_1.tif</v>
      </c>
      <c r="D320" s="1" t="str">
        <f t="shared" si="52"/>
        <v>CL_MLP_PAO_IF_Ortho_26_03_15_Linea-33-kV-NorteElMauro-Area3_1</v>
      </c>
      <c r="E320" s="1" t="s">
        <v>518</v>
      </c>
      <c r="F320" s="1" t="s">
        <v>460</v>
      </c>
      <c r="G320" s="1" t="s">
        <v>29</v>
      </c>
      <c r="H320" s="16">
        <v>46096</v>
      </c>
      <c r="I320" s="16">
        <v>46112</v>
      </c>
      <c r="J320" s="1" t="s">
        <v>30</v>
      </c>
      <c r="K320" s="2" t="str">
        <f t="shared" si="55"/>
        <v>https://sig.aminerals.cl/imgdyn/rest/services/CL_MLP_PAO/CL_MLP_PAO_IF_Ortho_Geosupport/ImageServer/file?id=.\El_Mauro_Drone\26_03_15\CL_MLP_PAO_IF_Ortho_26_03_15_Linea-33-kV-NorteElMauro-Area3_1.tif&amp;rasterId=</v>
      </c>
      <c r="L320" s="1" t="s">
        <v>31</v>
      </c>
      <c r="M320" s="1" t="s">
        <v>32</v>
      </c>
      <c r="N320" s="1" t="s">
        <v>33</v>
      </c>
      <c r="O320" s="1" t="s">
        <v>34</v>
      </c>
      <c r="P320" s="3" t="str">
        <f t="shared" si="46"/>
        <v>15</v>
      </c>
      <c r="Q320" s="3" t="str">
        <f t="shared" si="47"/>
        <v>03</v>
      </c>
      <c r="R320" s="3" t="str">
        <f t="shared" si="48"/>
        <v>26</v>
      </c>
      <c r="S320" s="1" t="s">
        <v>87</v>
      </c>
      <c r="U320" s="1" t="s">
        <v>461</v>
      </c>
      <c r="V320" s="1" t="str">
        <f t="shared" si="49"/>
        <v>Linea-33-kV-NorteElMauro-Area3_1</v>
      </c>
      <c r="W320" s="1" t="str">
        <f t="shared" si="56"/>
        <v>Linea-33-kV-NorteElMauro-Area3_1</v>
      </c>
      <c r="X320" s="4" t="b">
        <f t="shared" si="50"/>
        <v>1</v>
      </c>
      <c r="Y320" s="1">
        <f>VLOOKUP(D320,'Orden de Imagen'!$A$1:D455,4,FALSE())</f>
        <v>290</v>
      </c>
      <c r="Z320" s="1" t="str">
        <f t="shared" si="51"/>
        <v>290_26_03_15_Linea-33-kV-NorteElMauro-Area3_1</v>
      </c>
    </row>
    <row r="321" spans="1:26" x14ac:dyDescent="0.25">
      <c r="A321" s="1">
        <v>312</v>
      </c>
      <c r="B321" s="1" t="s">
        <v>646</v>
      </c>
      <c r="C321" s="1" t="str">
        <f t="shared" si="57"/>
        <v>CL_MLP_PAO_IF_Ortho_26_03_16_Patio-19B-y-Armado.tif</v>
      </c>
      <c r="D321" s="1" t="str">
        <f t="shared" si="52"/>
        <v>CL_MLP_PAO_IF_Ortho_26_03_16_Patio-19B-y-Armado</v>
      </c>
      <c r="E321" s="1" t="s">
        <v>472</v>
      </c>
      <c r="F321" s="1" t="s">
        <v>460</v>
      </c>
      <c r="G321" s="1" t="s">
        <v>29</v>
      </c>
      <c r="H321" s="16">
        <v>46097</v>
      </c>
      <c r="I321" s="16">
        <v>46112</v>
      </c>
      <c r="J321" s="1" t="s">
        <v>30</v>
      </c>
      <c r="K321" s="2" t="str">
        <f t="shared" si="55"/>
        <v>https://sig.aminerals.cl/imgdyn/rest/services/CL_MLP_PAO/CL_MLP_PAO_IF_Ortho_Geosupport/ImageServer/file?id=.\El_Mauro_Drone\26_03_16\CL_MLP_PAO_IF_Ortho_26_03_16_Patio-19B-y-Armado.tif&amp;rasterId=</v>
      </c>
      <c r="L321" s="1" t="s">
        <v>31</v>
      </c>
      <c r="M321" s="1" t="s">
        <v>32</v>
      </c>
      <c r="N321" s="1" t="s">
        <v>33</v>
      </c>
      <c r="O321" s="1" t="s">
        <v>34</v>
      </c>
      <c r="P321" s="3" t="str">
        <f t="shared" si="46"/>
        <v>16</v>
      </c>
      <c r="Q321" s="3" t="str">
        <f t="shared" si="47"/>
        <v>03</v>
      </c>
      <c r="R321" s="3" t="str">
        <f t="shared" si="48"/>
        <v>26</v>
      </c>
      <c r="S321" s="1" t="s">
        <v>87</v>
      </c>
      <c r="U321" s="1" t="s">
        <v>461</v>
      </c>
      <c r="V321" s="1" t="str">
        <f t="shared" si="49"/>
        <v>Patio-19B-y-Armado</v>
      </c>
      <c r="W321" s="1" t="str">
        <f t="shared" si="56"/>
        <v>Patio-19B-y-Armado</v>
      </c>
      <c r="X321" s="4" t="b">
        <f t="shared" si="50"/>
        <v>1</v>
      </c>
      <c r="Y321" s="1">
        <f>VLOOKUP(D321,'Orden de Imagen'!$A$1:D454,4,FALSE())</f>
        <v>291</v>
      </c>
      <c r="Z321" s="1" t="str">
        <f t="shared" si="51"/>
        <v>291_26_03_16_Patio-19B-y-Armado</v>
      </c>
    </row>
    <row r="322" spans="1:26" x14ac:dyDescent="0.25">
      <c r="A322" s="1">
        <v>325</v>
      </c>
      <c r="B322" s="1" t="s">
        <v>647</v>
      </c>
      <c r="C322" s="1" t="str">
        <f t="shared" si="57"/>
        <v>CL_MLP_PAO_IF_Ortho_26_03_18_EM2.tif</v>
      </c>
      <c r="D322" s="1" t="str">
        <f t="shared" si="52"/>
        <v>CL_MLP_PAO_IF_Ortho_26_03_18_EM2</v>
      </c>
      <c r="E322" s="1" t="s">
        <v>590</v>
      </c>
      <c r="F322" s="1" t="s">
        <v>460</v>
      </c>
      <c r="G322" s="1" t="s">
        <v>29</v>
      </c>
      <c r="H322" s="16">
        <v>46099</v>
      </c>
      <c r="I322" s="16">
        <v>46113</v>
      </c>
      <c r="J322" s="1" t="s">
        <v>30</v>
      </c>
      <c r="K322" s="2" t="str">
        <f t="shared" si="55"/>
        <v>https://sig.aminerals.cl/imgdyn/rest/services/CL_MLP_PAO/CL_MLP_PAO_IF_Ortho_Geosupport/ImageServer/file?id=.\Chacay_El_Mauro_Drone\26_03_18\CL_MLP_PAO_IF_Ortho_26_03_18_EM2.tif&amp;rasterId=</v>
      </c>
      <c r="L322" s="1" t="s">
        <v>31</v>
      </c>
      <c r="M322" s="1" t="s">
        <v>32</v>
      </c>
      <c r="N322" s="1" t="s">
        <v>33</v>
      </c>
      <c r="O322" s="1" t="s">
        <v>34</v>
      </c>
      <c r="P322" s="3" t="str">
        <f t="shared" ref="P322:P385" si="58">TEXT(H322,"dd")</f>
        <v>18</v>
      </c>
      <c r="Q322" s="3" t="str">
        <f t="shared" ref="Q322:Q385" si="59">TEXT(H322,"MM")</f>
        <v>03</v>
      </c>
      <c r="R322" s="3" t="str">
        <f t="shared" ref="R322:R385" si="60">TEXT(H322,"YY")</f>
        <v>26</v>
      </c>
      <c r="S322" s="1" t="s">
        <v>40</v>
      </c>
      <c r="U322" s="1" t="s">
        <v>461</v>
      </c>
      <c r="V322" s="1" t="str">
        <f t="shared" ref="V322:V385" si="61">RIGHT(D322,LEN(D322)-29)</f>
        <v>EM2</v>
      </c>
      <c r="W322" s="1" t="str">
        <f t="shared" si="56"/>
        <v>EM2</v>
      </c>
      <c r="X322" s="4" t="b">
        <f t="shared" ref="X322:X385" si="62">V322=W322</f>
        <v>1</v>
      </c>
      <c r="Y322" s="1">
        <f>VLOOKUP(D322,'Orden de Imagen'!$A$1:D467,4,FALSE())</f>
        <v>292</v>
      </c>
      <c r="Z322" s="1" t="str">
        <f t="shared" ref="Z322:Z385" si="63">CONCATENATE(Y322,"_",R322,"_",Q322,"_",P322,"_",E322)</f>
        <v>292_26_03_18_EM2</v>
      </c>
    </row>
    <row r="323" spans="1:26" x14ac:dyDescent="0.25">
      <c r="A323" s="1">
        <v>326</v>
      </c>
      <c r="B323" s="1" t="s">
        <v>648</v>
      </c>
      <c r="C323" s="1" t="str">
        <f t="shared" si="57"/>
        <v>CL_MLP_PAO_IF_Ortho_26_03_18_EM2_S2.tif</v>
      </c>
      <c r="D323" s="1" t="str">
        <f t="shared" si="52"/>
        <v>CL_MLP_PAO_IF_Ortho_26_03_18_EM2_S2</v>
      </c>
      <c r="E323" s="1" t="s">
        <v>649</v>
      </c>
      <c r="F323" s="1" t="s">
        <v>460</v>
      </c>
      <c r="G323" s="1" t="s">
        <v>29</v>
      </c>
      <c r="H323" s="16">
        <v>46099</v>
      </c>
      <c r="I323" s="16">
        <v>46113</v>
      </c>
      <c r="J323" s="1" t="s">
        <v>30</v>
      </c>
      <c r="K323" s="2" t="str">
        <f t="shared" si="55"/>
        <v>https://sig.aminerals.cl/imgdyn/rest/services/CL_MLP_PAO/CL_MLP_PAO_IF_Ortho_Geosupport/ImageServer/file?id=.\Chacay_El_Mauro_Drone\26_03_18\CL_MLP_PAO_IF_Ortho_26_03_18_EM2_S2.tif&amp;rasterId=</v>
      </c>
      <c r="L323" s="1" t="s">
        <v>31</v>
      </c>
      <c r="M323" s="1" t="s">
        <v>32</v>
      </c>
      <c r="N323" s="1" t="s">
        <v>33</v>
      </c>
      <c r="O323" s="1" t="s">
        <v>34</v>
      </c>
      <c r="P323" s="3" t="str">
        <f t="shared" si="58"/>
        <v>18</v>
      </c>
      <c r="Q323" s="3" t="str">
        <f t="shared" si="59"/>
        <v>03</v>
      </c>
      <c r="R323" s="3" t="str">
        <f t="shared" si="60"/>
        <v>26</v>
      </c>
      <c r="S323" s="1" t="s">
        <v>40</v>
      </c>
      <c r="U323" s="1" t="s">
        <v>461</v>
      </c>
      <c r="V323" s="1" t="str">
        <f t="shared" si="61"/>
        <v>EM2_S2</v>
      </c>
      <c r="W323" s="1" t="str">
        <f t="shared" si="56"/>
        <v>EM2_S2</v>
      </c>
      <c r="X323" s="4" t="b">
        <f t="shared" si="62"/>
        <v>1</v>
      </c>
      <c r="Y323" s="1">
        <f>VLOOKUP(D323,'Orden de Imagen'!$A$1:D468,4,FALSE())</f>
        <v>293</v>
      </c>
      <c r="Z323" s="1" t="str">
        <f t="shared" si="63"/>
        <v>293_26_03_18_EM2_S2</v>
      </c>
    </row>
    <row r="324" spans="1:26" x14ac:dyDescent="0.25">
      <c r="A324" s="1">
        <v>328</v>
      </c>
      <c r="B324" s="1" t="s">
        <v>650</v>
      </c>
      <c r="C324" s="1" t="str">
        <f t="shared" si="57"/>
        <v>CL_MLP_PAO_IF_Ortho_26_03_18_EV1.tif</v>
      </c>
      <c r="D324" s="1" t="str">
        <f t="shared" si="52"/>
        <v>CL_MLP_PAO_IF_Ortho_26_03_18_EV1</v>
      </c>
      <c r="E324" s="1" t="s">
        <v>258</v>
      </c>
      <c r="F324" s="1" t="s">
        <v>460</v>
      </c>
      <c r="G324" s="1" t="s">
        <v>29</v>
      </c>
      <c r="H324" s="16">
        <v>46099</v>
      </c>
      <c r="I324" s="16">
        <v>46113</v>
      </c>
      <c r="J324" s="1" t="s">
        <v>30</v>
      </c>
      <c r="K324" s="2" t="str">
        <f t="shared" si="55"/>
        <v>https://sig.aminerals.cl/imgdyn/rest/services/CL_MLP_PAO/CL_MLP_PAO_IF_Ortho_Geosupport/ImageServer/file?id=.\Chacay_El_Mauro_Drone\26_03_18\CL_MLP_PAO_IF_Ortho_26_03_18_EV1.tif&amp;rasterId=</v>
      </c>
      <c r="L324" s="1" t="s">
        <v>31</v>
      </c>
      <c r="M324" s="1" t="s">
        <v>32</v>
      </c>
      <c r="N324" s="1" t="s">
        <v>33</v>
      </c>
      <c r="O324" s="1" t="s">
        <v>34</v>
      </c>
      <c r="P324" s="3" t="str">
        <f t="shared" si="58"/>
        <v>18</v>
      </c>
      <c r="Q324" s="3" t="str">
        <f t="shared" si="59"/>
        <v>03</v>
      </c>
      <c r="R324" s="3" t="str">
        <f t="shared" si="60"/>
        <v>26</v>
      </c>
      <c r="S324" s="1" t="s">
        <v>40</v>
      </c>
      <c r="U324" s="1" t="s">
        <v>461</v>
      </c>
      <c r="V324" s="1" t="str">
        <f t="shared" si="61"/>
        <v>EV1</v>
      </c>
      <c r="W324" s="1" t="str">
        <f t="shared" si="56"/>
        <v>EV1</v>
      </c>
      <c r="X324" s="4" t="b">
        <f t="shared" si="62"/>
        <v>1</v>
      </c>
      <c r="Y324" s="1">
        <f>VLOOKUP(D324,'Orden de Imagen'!$A$1:D470,4,FALSE())</f>
        <v>294</v>
      </c>
      <c r="Z324" s="1" t="str">
        <f t="shared" si="63"/>
        <v>294_26_03_18_EV1</v>
      </c>
    </row>
    <row r="325" spans="1:26" x14ac:dyDescent="0.25">
      <c r="A325" s="1">
        <v>324</v>
      </c>
      <c r="B325" s="1" t="s">
        <v>651</v>
      </c>
      <c r="C325" s="1" t="str">
        <f t="shared" si="57"/>
        <v>CL_MLP_PAO_IF_Ortho_26_03_19_ED2.tif</v>
      </c>
      <c r="D325" s="1" t="str">
        <f t="shared" si="52"/>
        <v>CL_MLP_PAO_IF_Ortho_26_03_19_ED2</v>
      </c>
      <c r="E325" s="1" t="s">
        <v>468</v>
      </c>
      <c r="F325" s="1" t="s">
        <v>460</v>
      </c>
      <c r="G325" s="1" t="s">
        <v>29</v>
      </c>
      <c r="H325" s="16">
        <v>46100</v>
      </c>
      <c r="I325" s="16">
        <v>46113</v>
      </c>
      <c r="J325" s="1" t="s">
        <v>30</v>
      </c>
      <c r="K325" s="2" t="str">
        <f t="shared" si="55"/>
        <v>https://sig.aminerals.cl/imgdyn/rest/services/CL_MLP_PAO/CL_MLP_PAO_IF_Ortho_Geosupport/ImageServer/file?id=.\Chacay_El_Mauro_Drone\26_03_19\CL_MLP_PAO_IF_Ortho_26_03_19_ED2.tif&amp;rasterId=</v>
      </c>
      <c r="L325" s="1" t="s">
        <v>31</v>
      </c>
      <c r="M325" s="1" t="s">
        <v>32</v>
      </c>
      <c r="N325" s="1" t="s">
        <v>33</v>
      </c>
      <c r="O325" s="1" t="s">
        <v>34</v>
      </c>
      <c r="P325" s="3" t="str">
        <f t="shared" si="58"/>
        <v>19</v>
      </c>
      <c r="Q325" s="3" t="str">
        <f t="shared" si="59"/>
        <v>03</v>
      </c>
      <c r="R325" s="3" t="str">
        <f t="shared" si="60"/>
        <v>26</v>
      </c>
      <c r="S325" s="1" t="s">
        <v>40</v>
      </c>
      <c r="U325" s="1" t="s">
        <v>461</v>
      </c>
      <c r="V325" s="1" t="str">
        <f t="shared" si="61"/>
        <v>ED2</v>
      </c>
      <c r="W325" s="1" t="str">
        <f t="shared" si="56"/>
        <v>ED2</v>
      </c>
      <c r="X325" s="4" t="b">
        <f t="shared" si="62"/>
        <v>1</v>
      </c>
      <c r="Y325" s="1">
        <f>VLOOKUP(D325,'Orden de Imagen'!$A$1:D466,4,FALSE())</f>
        <v>295</v>
      </c>
      <c r="Z325" s="1" t="str">
        <f t="shared" si="63"/>
        <v>295_26_03_19_ED2</v>
      </c>
    </row>
    <row r="326" spans="1:26" x14ac:dyDescent="0.25">
      <c r="A326" s="1">
        <v>332</v>
      </c>
      <c r="B326" s="1" t="s">
        <v>652</v>
      </c>
      <c r="C326" s="1" t="str">
        <f t="shared" si="57"/>
        <v>CL_MLP_PAO_IF_Ortho_26_03_19_EM4.tif</v>
      </c>
      <c r="D326" s="1" t="str">
        <f t="shared" si="52"/>
        <v>CL_MLP_PAO_IF_Ortho_26_03_19_EM4</v>
      </c>
      <c r="E326" s="1" t="s">
        <v>540</v>
      </c>
      <c r="F326" s="1" t="s">
        <v>460</v>
      </c>
      <c r="G326" s="1" t="s">
        <v>29</v>
      </c>
      <c r="H326" s="16">
        <v>46100</v>
      </c>
      <c r="I326" s="16">
        <v>46113</v>
      </c>
      <c r="J326" s="1" t="s">
        <v>30</v>
      </c>
      <c r="K326" s="2" t="str">
        <f t="shared" si="55"/>
        <v>https://sig.aminerals.cl/imgdyn/rest/services/CL_MLP_PAO/CL_MLP_PAO_IF_Ortho_Geosupport/ImageServer/file?id=.\El_Mauro_Drone\26_03_19\CL_MLP_PAO_IF_Ortho_26_03_19_EM4.tif&amp;rasterId=</v>
      </c>
      <c r="L326" s="1" t="s">
        <v>31</v>
      </c>
      <c r="M326" s="1" t="s">
        <v>32</v>
      </c>
      <c r="N326" s="1" t="s">
        <v>33</v>
      </c>
      <c r="O326" s="1" t="s">
        <v>34</v>
      </c>
      <c r="P326" s="3" t="str">
        <f t="shared" si="58"/>
        <v>19</v>
      </c>
      <c r="Q326" s="3" t="str">
        <f t="shared" si="59"/>
        <v>03</v>
      </c>
      <c r="R326" s="3" t="str">
        <f t="shared" si="60"/>
        <v>26</v>
      </c>
      <c r="S326" s="1" t="s">
        <v>87</v>
      </c>
      <c r="U326" s="1" t="s">
        <v>461</v>
      </c>
      <c r="V326" s="1" t="str">
        <f t="shared" si="61"/>
        <v>EM4</v>
      </c>
      <c r="W326" s="1" t="str">
        <f t="shared" si="56"/>
        <v>EM4</v>
      </c>
      <c r="X326" s="4" t="b">
        <f t="shared" si="62"/>
        <v>1</v>
      </c>
      <c r="Y326" s="1">
        <f>VLOOKUP(D326,'Orden de Imagen'!$A$1:D473,4,FALSE())</f>
        <v>296</v>
      </c>
      <c r="Z326" s="1" t="str">
        <f t="shared" si="63"/>
        <v>296_26_03_19_EM4</v>
      </c>
    </row>
    <row r="327" spans="1:26" x14ac:dyDescent="0.25">
      <c r="A327" s="1">
        <v>392</v>
      </c>
      <c r="B327" s="1" t="s">
        <v>653</v>
      </c>
      <c r="C327" s="1" t="str">
        <f t="shared" si="57"/>
        <v>CL_MLP_PAO_IF_Ortho_26_03_19_Plataforma_Integrada_El_Mauro.tif</v>
      </c>
      <c r="D327" s="1" t="str">
        <f t="shared" si="52"/>
        <v>CL_MLP_PAO_IF_Ortho_26_03_19_Plataforma_Integrada_El_Mauro</v>
      </c>
      <c r="E327" s="1" t="s">
        <v>459</v>
      </c>
      <c r="F327" s="1" t="s">
        <v>460</v>
      </c>
      <c r="G327" s="1" t="s">
        <v>29</v>
      </c>
      <c r="H327" s="16">
        <v>46100</v>
      </c>
      <c r="I327" s="16">
        <v>46135</v>
      </c>
      <c r="J327" s="1" t="s">
        <v>30</v>
      </c>
      <c r="K327" s="2" t="str">
        <f>CONCATENATE("https://sig.aminerals.cl/imgdyn/rest/services/CL_MLP_PAO/",U327,"/","ImageServer/file?id=.\",S327,"\",R327,"_",Q327,"\",C327,"&amp;rasterId=")</f>
        <v>https://sig.aminerals.cl/imgdyn/rest/services/CL_MLP_PAO/CL_MLP_PAO_IF_Ortho_Geosupport/ImageServer/file?id=.\El_Mauro_Drone\26_03\CL_MLP_PAO_IF_Ortho_26_03_19_Plataforma_Integrada_El_Mauro.tif&amp;rasterId=</v>
      </c>
      <c r="L327" s="1" t="s">
        <v>31</v>
      </c>
      <c r="M327" s="1" t="s">
        <v>32</v>
      </c>
      <c r="N327" s="1" t="s">
        <v>33</v>
      </c>
      <c r="O327" s="1" t="s">
        <v>34</v>
      </c>
      <c r="P327" s="3" t="str">
        <f t="shared" si="58"/>
        <v>19</v>
      </c>
      <c r="Q327" s="3" t="str">
        <f t="shared" si="59"/>
        <v>03</v>
      </c>
      <c r="R327" s="3" t="str">
        <f t="shared" si="60"/>
        <v>26</v>
      </c>
      <c r="S327" s="1" t="s">
        <v>87</v>
      </c>
      <c r="U327" s="1" t="s">
        <v>461</v>
      </c>
      <c r="V327" s="1" t="str">
        <f t="shared" si="61"/>
        <v>Plataforma_Integrada_El_Mauro</v>
      </c>
      <c r="W327" s="1" t="str">
        <f t="shared" si="56"/>
        <v>Plataforma_Integrada_El_Mauro</v>
      </c>
      <c r="X327" s="4" t="b">
        <f t="shared" si="62"/>
        <v>1</v>
      </c>
      <c r="Y327" s="1">
        <f>VLOOKUP(D327,'Orden de Imagen'!$A$1:D531,4,FALSE())</f>
        <v>297</v>
      </c>
      <c r="Z327" s="1" t="str">
        <f t="shared" si="63"/>
        <v>297_26_03_19_Plataforma_Integrada_El_Mauro</v>
      </c>
    </row>
    <row r="328" spans="1:26" x14ac:dyDescent="0.25">
      <c r="A328" s="1">
        <v>334</v>
      </c>
      <c r="B328" s="1" t="s">
        <v>654</v>
      </c>
      <c r="C328" s="1" t="str">
        <f t="shared" si="57"/>
        <v>CL_MLP_PAO_IF_Ortho_26_03_20_EB3.tif</v>
      </c>
      <c r="D328" s="1" t="str">
        <f t="shared" si="52"/>
        <v>CL_MLP_PAO_IF_Ortho_26_03_20_EB3</v>
      </c>
      <c r="E328" s="1" t="s">
        <v>588</v>
      </c>
      <c r="F328" s="1" t="s">
        <v>460</v>
      </c>
      <c r="G328" s="1" t="s">
        <v>29</v>
      </c>
      <c r="H328" s="16">
        <v>46101</v>
      </c>
      <c r="I328" s="16">
        <v>46113</v>
      </c>
      <c r="J328" s="1" t="s">
        <v>30</v>
      </c>
      <c r="K328" s="2" t="str">
        <f t="shared" ref="K328:K334" si="64">CONCATENATE("https://sig.aminerals.cl/imgdyn/rest/services/CL_MLP_PAO/",U328,"/","ImageServer/file?id=.\",S328,"\",R328,"_",Q328,"_",P328,"\",C328,"&amp;rasterId=")</f>
        <v>https://sig.aminerals.cl/imgdyn/rest/services/CL_MLP_PAO/CL_MLP_PAO_IF_Ortho_Geosupport/ImageServer/file?id=.\El_Mauro_Drone\26_03_20\CL_MLP_PAO_IF_Ortho_26_03_20_EB3.tif&amp;rasterId=</v>
      </c>
      <c r="L328" s="1" t="s">
        <v>31</v>
      </c>
      <c r="M328" s="1" t="s">
        <v>32</v>
      </c>
      <c r="N328" s="1" t="s">
        <v>33</v>
      </c>
      <c r="O328" s="1" t="s">
        <v>34</v>
      </c>
      <c r="P328" s="3" t="str">
        <f t="shared" si="58"/>
        <v>20</v>
      </c>
      <c r="Q328" s="3" t="str">
        <f t="shared" si="59"/>
        <v>03</v>
      </c>
      <c r="R328" s="3" t="str">
        <f t="shared" si="60"/>
        <v>26</v>
      </c>
      <c r="S328" s="1" t="s">
        <v>87</v>
      </c>
      <c r="U328" s="1" t="s">
        <v>461</v>
      </c>
      <c r="V328" s="1" t="str">
        <f t="shared" si="61"/>
        <v>EB3</v>
      </c>
      <c r="W328" s="1" t="str">
        <f t="shared" si="56"/>
        <v>EB3</v>
      </c>
      <c r="X328" s="4" t="b">
        <f t="shared" si="62"/>
        <v>1</v>
      </c>
      <c r="Y328" s="1">
        <f>VLOOKUP(D328,'Orden de Imagen'!$A$1:D475,4,FALSE())</f>
        <v>298</v>
      </c>
      <c r="Z328" s="1" t="str">
        <f t="shared" si="63"/>
        <v>298_26_03_20_EB3</v>
      </c>
    </row>
    <row r="329" spans="1:26" x14ac:dyDescent="0.25">
      <c r="A329" s="1">
        <v>354</v>
      </c>
      <c r="B329" s="1" t="s">
        <v>655</v>
      </c>
      <c r="C329" s="1" t="str">
        <f t="shared" si="57"/>
        <v>CL_MLP_PAO_IF_Ortho_26_03_20_EM1.tif</v>
      </c>
      <c r="D329" s="1" t="str">
        <f t="shared" si="52"/>
        <v>CL_MLP_PAO_IF_Ortho_26_03_20_EM1</v>
      </c>
      <c r="E329" s="1" t="s">
        <v>375</v>
      </c>
      <c r="F329" s="1" t="s">
        <v>460</v>
      </c>
      <c r="G329" s="1" t="s">
        <v>29</v>
      </c>
      <c r="H329" s="16">
        <v>46101</v>
      </c>
      <c r="I329" s="16">
        <v>46113</v>
      </c>
      <c r="J329" s="1" t="s">
        <v>30</v>
      </c>
      <c r="K329" s="2" t="str">
        <f t="shared" si="64"/>
        <v>https://sig.aminerals.cl/imgdyn/rest/services/CL_MLP_PAO/CL_MLP_PAO_IF_Ortho_Geosupport/ImageServer/file?id=.\Chacay_Drone\26_03_20\CL_MLP_PAO_IF_Ortho_26_03_20_EM1.tif&amp;rasterId=</v>
      </c>
      <c r="L329" s="1" t="s">
        <v>31</v>
      </c>
      <c r="M329" s="1" t="s">
        <v>32</v>
      </c>
      <c r="N329" s="1" t="s">
        <v>33</v>
      </c>
      <c r="O329" s="1" t="s">
        <v>34</v>
      </c>
      <c r="P329" s="3" t="str">
        <f t="shared" si="58"/>
        <v>20</v>
      </c>
      <c r="Q329" s="3" t="str">
        <f t="shared" si="59"/>
        <v>03</v>
      </c>
      <c r="R329" s="3" t="str">
        <f t="shared" si="60"/>
        <v>26</v>
      </c>
      <c r="S329" s="1" t="s">
        <v>56</v>
      </c>
      <c r="U329" s="1" t="s">
        <v>461</v>
      </c>
      <c r="V329" s="1" t="str">
        <f t="shared" si="61"/>
        <v>EM1</v>
      </c>
      <c r="W329" s="1" t="str">
        <f t="shared" si="56"/>
        <v>EM1</v>
      </c>
      <c r="X329" s="4" t="b">
        <f t="shared" si="62"/>
        <v>1</v>
      </c>
      <c r="Y329" s="1">
        <f>VLOOKUP(D329,'Orden de Imagen'!$A$1:D495,4,FALSE())</f>
        <v>299</v>
      </c>
      <c r="Z329" s="1" t="str">
        <f t="shared" si="63"/>
        <v>299_26_03_20_EM1</v>
      </c>
    </row>
    <row r="330" spans="1:26" x14ac:dyDescent="0.25">
      <c r="A330" s="1">
        <v>353</v>
      </c>
      <c r="B330" s="1" t="s">
        <v>656</v>
      </c>
      <c r="C330" s="1" t="str">
        <f t="shared" si="57"/>
        <v>CL_MLP_PAO_IF_Ortho_26_03_20_Estacion_Drenes_El_Mauro.tif</v>
      </c>
      <c r="D330" s="1" t="str">
        <f t="shared" si="52"/>
        <v>CL_MLP_PAO_IF_Ortho_26_03_20_Estacion_Drenes_El_Mauro</v>
      </c>
      <c r="E330" s="1" t="s">
        <v>197</v>
      </c>
      <c r="F330" s="1" t="s">
        <v>460</v>
      </c>
      <c r="G330" s="1" t="s">
        <v>29</v>
      </c>
      <c r="H330" s="16">
        <v>46101</v>
      </c>
      <c r="I330" s="16">
        <v>46113</v>
      </c>
      <c r="J330" s="1" t="s">
        <v>30</v>
      </c>
      <c r="K330" s="2" t="str">
        <f t="shared" si="64"/>
        <v>https://sig.aminerals.cl/imgdyn/rest/services/CL_MLP_PAO/CL_MLP_PAO_IF_Ortho_Geosupport/ImageServer/file?id=.\El_Mauro_Drone\26_03_20\CL_MLP_PAO_IF_Ortho_26_03_20_Estacion_Drenes_El_Mauro.tif&amp;rasterId=</v>
      </c>
      <c r="L330" s="1" t="s">
        <v>31</v>
      </c>
      <c r="M330" s="1" t="s">
        <v>32</v>
      </c>
      <c r="N330" s="1" t="s">
        <v>33</v>
      </c>
      <c r="O330" s="1" t="s">
        <v>34</v>
      </c>
      <c r="P330" s="3" t="str">
        <f t="shared" si="58"/>
        <v>20</v>
      </c>
      <c r="Q330" s="3" t="str">
        <f t="shared" si="59"/>
        <v>03</v>
      </c>
      <c r="R330" s="3" t="str">
        <f t="shared" si="60"/>
        <v>26</v>
      </c>
      <c r="S330" s="1" t="s">
        <v>87</v>
      </c>
      <c r="U330" s="1" t="s">
        <v>461</v>
      </c>
      <c r="V330" s="1" t="str">
        <f t="shared" si="61"/>
        <v>Estacion_Drenes_El_Mauro</v>
      </c>
      <c r="W330" s="1" t="str">
        <f t="shared" si="56"/>
        <v>Estacion_Drenes_El_Mauro</v>
      </c>
      <c r="X330" s="4" t="b">
        <f t="shared" si="62"/>
        <v>1</v>
      </c>
      <c r="Y330" s="1">
        <f>VLOOKUP(D330,'Orden de Imagen'!$A$1:D494,4,FALSE())</f>
        <v>300</v>
      </c>
      <c r="Z330" s="1" t="str">
        <f t="shared" si="63"/>
        <v>300_26_03_20_Estacion_Drenes_El_Mauro</v>
      </c>
    </row>
    <row r="331" spans="1:26" x14ac:dyDescent="0.25">
      <c r="A331" s="1">
        <v>342</v>
      </c>
      <c r="B331" s="1" t="s">
        <v>657</v>
      </c>
      <c r="C331" s="1" t="str">
        <f t="shared" si="57"/>
        <v>CL_MLP_PAO_IF_Ortho_26_03_20_Patio-19B-y-Armado.tif</v>
      </c>
      <c r="D331" s="1" t="str">
        <f t="shared" si="52"/>
        <v>CL_MLP_PAO_IF_Ortho_26_03_20_Patio-19B-y-Armado</v>
      </c>
      <c r="E331" s="1" t="s">
        <v>472</v>
      </c>
      <c r="F331" s="1" t="s">
        <v>460</v>
      </c>
      <c r="G331" s="1" t="s">
        <v>29</v>
      </c>
      <c r="H331" s="16">
        <v>46101</v>
      </c>
      <c r="I331" s="16">
        <v>46113</v>
      </c>
      <c r="J331" s="1" t="s">
        <v>30</v>
      </c>
      <c r="K331" s="2" t="str">
        <f t="shared" si="64"/>
        <v>https://sig.aminerals.cl/imgdyn/rest/services/CL_MLP_PAO/CL_MLP_PAO_IF_Ortho_Geosupport/ImageServer/file?id=.\El_Mauro_Drone\26_03_20\CL_MLP_PAO_IF_Ortho_26_03_20_Patio-19B-y-Armado.tif&amp;rasterId=</v>
      </c>
      <c r="L331" s="1" t="s">
        <v>31</v>
      </c>
      <c r="M331" s="1" t="s">
        <v>32</v>
      </c>
      <c r="N331" s="1" t="s">
        <v>33</v>
      </c>
      <c r="O331" s="1" t="s">
        <v>34</v>
      </c>
      <c r="P331" s="3" t="str">
        <f t="shared" si="58"/>
        <v>20</v>
      </c>
      <c r="Q331" s="3" t="str">
        <f t="shared" si="59"/>
        <v>03</v>
      </c>
      <c r="R331" s="3" t="str">
        <f t="shared" si="60"/>
        <v>26</v>
      </c>
      <c r="S331" s="1" t="s">
        <v>87</v>
      </c>
      <c r="U331" s="1" t="s">
        <v>461</v>
      </c>
      <c r="V331" s="1" t="str">
        <f t="shared" si="61"/>
        <v>Patio-19B-y-Armado</v>
      </c>
      <c r="W331" s="1" t="str">
        <f t="shared" si="56"/>
        <v>Patio-19B-y-Armado</v>
      </c>
      <c r="X331" s="4" t="b">
        <f t="shared" si="62"/>
        <v>1</v>
      </c>
      <c r="Y331" s="1">
        <f>VLOOKUP(D331,'Orden de Imagen'!$A$1:D483,4,FALSE())</f>
        <v>301</v>
      </c>
      <c r="Z331" s="1" t="str">
        <f t="shared" si="63"/>
        <v>301_26_03_20_Patio-19B-y-Armado</v>
      </c>
    </row>
    <row r="332" spans="1:26" x14ac:dyDescent="0.25">
      <c r="A332" s="1">
        <v>347</v>
      </c>
      <c r="B332" s="1" t="s">
        <v>658</v>
      </c>
      <c r="C332" s="1" t="str">
        <f t="shared" si="57"/>
        <v>CL_MLP_PAO_IF_Ortho_26_03_20_Subestacion-El-Mauro.tif</v>
      </c>
      <c r="D332" s="1" t="str">
        <f t="shared" si="52"/>
        <v>CL_MLP_PAO_IF_Ortho_26_03_20_Subestacion-El-Mauro</v>
      </c>
      <c r="E332" s="1" t="s">
        <v>90</v>
      </c>
      <c r="F332" s="1" t="s">
        <v>460</v>
      </c>
      <c r="G332" s="1" t="s">
        <v>29</v>
      </c>
      <c r="H332" s="16">
        <v>46101</v>
      </c>
      <c r="I332" s="16">
        <v>46113</v>
      </c>
      <c r="J332" s="1" t="s">
        <v>30</v>
      </c>
      <c r="K332" s="2" t="str">
        <f t="shared" si="64"/>
        <v>https://sig.aminerals.cl/imgdyn/rest/services/CL_MLP_PAO/CL_MLP_PAO_IF_Ortho_Geosupport/ImageServer/file?id=.\El_Mauro_Drone\26_03_20\CL_MLP_PAO_IF_Ortho_26_03_20_Subestacion-El-Mauro.tif&amp;rasterId=</v>
      </c>
      <c r="L332" s="1" t="s">
        <v>31</v>
      </c>
      <c r="M332" s="1" t="s">
        <v>32</v>
      </c>
      <c r="N332" s="1" t="s">
        <v>33</v>
      </c>
      <c r="O332" s="1" t="s">
        <v>34</v>
      </c>
      <c r="P332" s="3" t="str">
        <f t="shared" si="58"/>
        <v>20</v>
      </c>
      <c r="Q332" s="3" t="str">
        <f t="shared" si="59"/>
        <v>03</v>
      </c>
      <c r="R332" s="3" t="str">
        <f t="shared" si="60"/>
        <v>26</v>
      </c>
      <c r="S332" s="1" t="s">
        <v>87</v>
      </c>
      <c r="U332" s="1" t="s">
        <v>461</v>
      </c>
      <c r="V332" s="1" t="str">
        <f t="shared" si="61"/>
        <v>Subestacion-El-Mauro</v>
      </c>
      <c r="W332" s="1" t="str">
        <f t="shared" si="56"/>
        <v>Subestacion-El-Mauro</v>
      </c>
      <c r="X332" s="4" t="b">
        <f t="shared" si="62"/>
        <v>1</v>
      </c>
      <c r="Y332" s="1">
        <f>VLOOKUP(D332,'Orden de Imagen'!$A$1:D488,4,FALSE())</f>
        <v>302</v>
      </c>
      <c r="Z332" s="1" t="str">
        <f t="shared" si="63"/>
        <v>302_26_03_20_Subestacion-El-Mauro</v>
      </c>
    </row>
    <row r="333" spans="1:26" x14ac:dyDescent="0.25">
      <c r="A333" s="1">
        <v>352</v>
      </c>
      <c r="B333" s="1" t="s">
        <v>659</v>
      </c>
      <c r="C333" s="1" t="str">
        <f t="shared" si="57"/>
        <v>CL_MLP_PAO_IF_Ortho_26_03_21_Camino_Alternativo_Salamanca.tif</v>
      </c>
      <c r="D333" s="1" t="str">
        <f t="shared" si="52"/>
        <v>CL_MLP_PAO_IF_Ortho_26_03_21_Camino_Alternativo_Salamanca</v>
      </c>
      <c r="E333" s="1" t="s">
        <v>660</v>
      </c>
      <c r="F333" s="1" t="s">
        <v>460</v>
      </c>
      <c r="G333" s="1" t="s">
        <v>29</v>
      </c>
      <c r="H333" s="16">
        <v>46102</v>
      </c>
      <c r="I333" s="16">
        <v>46113</v>
      </c>
      <c r="J333" s="1" t="s">
        <v>30</v>
      </c>
      <c r="K333" s="2" t="str">
        <f t="shared" si="64"/>
        <v>https://sig.aminerals.cl/imgdyn/rest/services/CL_MLP_PAO/CL_MLP_PAO_IF_Ortho_Geosupport/ImageServer/file?id=.\El_Mauro_Drone\26_03_21\CL_MLP_PAO_IF_Ortho_26_03_21_Camino_Alternativo_Salamanca.tif&amp;rasterId=</v>
      </c>
      <c r="L333" s="1" t="s">
        <v>31</v>
      </c>
      <c r="M333" s="1" t="s">
        <v>32</v>
      </c>
      <c r="N333" s="1" t="s">
        <v>33</v>
      </c>
      <c r="O333" s="1" t="s">
        <v>34</v>
      </c>
      <c r="P333" s="3" t="str">
        <f t="shared" si="58"/>
        <v>21</v>
      </c>
      <c r="Q333" s="3" t="str">
        <f t="shared" si="59"/>
        <v>03</v>
      </c>
      <c r="R333" s="3" t="str">
        <f t="shared" si="60"/>
        <v>26</v>
      </c>
      <c r="S333" s="1" t="s">
        <v>87</v>
      </c>
      <c r="U333" s="1" t="s">
        <v>461</v>
      </c>
      <c r="V333" s="1" t="str">
        <f t="shared" si="61"/>
        <v>Camino_Alternativo_Salamanca</v>
      </c>
      <c r="W333" s="1" t="str">
        <f t="shared" si="56"/>
        <v>Camino_Alternativo_Salamanca</v>
      </c>
      <c r="X333" s="4" t="b">
        <f t="shared" si="62"/>
        <v>1</v>
      </c>
      <c r="Y333" s="1">
        <f>VLOOKUP(D333,'Orden de Imagen'!$A$1:D493,4,FALSE())</f>
        <v>303</v>
      </c>
      <c r="Z333" s="1" t="str">
        <f t="shared" si="63"/>
        <v>303_26_03_21_Camino_Alternativo_Salamanca</v>
      </c>
    </row>
    <row r="334" spans="1:26" x14ac:dyDescent="0.25">
      <c r="A334" s="1">
        <v>340</v>
      </c>
      <c r="B334" s="1" t="s">
        <v>661</v>
      </c>
      <c r="C334" s="1" t="str">
        <f t="shared" si="57"/>
        <v>CL_MLP_PAO_IF_Ortho_26_03_21_EV2.tif</v>
      </c>
      <c r="D334" s="1" t="str">
        <f t="shared" si="52"/>
        <v>CL_MLP_PAO_IF_Ortho_26_03_21_EV2</v>
      </c>
      <c r="E334" s="1" t="s">
        <v>74</v>
      </c>
      <c r="F334" s="1" t="s">
        <v>460</v>
      </c>
      <c r="G334" s="1" t="s">
        <v>29</v>
      </c>
      <c r="H334" s="16">
        <v>46102</v>
      </c>
      <c r="I334" s="16">
        <v>46113</v>
      </c>
      <c r="J334" s="1" t="s">
        <v>30</v>
      </c>
      <c r="K334" s="2" t="str">
        <f t="shared" si="64"/>
        <v>https://sig.aminerals.cl/imgdyn/rest/services/CL_MLP_PAO/CL_MLP_PAO_IF_Ortho_Geosupport/ImageServer/file?id=.\El_Mauro_Puerto_Punta_Chungo_Drone\26_03_21\CL_MLP_PAO_IF_Ortho_26_03_21_EV2.tif&amp;rasterId=</v>
      </c>
      <c r="L334" s="1" t="s">
        <v>31</v>
      </c>
      <c r="M334" s="1" t="s">
        <v>32</v>
      </c>
      <c r="N334" s="1" t="s">
        <v>33</v>
      </c>
      <c r="O334" s="1" t="s">
        <v>34</v>
      </c>
      <c r="P334" s="3" t="str">
        <f t="shared" si="58"/>
        <v>21</v>
      </c>
      <c r="Q334" s="3" t="str">
        <f t="shared" si="59"/>
        <v>03</v>
      </c>
      <c r="R334" s="3" t="str">
        <f t="shared" si="60"/>
        <v>26</v>
      </c>
      <c r="S334" s="1" t="s">
        <v>50</v>
      </c>
      <c r="U334" s="1" t="s">
        <v>461</v>
      </c>
      <c r="V334" s="1" t="str">
        <f t="shared" si="61"/>
        <v>EV2</v>
      </c>
      <c r="W334" s="1" t="str">
        <f t="shared" si="56"/>
        <v>EV2</v>
      </c>
      <c r="X334" s="4" t="b">
        <f t="shared" si="62"/>
        <v>1</v>
      </c>
      <c r="Y334" s="1">
        <f>VLOOKUP(D334,'Orden de Imagen'!$A$1:D481,4,FALSE())</f>
        <v>304</v>
      </c>
      <c r="Z334" s="1" t="str">
        <f t="shared" si="63"/>
        <v>304_26_03_21_EV2</v>
      </c>
    </row>
    <row r="335" spans="1:26" x14ac:dyDescent="0.25">
      <c r="A335" s="1">
        <v>393</v>
      </c>
      <c r="B335" s="1" t="s">
        <v>662</v>
      </c>
      <c r="C335" s="1" t="str">
        <f t="shared" si="57"/>
        <v>CL_MLP_PAO_IF_Ortho_26_03_21_Hidrociclones.tif</v>
      </c>
      <c r="D335" s="1" t="str">
        <f t="shared" ref="D335:D398" si="65">CONCATENATE(L335,"_",M335,"_",G335,"_",N335,"_",O335,"_",R335,"_",Q335,"_",P335,"_",E335)</f>
        <v>CL_MLP_PAO_IF_Ortho_26_03_21_Hidrociclones</v>
      </c>
      <c r="E335" s="1" t="s">
        <v>663</v>
      </c>
      <c r="F335" s="1" t="s">
        <v>460</v>
      </c>
      <c r="G335" s="1" t="s">
        <v>29</v>
      </c>
      <c r="H335" s="16">
        <v>46102</v>
      </c>
      <c r="I335" s="16">
        <v>46135</v>
      </c>
      <c r="J335" s="1" t="s">
        <v>30</v>
      </c>
      <c r="K335" s="2" t="str">
        <f>CONCATENATE("https://sig.aminerals.cl/imgdyn/rest/services/CL_MLP_PAO/",U335,"/","ImageServer/file?id=.\",S335,"\",R335,"_",Q335,"\",C335,"&amp;rasterId=")</f>
        <v>https://sig.aminerals.cl/imgdyn/rest/services/CL_MLP_PAO/CL_MLP_PAO_IF_Ortho_Geosupport/ImageServer/file?id=.\El_Mauro_Drone\26_03\CL_MLP_PAO_IF_Ortho_26_03_21_Hidrociclones.tif&amp;rasterId=</v>
      </c>
      <c r="L335" s="1" t="s">
        <v>31</v>
      </c>
      <c r="M335" s="1" t="s">
        <v>32</v>
      </c>
      <c r="N335" s="1" t="s">
        <v>33</v>
      </c>
      <c r="O335" s="1" t="s">
        <v>34</v>
      </c>
      <c r="P335" s="3" t="str">
        <f t="shared" si="58"/>
        <v>21</v>
      </c>
      <c r="Q335" s="3" t="str">
        <f t="shared" si="59"/>
        <v>03</v>
      </c>
      <c r="R335" s="3" t="str">
        <f t="shared" si="60"/>
        <v>26</v>
      </c>
      <c r="S335" s="1" t="s">
        <v>87</v>
      </c>
      <c r="U335" s="1" t="s">
        <v>461</v>
      </c>
      <c r="V335" s="1" t="str">
        <f t="shared" si="61"/>
        <v>Hidrociclones</v>
      </c>
      <c r="W335" s="1" t="str">
        <f t="shared" si="56"/>
        <v>Hidrociclones</v>
      </c>
      <c r="X335" s="4" t="b">
        <f t="shared" si="62"/>
        <v>1</v>
      </c>
      <c r="Y335" s="1">
        <f>VLOOKUP(D335,'Orden de Imagen'!$A$1:D532,4,FALSE())</f>
        <v>305</v>
      </c>
      <c r="Z335" s="1" t="str">
        <f t="shared" si="63"/>
        <v>305_26_03_21_Hidrociclones</v>
      </c>
    </row>
    <row r="336" spans="1:26" x14ac:dyDescent="0.25">
      <c r="A336" s="1">
        <v>346</v>
      </c>
      <c r="B336" s="1" t="s">
        <v>664</v>
      </c>
      <c r="C336" s="1" t="str">
        <f t="shared" si="57"/>
        <v>CL_MLP_PAO_IF_Ortho_26_03_21_TORRE_E85_A_E_125.tif</v>
      </c>
      <c r="D336" s="1" t="str">
        <f t="shared" si="65"/>
        <v>CL_MLP_PAO_IF_Ortho_26_03_21_TORRE_E85_A_E_125</v>
      </c>
      <c r="E336" s="1" t="s">
        <v>483</v>
      </c>
      <c r="F336" s="1" t="s">
        <v>460</v>
      </c>
      <c r="G336" s="1" t="s">
        <v>29</v>
      </c>
      <c r="H336" s="16">
        <v>46102</v>
      </c>
      <c r="I336" s="16">
        <v>46113</v>
      </c>
      <c r="J336" s="1" t="s">
        <v>30</v>
      </c>
      <c r="K336" s="2" t="str">
        <f t="shared" ref="K336:K344" si="66">CONCATENATE("https://sig.aminerals.cl/imgdyn/rest/services/CL_MLP_PAO/",U336,"/","ImageServer/file?id=.\",S336,"\",R336,"_",Q336,"_",P336,"\",C336,"&amp;rasterId=")</f>
        <v>https://sig.aminerals.cl/imgdyn/rest/services/CL_MLP_PAO/CL_MLP_PAO_IF_Ortho_Geosupport/ImageServer/file?id=.\El_Mauro_Puerto_Punta_Chungo_Drone\26_03_21\CL_MLP_PAO_IF_Ortho_26_03_21_TORRE_E85_A_E_125.tif&amp;rasterId=</v>
      </c>
      <c r="L336" s="1" t="s">
        <v>31</v>
      </c>
      <c r="M336" s="1" t="s">
        <v>32</v>
      </c>
      <c r="N336" s="1" t="s">
        <v>33</v>
      </c>
      <c r="O336" s="1" t="s">
        <v>34</v>
      </c>
      <c r="P336" s="3" t="str">
        <f t="shared" si="58"/>
        <v>21</v>
      </c>
      <c r="Q336" s="3" t="str">
        <f t="shared" si="59"/>
        <v>03</v>
      </c>
      <c r="R336" s="3" t="str">
        <f t="shared" si="60"/>
        <v>26</v>
      </c>
      <c r="S336" s="1" t="s">
        <v>50</v>
      </c>
      <c r="U336" s="1" t="s">
        <v>461</v>
      </c>
      <c r="V336" s="1" t="str">
        <f t="shared" si="61"/>
        <v>TORRE_E85_A_E_125</v>
      </c>
      <c r="W336" s="1" t="str">
        <f t="shared" si="56"/>
        <v>TORRE_E85_A_E_125</v>
      </c>
      <c r="X336" s="4" t="b">
        <f t="shared" si="62"/>
        <v>1</v>
      </c>
      <c r="Y336" s="1">
        <f>VLOOKUP(D336,'Orden de Imagen'!$A$1:D487,4,FALSE())</f>
        <v>306</v>
      </c>
      <c r="Z336" s="1" t="str">
        <f t="shared" si="63"/>
        <v>306_26_03_21_TORRE_E85_A_E_125</v>
      </c>
    </row>
    <row r="337" spans="1:26" x14ac:dyDescent="0.25">
      <c r="A337" s="1">
        <v>345</v>
      </c>
      <c r="B337" s="1" t="s">
        <v>665</v>
      </c>
      <c r="C337" s="1" t="str">
        <f t="shared" si="57"/>
        <v>CL_MLP_PAO_IF_Ortho_26_03_21_TORRES_E35_A_E48.tif</v>
      </c>
      <c r="D337" s="1" t="str">
        <f t="shared" si="65"/>
        <v>CL_MLP_PAO_IF_Ortho_26_03_21_TORRES_E35_A_E48</v>
      </c>
      <c r="E337" s="1" t="s">
        <v>600</v>
      </c>
      <c r="F337" s="1" t="s">
        <v>460</v>
      </c>
      <c r="G337" s="1" t="s">
        <v>29</v>
      </c>
      <c r="H337" s="16">
        <v>46102</v>
      </c>
      <c r="I337" s="16">
        <v>46113</v>
      </c>
      <c r="J337" s="1" t="s">
        <v>30</v>
      </c>
      <c r="K337" s="2" t="str">
        <f t="shared" si="66"/>
        <v>https://sig.aminerals.cl/imgdyn/rest/services/CL_MLP_PAO/CL_MLP_PAO_IF_Ortho_Geosupport/ImageServer/file?id=.\El_Mauro_Drone\26_03_21\CL_MLP_PAO_IF_Ortho_26_03_21_TORRES_E35_A_E48.tif&amp;rasterId=</v>
      </c>
      <c r="L337" s="1" t="s">
        <v>31</v>
      </c>
      <c r="M337" s="1" t="s">
        <v>32</v>
      </c>
      <c r="N337" s="1" t="s">
        <v>33</v>
      </c>
      <c r="O337" s="1" t="s">
        <v>34</v>
      </c>
      <c r="P337" s="3" t="str">
        <f t="shared" si="58"/>
        <v>21</v>
      </c>
      <c r="Q337" s="3" t="str">
        <f t="shared" si="59"/>
        <v>03</v>
      </c>
      <c r="R337" s="3" t="str">
        <f t="shared" si="60"/>
        <v>26</v>
      </c>
      <c r="S337" s="1" t="s">
        <v>87</v>
      </c>
      <c r="U337" s="1" t="s">
        <v>461</v>
      </c>
      <c r="V337" s="1" t="str">
        <f t="shared" si="61"/>
        <v>TORRES_E35_A_E48</v>
      </c>
      <c r="W337" s="1" t="str">
        <f t="shared" si="56"/>
        <v>TORRES_E35_A_E48</v>
      </c>
      <c r="X337" s="4" t="b">
        <f t="shared" si="62"/>
        <v>1</v>
      </c>
      <c r="Y337" s="1">
        <f>VLOOKUP(D337,'Orden de Imagen'!$A$1:D486,4,FALSE())</f>
        <v>307</v>
      </c>
      <c r="Z337" s="1" t="str">
        <f t="shared" si="63"/>
        <v>307_26_03_21_TORRES_E35_A_E48</v>
      </c>
    </row>
    <row r="338" spans="1:26" x14ac:dyDescent="0.25">
      <c r="A338" s="1">
        <v>330</v>
      </c>
      <c r="B338" s="1" t="s">
        <v>666</v>
      </c>
      <c r="C338" s="1" t="str">
        <f t="shared" si="57"/>
        <v>CL_MLP_PAO_IF_Ortho_26_03_21_TORRES_E48_A_E84_PV4.tif</v>
      </c>
      <c r="D338" s="1" t="str">
        <f t="shared" si="65"/>
        <v>CL_MLP_PAO_IF_Ortho_26_03_21_TORRES_E48_A_E84_PV4</v>
      </c>
      <c r="E338" s="1" t="s">
        <v>566</v>
      </c>
      <c r="F338" s="1" t="s">
        <v>460</v>
      </c>
      <c r="G338" s="1" t="s">
        <v>29</v>
      </c>
      <c r="H338" s="16">
        <v>46102</v>
      </c>
      <c r="I338" s="16">
        <v>46113</v>
      </c>
      <c r="J338" s="1" t="s">
        <v>30</v>
      </c>
      <c r="K338" s="2" t="str">
        <f t="shared" si="66"/>
        <v>https://sig.aminerals.cl/imgdyn/rest/services/CL_MLP_PAO/CL_MLP_PAO_IF_Ortho_Geosupport/ImageServer/file?id=.\El_Mauro_Puerto_Punta_Chungo_Drone\26_03_21\CL_MLP_PAO_IF_Ortho_26_03_21_TORRES_E48_A_E84_PV4.tif&amp;rasterId=</v>
      </c>
      <c r="L338" s="1" t="s">
        <v>31</v>
      </c>
      <c r="M338" s="1" t="s">
        <v>32</v>
      </c>
      <c r="N338" s="1" t="s">
        <v>33</v>
      </c>
      <c r="O338" s="1" t="s">
        <v>34</v>
      </c>
      <c r="P338" s="3" t="str">
        <f t="shared" si="58"/>
        <v>21</v>
      </c>
      <c r="Q338" s="3" t="str">
        <f t="shared" si="59"/>
        <v>03</v>
      </c>
      <c r="R338" s="3" t="str">
        <f t="shared" si="60"/>
        <v>26</v>
      </c>
      <c r="S338" s="1" t="s">
        <v>50</v>
      </c>
      <c r="U338" s="1" t="s">
        <v>461</v>
      </c>
      <c r="V338" s="1" t="str">
        <f t="shared" si="61"/>
        <v>TORRES_E48_A_E84_PV4</v>
      </c>
      <c r="W338" s="1" t="str">
        <f t="shared" si="56"/>
        <v>TORRES_E48_A_E84_PV4</v>
      </c>
      <c r="X338" s="4" t="b">
        <f t="shared" si="62"/>
        <v>1</v>
      </c>
      <c r="Y338" s="1">
        <f>VLOOKUP(D338,'Orden de Imagen'!$A$1:D472,4,FALSE())</f>
        <v>308</v>
      </c>
      <c r="Z338" s="1" t="str">
        <f t="shared" si="63"/>
        <v>308_26_03_21_TORRES_E48_A_E84_PV4</v>
      </c>
    </row>
    <row r="339" spans="1:26" x14ac:dyDescent="0.25">
      <c r="A339" s="1">
        <v>349</v>
      </c>
      <c r="B339" s="1" t="s">
        <v>667</v>
      </c>
      <c r="C339" s="1" t="str">
        <f t="shared" si="57"/>
        <v>CL_MLP_PAO_IF_Ortho_26_03_22_MonteAranda-NSTC-Km-84p2-a-82p3.tif</v>
      </c>
      <c r="D339" s="1" t="str">
        <f t="shared" si="65"/>
        <v>CL_MLP_PAO_IF_Ortho_26_03_22_MonteAranda-NSTC-Km-84p2-a-82p3</v>
      </c>
      <c r="E339" s="1" t="s">
        <v>488</v>
      </c>
      <c r="F339" s="1" t="s">
        <v>460</v>
      </c>
      <c r="G339" s="1" t="s">
        <v>29</v>
      </c>
      <c r="H339" s="16">
        <v>46103</v>
      </c>
      <c r="I339" s="16">
        <v>46113</v>
      </c>
      <c r="J339" s="1" t="s">
        <v>30</v>
      </c>
      <c r="K339" s="2" t="str">
        <f t="shared" si="66"/>
        <v>https://sig.aminerals.cl/imgdyn/rest/services/CL_MLP_PAO/CL_MLP_PAO_IF_Ortho_Geosupport/ImageServer/file?id=.\El_Mauro_Puerto_Punta_Chungo_Drone\26_03_22\CL_MLP_PAO_IF_Ortho_26_03_22_MonteAranda-NSTC-Km-84p2-a-82p3.tif&amp;rasterId=</v>
      </c>
      <c r="L339" s="1" t="s">
        <v>31</v>
      </c>
      <c r="M339" s="1" t="s">
        <v>32</v>
      </c>
      <c r="N339" s="1" t="s">
        <v>33</v>
      </c>
      <c r="O339" s="1" t="s">
        <v>34</v>
      </c>
      <c r="P339" s="3" t="str">
        <f t="shared" si="58"/>
        <v>22</v>
      </c>
      <c r="Q339" s="3" t="str">
        <f t="shared" si="59"/>
        <v>03</v>
      </c>
      <c r="R339" s="3" t="str">
        <f t="shared" si="60"/>
        <v>26</v>
      </c>
      <c r="S339" s="1" t="s">
        <v>50</v>
      </c>
      <c r="U339" s="1" t="s">
        <v>461</v>
      </c>
      <c r="V339" s="1" t="str">
        <f t="shared" si="61"/>
        <v>MonteAranda-NSTC-Km-84p2-a-82p3</v>
      </c>
      <c r="W339" s="1" t="str">
        <f t="shared" si="56"/>
        <v>MonteAranda-NSTC-Km-84p2-a-82p3</v>
      </c>
      <c r="X339" s="4" t="b">
        <f t="shared" si="62"/>
        <v>1</v>
      </c>
      <c r="Y339" s="1">
        <f>VLOOKUP(D339,'Orden de Imagen'!$A$1:D490,4,FALSE())</f>
        <v>309</v>
      </c>
      <c r="Z339" s="1" t="str">
        <f t="shared" si="63"/>
        <v>309_26_03_22_MonteAranda-NSTC-Km-84p2-a-82p3</v>
      </c>
    </row>
    <row r="340" spans="1:26" x14ac:dyDescent="0.25">
      <c r="A340" s="1">
        <v>355</v>
      </c>
      <c r="B340" s="1" t="s">
        <v>668</v>
      </c>
      <c r="C340" s="1" t="str">
        <f t="shared" si="57"/>
        <v>CL_MLP_PAO_IF_Ortho_26_03_26_Camino_Alternativo_Salamanca.tif</v>
      </c>
      <c r="D340" s="1" t="str">
        <f t="shared" si="65"/>
        <v>CL_MLP_PAO_IF_Ortho_26_03_26_Camino_Alternativo_Salamanca</v>
      </c>
      <c r="E340" s="1" t="s">
        <v>660</v>
      </c>
      <c r="F340" s="1" t="s">
        <v>460</v>
      </c>
      <c r="G340" s="1" t="s">
        <v>29</v>
      </c>
      <c r="H340" s="16">
        <v>46107</v>
      </c>
      <c r="I340" s="16">
        <v>46113</v>
      </c>
      <c r="J340" s="1" t="s">
        <v>30</v>
      </c>
      <c r="K340" s="2" t="str">
        <f t="shared" si="66"/>
        <v>https://sig.aminerals.cl/imgdyn/rest/services/CL_MLP_PAO/CL_MLP_PAO_IF_Ortho_Geosupport/ImageServer/file?id=.\El_Mauro_Drone\26_03_26\CL_MLP_PAO_IF_Ortho_26_03_26_Camino_Alternativo_Salamanca.tif&amp;rasterId=</v>
      </c>
      <c r="L340" s="1" t="s">
        <v>31</v>
      </c>
      <c r="M340" s="1" t="s">
        <v>32</v>
      </c>
      <c r="N340" s="1" t="s">
        <v>33</v>
      </c>
      <c r="O340" s="1" t="s">
        <v>34</v>
      </c>
      <c r="P340" s="3" t="str">
        <f t="shared" si="58"/>
        <v>26</v>
      </c>
      <c r="Q340" s="3" t="str">
        <f t="shared" si="59"/>
        <v>03</v>
      </c>
      <c r="R340" s="3" t="str">
        <f t="shared" si="60"/>
        <v>26</v>
      </c>
      <c r="S340" s="1" t="s">
        <v>87</v>
      </c>
      <c r="U340" s="1" t="s">
        <v>461</v>
      </c>
      <c r="V340" s="1" t="str">
        <f t="shared" si="61"/>
        <v>Camino_Alternativo_Salamanca</v>
      </c>
      <c r="W340" s="1" t="str">
        <f t="shared" si="56"/>
        <v>Camino_Alternativo_Salamanca</v>
      </c>
      <c r="X340" s="4" t="b">
        <f t="shared" si="62"/>
        <v>1</v>
      </c>
      <c r="Y340" s="1">
        <f>VLOOKUP(D340,'Orden de Imagen'!$A$1:D496,4,FALSE())</f>
        <v>310</v>
      </c>
      <c r="Z340" s="1" t="str">
        <f t="shared" si="63"/>
        <v>310_26_03_26_Camino_Alternativo_Salamanca</v>
      </c>
    </row>
    <row r="341" spans="1:26" x14ac:dyDescent="0.25">
      <c r="A341" s="1">
        <v>336</v>
      </c>
      <c r="B341" s="1" t="s">
        <v>669</v>
      </c>
      <c r="C341" s="1" t="str">
        <f t="shared" si="57"/>
        <v>CL_MLP_PAO_IF_Ortho_26_03_26_EBD.tif</v>
      </c>
      <c r="D341" s="1" t="str">
        <f t="shared" si="65"/>
        <v>CL_MLP_PAO_IF_Ortho_26_03_26_EBD</v>
      </c>
      <c r="E341" s="1" t="s">
        <v>608</v>
      </c>
      <c r="F341" s="1" t="s">
        <v>460</v>
      </c>
      <c r="G341" s="1" t="s">
        <v>29</v>
      </c>
      <c r="H341" s="16">
        <v>46107</v>
      </c>
      <c r="I341" s="16">
        <v>46113</v>
      </c>
      <c r="J341" s="1" t="s">
        <v>30</v>
      </c>
      <c r="K341" s="2" t="str">
        <f t="shared" si="66"/>
        <v>https://sig.aminerals.cl/imgdyn/rest/services/CL_MLP_PAO/CL_MLP_PAO_IF_Ortho_Geosupport/ImageServer/file?id=.\El_Mauro_Drone\26_03_26\CL_MLP_PAO_IF_Ortho_26_03_26_EBD.tif&amp;rasterId=</v>
      </c>
      <c r="L341" s="1" t="s">
        <v>31</v>
      </c>
      <c r="M341" s="1" t="s">
        <v>32</v>
      </c>
      <c r="N341" s="1" t="s">
        <v>33</v>
      </c>
      <c r="O341" s="1" t="s">
        <v>34</v>
      </c>
      <c r="P341" s="3" t="str">
        <f t="shared" si="58"/>
        <v>26</v>
      </c>
      <c r="Q341" s="3" t="str">
        <f t="shared" si="59"/>
        <v>03</v>
      </c>
      <c r="R341" s="3" t="str">
        <f t="shared" si="60"/>
        <v>26</v>
      </c>
      <c r="S341" s="1" t="s">
        <v>87</v>
      </c>
      <c r="U341" s="1" t="s">
        <v>461</v>
      </c>
      <c r="V341" s="1" t="str">
        <f t="shared" si="61"/>
        <v>EBD</v>
      </c>
      <c r="W341" s="1" t="str">
        <f t="shared" si="56"/>
        <v>EBD</v>
      </c>
      <c r="X341" s="4" t="b">
        <f t="shared" si="62"/>
        <v>1</v>
      </c>
      <c r="Y341" s="1">
        <f>VLOOKUP(D341,'Orden de Imagen'!$A$1:D477,4,FALSE())</f>
        <v>311</v>
      </c>
      <c r="Z341" s="1" t="str">
        <f t="shared" si="63"/>
        <v>311_26_03_26_EBD</v>
      </c>
    </row>
    <row r="342" spans="1:26" x14ac:dyDescent="0.25">
      <c r="A342" s="1">
        <v>322</v>
      </c>
      <c r="B342" s="1" t="s">
        <v>670</v>
      </c>
      <c r="C342" s="1" t="str">
        <f t="shared" si="57"/>
        <v>CL_MLP_PAO_IF_Ortho_26_03_26_ED2.tif</v>
      </c>
      <c r="D342" s="1" t="str">
        <f t="shared" si="65"/>
        <v>CL_MLP_PAO_IF_Ortho_26_03_26_ED2</v>
      </c>
      <c r="E342" s="1" t="s">
        <v>468</v>
      </c>
      <c r="F342" s="1" t="s">
        <v>460</v>
      </c>
      <c r="G342" s="1" t="s">
        <v>29</v>
      </c>
      <c r="H342" s="16">
        <v>46107</v>
      </c>
      <c r="I342" s="16">
        <v>46113</v>
      </c>
      <c r="J342" s="1" t="s">
        <v>30</v>
      </c>
      <c r="K342" s="2" t="str">
        <f t="shared" si="66"/>
        <v>https://sig.aminerals.cl/imgdyn/rest/services/CL_MLP_PAO/CL_MLP_PAO_IF_Ortho_Geosupport/ImageServer/file?id=.\Chacay_El_Mauro_Drone\26_03_26\CL_MLP_PAO_IF_Ortho_26_03_26_ED2.tif&amp;rasterId=</v>
      </c>
      <c r="L342" s="1" t="s">
        <v>31</v>
      </c>
      <c r="M342" s="1" t="s">
        <v>32</v>
      </c>
      <c r="N342" s="1" t="s">
        <v>33</v>
      </c>
      <c r="O342" s="1" t="s">
        <v>34</v>
      </c>
      <c r="P342" s="3" t="str">
        <f t="shared" si="58"/>
        <v>26</v>
      </c>
      <c r="Q342" s="3" t="str">
        <f t="shared" si="59"/>
        <v>03</v>
      </c>
      <c r="R342" s="3" t="str">
        <f t="shared" si="60"/>
        <v>26</v>
      </c>
      <c r="S342" s="1" t="s">
        <v>40</v>
      </c>
      <c r="U342" s="1" t="s">
        <v>461</v>
      </c>
      <c r="V342" s="1" t="str">
        <f t="shared" si="61"/>
        <v>ED2</v>
      </c>
      <c r="W342" s="1" t="str">
        <f t="shared" si="56"/>
        <v>ED2</v>
      </c>
      <c r="X342" s="4" t="b">
        <f t="shared" si="62"/>
        <v>1</v>
      </c>
      <c r="Y342" s="1">
        <f>VLOOKUP(D342,'Orden de Imagen'!$A$1:D464,4,FALSE())</f>
        <v>312</v>
      </c>
      <c r="Z342" s="1" t="str">
        <f t="shared" si="63"/>
        <v>312_26_03_26_ED2</v>
      </c>
    </row>
    <row r="343" spans="1:26" x14ac:dyDescent="0.25">
      <c r="A343" s="1">
        <v>323</v>
      </c>
      <c r="B343" s="1" t="s">
        <v>671</v>
      </c>
      <c r="C343" s="1" t="str">
        <f t="shared" si="57"/>
        <v>CL_MLP_PAO_IF_Ortho_26_03_26_EM3.tif</v>
      </c>
      <c r="D343" s="1" t="str">
        <f t="shared" si="65"/>
        <v>CL_MLP_PAO_IF_Ortho_26_03_26_EM3</v>
      </c>
      <c r="E343" s="1" t="s">
        <v>203</v>
      </c>
      <c r="F343" s="1" t="s">
        <v>460</v>
      </c>
      <c r="G343" s="1" t="s">
        <v>29</v>
      </c>
      <c r="H343" s="16">
        <v>46107</v>
      </c>
      <c r="I343" s="16">
        <v>46113</v>
      </c>
      <c r="J343" s="1" t="s">
        <v>30</v>
      </c>
      <c r="K343" s="2" t="str">
        <f t="shared" si="66"/>
        <v>https://sig.aminerals.cl/imgdyn/rest/services/CL_MLP_PAO/CL_MLP_PAO_IF_Ortho_Geosupport/ImageServer/file?id=.\Chacay_El_Mauro_Drone\26_03_26\CL_MLP_PAO_IF_Ortho_26_03_26_EM3.tif&amp;rasterId=</v>
      </c>
      <c r="L343" s="1" t="s">
        <v>31</v>
      </c>
      <c r="M343" s="1" t="s">
        <v>32</v>
      </c>
      <c r="N343" s="1" t="s">
        <v>33</v>
      </c>
      <c r="O343" s="1" t="s">
        <v>34</v>
      </c>
      <c r="P343" s="3" t="str">
        <f t="shared" si="58"/>
        <v>26</v>
      </c>
      <c r="Q343" s="3" t="str">
        <f t="shared" si="59"/>
        <v>03</v>
      </c>
      <c r="R343" s="3" t="str">
        <f t="shared" si="60"/>
        <v>26</v>
      </c>
      <c r="S343" s="1" t="s">
        <v>40</v>
      </c>
      <c r="U343" s="1" t="s">
        <v>461</v>
      </c>
      <c r="V343" s="1" t="str">
        <f t="shared" si="61"/>
        <v>EM3</v>
      </c>
      <c r="W343" s="1" t="str">
        <f t="shared" si="56"/>
        <v>EM3</v>
      </c>
      <c r="X343" s="4" t="b">
        <f t="shared" si="62"/>
        <v>1</v>
      </c>
      <c r="Y343" s="1">
        <f>VLOOKUP(D343,'Orden de Imagen'!$A$1:D465,4,FALSE())</f>
        <v>313</v>
      </c>
      <c r="Z343" s="1" t="str">
        <f t="shared" si="63"/>
        <v>313_26_03_26_EM3</v>
      </c>
    </row>
    <row r="344" spans="1:26" x14ac:dyDescent="0.25">
      <c r="A344" s="1">
        <v>343</v>
      </c>
      <c r="B344" s="1" t="s">
        <v>672</v>
      </c>
      <c r="C344" s="1" t="str">
        <f t="shared" si="57"/>
        <v>CL_MLP_PAO_IF_Ortho_26_03_26_Patio-19B-y-Armado.tif</v>
      </c>
      <c r="D344" s="1" t="str">
        <f t="shared" si="65"/>
        <v>CL_MLP_PAO_IF_Ortho_26_03_26_Patio-19B-y-Armado</v>
      </c>
      <c r="E344" s="1" t="s">
        <v>472</v>
      </c>
      <c r="F344" s="1" t="s">
        <v>460</v>
      </c>
      <c r="G344" s="1" t="s">
        <v>29</v>
      </c>
      <c r="H344" s="16">
        <v>46107</v>
      </c>
      <c r="I344" s="16">
        <v>46113</v>
      </c>
      <c r="J344" s="1" t="s">
        <v>30</v>
      </c>
      <c r="K344" s="2" t="str">
        <f t="shared" si="66"/>
        <v>https://sig.aminerals.cl/imgdyn/rest/services/CL_MLP_PAO/CL_MLP_PAO_IF_Ortho_Geosupport/ImageServer/file?id=.\El_Mauro_Drone\26_03_26\CL_MLP_PAO_IF_Ortho_26_03_26_Patio-19B-y-Armado.tif&amp;rasterId=</v>
      </c>
      <c r="L344" s="1" t="s">
        <v>31</v>
      </c>
      <c r="M344" s="1" t="s">
        <v>32</v>
      </c>
      <c r="N344" s="1" t="s">
        <v>33</v>
      </c>
      <c r="O344" s="1" t="s">
        <v>34</v>
      </c>
      <c r="P344" s="3" t="str">
        <f t="shared" si="58"/>
        <v>26</v>
      </c>
      <c r="Q344" s="3" t="str">
        <f t="shared" si="59"/>
        <v>03</v>
      </c>
      <c r="R344" s="3" t="str">
        <f t="shared" si="60"/>
        <v>26</v>
      </c>
      <c r="S344" s="1" t="s">
        <v>87</v>
      </c>
      <c r="U344" s="1" t="s">
        <v>461</v>
      </c>
      <c r="V344" s="1" t="str">
        <f t="shared" si="61"/>
        <v>Patio-19B-y-Armado</v>
      </c>
      <c r="W344" s="1" t="str">
        <f t="shared" si="56"/>
        <v>Patio-19B-y-Armado</v>
      </c>
      <c r="X344" s="4" t="b">
        <f t="shared" si="62"/>
        <v>1</v>
      </c>
      <c r="Y344" s="1">
        <f>VLOOKUP(D344,'Orden de Imagen'!$A$1:D484,4,FALSE())</f>
        <v>314</v>
      </c>
      <c r="Z344" s="1" t="str">
        <f t="shared" si="63"/>
        <v>314_26_03_26_Patio-19B-y-Armado</v>
      </c>
    </row>
    <row r="345" spans="1:26" x14ac:dyDescent="0.25">
      <c r="A345" s="1">
        <v>394</v>
      </c>
      <c r="B345" s="1" t="s">
        <v>673</v>
      </c>
      <c r="C345" s="1" t="str">
        <f t="shared" si="57"/>
        <v>CL_MLP_PAO_IF_Ortho_26_03_26_Plataforma_Integrada_El_Mauro.tif</v>
      </c>
      <c r="D345" s="1" t="str">
        <f t="shared" si="65"/>
        <v>CL_MLP_PAO_IF_Ortho_26_03_26_Plataforma_Integrada_El_Mauro</v>
      </c>
      <c r="E345" s="1" t="s">
        <v>459</v>
      </c>
      <c r="F345" s="1" t="s">
        <v>460</v>
      </c>
      <c r="G345" s="1" t="s">
        <v>29</v>
      </c>
      <c r="H345" s="16">
        <v>46107</v>
      </c>
      <c r="I345" s="16">
        <v>46135</v>
      </c>
      <c r="J345" s="1" t="s">
        <v>30</v>
      </c>
      <c r="K345" s="2" t="str">
        <f>CONCATENATE("https://sig.aminerals.cl/imgdyn/rest/services/CL_MLP_PAO/",U345,"/","ImageServer/file?id=.\",S345,"\",R345,"_",Q345,"\",C345,"&amp;rasterId=")</f>
        <v>https://sig.aminerals.cl/imgdyn/rest/services/CL_MLP_PAO/CL_MLP_PAO_IF_Ortho_Geosupport/ImageServer/file?id=.\El_Mauro_Drone\26_03\CL_MLP_PAO_IF_Ortho_26_03_26_Plataforma_Integrada_El_Mauro.tif&amp;rasterId=</v>
      </c>
      <c r="L345" s="1" t="s">
        <v>31</v>
      </c>
      <c r="M345" s="1" t="s">
        <v>32</v>
      </c>
      <c r="N345" s="1" t="s">
        <v>33</v>
      </c>
      <c r="O345" s="1" t="s">
        <v>34</v>
      </c>
      <c r="P345" s="3" t="str">
        <f t="shared" si="58"/>
        <v>26</v>
      </c>
      <c r="Q345" s="3" t="str">
        <f t="shared" si="59"/>
        <v>03</v>
      </c>
      <c r="R345" s="3" t="str">
        <f t="shared" si="60"/>
        <v>26</v>
      </c>
      <c r="S345" s="1" t="s">
        <v>87</v>
      </c>
      <c r="U345" s="1" t="s">
        <v>461</v>
      </c>
      <c r="V345" s="1" t="str">
        <f t="shared" si="61"/>
        <v>Plataforma_Integrada_El_Mauro</v>
      </c>
      <c r="W345" s="1" t="str">
        <f t="shared" si="56"/>
        <v>Plataforma_Integrada_El_Mauro</v>
      </c>
      <c r="X345" s="4" t="b">
        <f t="shared" si="62"/>
        <v>1</v>
      </c>
      <c r="Y345" s="1">
        <f>VLOOKUP(D345,'Orden de Imagen'!$A$1:D533,4,FALSE())</f>
        <v>315</v>
      </c>
      <c r="Z345" s="1" t="str">
        <f t="shared" si="63"/>
        <v>315_26_03_26_Plataforma_Integrada_El_Mauro</v>
      </c>
    </row>
    <row r="346" spans="1:26" x14ac:dyDescent="0.25">
      <c r="A346" s="1">
        <v>344</v>
      </c>
      <c r="B346" s="1" t="s">
        <v>674</v>
      </c>
      <c r="C346" s="1" t="str">
        <f t="shared" si="57"/>
        <v>CL_MLP_PAO_IF_Ortho_26_03_26_Pozos_PRP.tif</v>
      </c>
      <c r="D346" s="1" t="str">
        <f t="shared" si="65"/>
        <v>CL_MLP_PAO_IF_Ortho_26_03_26_Pozos_PRP</v>
      </c>
      <c r="E346" s="1" t="s">
        <v>675</v>
      </c>
      <c r="F346" s="1" t="s">
        <v>460</v>
      </c>
      <c r="G346" s="1" t="s">
        <v>29</v>
      </c>
      <c r="H346" s="16">
        <v>46107</v>
      </c>
      <c r="I346" s="16">
        <v>46113</v>
      </c>
      <c r="J346" s="1" t="s">
        <v>30</v>
      </c>
      <c r="K346" s="2" t="str">
        <f t="shared" ref="K346:K360" si="67">CONCATENATE("https://sig.aminerals.cl/imgdyn/rest/services/CL_MLP_PAO/",U346,"/","ImageServer/file?id=.\",S346,"\",R346,"_",Q346,"_",P346,"\",C346,"&amp;rasterId=")</f>
        <v>https://sig.aminerals.cl/imgdyn/rest/services/CL_MLP_PAO/CL_MLP_PAO_IF_Ortho_Geosupport/ImageServer/file?id=.\El_Mauro_Drone\26_03_26\CL_MLP_PAO_IF_Ortho_26_03_26_Pozos_PRP.tif&amp;rasterId=</v>
      </c>
      <c r="L346" s="1" t="s">
        <v>31</v>
      </c>
      <c r="M346" s="1" t="s">
        <v>32</v>
      </c>
      <c r="N346" s="1" t="s">
        <v>33</v>
      </c>
      <c r="O346" s="1" t="s">
        <v>34</v>
      </c>
      <c r="P346" s="3" t="str">
        <f t="shared" si="58"/>
        <v>26</v>
      </c>
      <c r="Q346" s="3" t="str">
        <f t="shared" si="59"/>
        <v>03</v>
      </c>
      <c r="R346" s="3" t="str">
        <f t="shared" si="60"/>
        <v>26</v>
      </c>
      <c r="S346" s="1" t="s">
        <v>87</v>
      </c>
      <c r="U346" s="1" t="s">
        <v>461</v>
      </c>
      <c r="V346" s="1" t="str">
        <f t="shared" si="61"/>
        <v>Pozos_PRP</v>
      </c>
      <c r="W346" s="1" t="str">
        <f t="shared" si="56"/>
        <v>Pozos_PRP</v>
      </c>
      <c r="X346" s="4" t="b">
        <f t="shared" si="62"/>
        <v>1</v>
      </c>
      <c r="Y346" s="1">
        <f>VLOOKUP(D346,'Orden de Imagen'!$A$1:D485,4,FALSE())</f>
        <v>316</v>
      </c>
      <c r="Z346" s="1" t="str">
        <f t="shared" si="63"/>
        <v>316_26_03_26_Pozos_PRP</v>
      </c>
    </row>
    <row r="347" spans="1:26" x14ac:dyDescent="0.25">
      <c r="A347" s="1">
        <v>329</v>
      </c>
      <c r="B347" s="1" t="s">
        <v>676</v>
      </c>
      <c r="C347" s="1" t="str">
        <f t="shared" si="57"/>
        <v>CL_MLP_PAO_IF_Ortho_26_03_26_Subestacion-El-Mauro_A_E35.tif</v>
      </c>
      <c r="D347" s="1" t="str">
        <f t="shared" si="65"/>
        <v>CL_MLP_PAO_IF_Ortho_26_03_26_Subestacion-El-Mauro_A_E35</v>
      </c>
      <c r="E347" s="1" t="s">
        <v>604</v>
      </c>
      <c r="F347" s="1" t="s">
        <v>460</v>
      </c>
      <c r="G347" s="1" t="s">
        <v>29</v>
      </c>
      <c r="H347" s="16">
        <v>46107</v>
      </c>
      <c r="I347" s="16">
        <v>46113</v>
      </c>
      <c r="J347" s="1" t="s">
        <v>30</v>
      </c>
      <c r="K347" s="2" t="str">
        <f t="shared" si="67"/>
        <v>https://sig.aminerals.cl/imgdyn/rest/services/CL_MLP_PAO/CL_MLP_PAO_IF_Ortho_Geosupport/ImageServer/file?id=.\El_Mauro_Drone\26_03_26\CL_MLP_PAO_IF_Ortho_26_03_26_Subestacion-El-Mauro_A_E35.tif&amp;rasterId=</v>
      </c>
      <c r="L347" s="1" t="s">
        <v>31</v>
      </c>
      <c r="M347" s="1" t="s">
        <v>32</v>
      </c>
      <c r="N347" s="1" t="s">
        <v>33</v>
      </c>
      <c r="O347" s="1" t="s">
        <v>34</v>
      </c>
      <c r="P347" s="3" t="str">
        <f t="shared" si="58"/>
        <v>26</v>
      </c>
      <c r="Q347" s="3" t="str">
        <f t="shared" si="59"/>
        <v>03</v>
      </c>
      <c r="R347" s="3" t="str">
        <f t="shared" si="60"/>
        <v>26</v>
      </c>
      <c r="S347" s="1" t="s">
        <v>87</v>
      </c>
      <c r="U347" s="1" t="s">
        <v>461</v>
      </c>
      <c r="V347" s="1" t="str">
        <f t="shared" si="61"/>
        <v>Subestacion-El-Mauro_A_E35</v>
      </c>
      <c r="W347" s="1" t="str">
        <f t="shared" si="56"/>
        <v>Subestacion-El-Mauro_A_E35</v>
      </c>
      <c r="X347" s="4" t="b">
        <f t="shared" si="62"/>
        <v>1</v>
      </c>
      <c r="Y347" s="1">
        <f>VLOOKUP(D347,'Orden de Imagen'!$A$1:D471,4,FALSE())</f>
        <v>317</v>
      </c>
      <c r="Z347" s="1" t="str">
        <f t="shared" si="63"/>
        <v>317_26_03_26_Subestacion-El-Mauro_A_E35</v>
      </c>
    </row>
    <row r="348" spans="1:26" x14ac:dyDescent="0.25">
      <c r="A348" s="1">
        <v>333</v>
      </c>
      <c r="B348" s="1" t="s">
        <v>677</v>
      </c>
      <c r="C348" s="1" t="str">
        <f t="shared" si="57"/>
        <v>CL_MLP_PAO_IF_Ortho_26_03_26_TORRES_E48_A_E84_PV4.tif</v>
      </c>
      <c r="D348" s="1" t="str">
        <f t="shared" si="65"/>
        <v>CL_MLP_PAO_IF_Ortho_26_03_26_TORRES_E48_A_E84_PV4</v>
      </c>
      <c r="E348" s="1" t="s">
        <v>566</v>
      </c>
      <c r="F348" s="1" t="s">
        <v>460</v>
      </c>
      <c r="G348" s="1" t="s">
        <v>29</v>
      </c>
      <c r="H348" s="16">
        <v>46107</v>
      </c>
      <c r="I348" s="16">
        <v>46113</v>
      </c>
      <c r="J348" s="1" t="s">
        <v>30</v>
      </c>
      <c r="K348" s="2" t="str">
        <f t="shared" si="67"/>
        <v>https://sig.aminerals.cl/imgdyn/rest/services/CL_MLP_PAO/CL_MLP_PAO_IF_Ortho_Geosupport/ImageServer/file?id=.\El_Mauro_Puerto_Punta_Chungo_Drone\26_03_26\CL_MLP_PAO_IF_Ortho_26_03_26_TORRES_E48_A_E84_PV4.tif&amp;rasterId=</v>
      </c>
      <c r="L348" s="1" t="s">
        <v>31</v>
      </c>
      <c r="M348" s="1" t="s">
        <v>32</v>
      </c>
      <c r="N348" s="1" t="s">
        <v>33</v>
      </c>
      <c r="O348" s="1" t="s">
        <v>34</v>
      </c>
      <c r="P348" s="3" t="str">
        <f t="shared" si="58"/>
        <v>26</v>
      </c>
      <c r="Q348" s="3" t="str">
        <f t="shared" si="59"/>
        <v>03</v>
      </c>
      <c r="R348" s="3" t="str">
        <f t="shared" si="60"/>
        <v>26</v>
      </c>
      <c r="S348" s="1" t="s">
        <v>50</v>
      </c>
      <c r="U348" s="1" t="s">
        <v>461</v>
      </c>
      <c r="V348" s="1" t="str">
        <f t="shared" si="61"/>
        <v>TORRES_E48_A_E84_PV4</v>
      </c>
      <c r="W348" s="1" t="str">
        <f t="shared" ref="W348:W353" si="68">E348</f>
        <v>TORRES_E48_A_E84_PV4</v>
      </c>
      <c r="X348" s="4" t="b">
        <f t="shared" si="62"/>
        <v>1</v>
      </c>
      <c r="Y348" s="1">
        <f>VLOOKUP(D348,'Orden de Imagen'!$A$1:D474,4,FALSE())</f>
        <v>318</v>
      </c>
      <c r="Z348" s="1" t="str">
        <f t="shared" si="63"/>
        <v>318_26_03_26_TORRES_E48_A_E84_PV4</v>
      </c>
    </row>
    <row r="349" spans="1:26" x14ac:dyDescent="0.25">
      <c r="A349" s="1">
        <v>335</v>
      </c>
      <c r="B349" s="1" t="s">
        <v>678</v>
      </c>
      <c r="C349" s="1" t="str">
        <f t="shared" si="57"/>
        <v>CL_MLP_PAO_IF_Ortho_26_03_27_EB3.tif</v>
      </c>
      <c r="D349" s="1" t="str">
        <f t="shared" si="65"/>
        <v>CL_MLP_PAO_IF_Ortho_26_03_27_EB3</v>
      </c>
      <c r="E349" s="1" t="s">
        <v>588</v>
      </c>
      <c r="F349" s="1" t="s">
        <v>460</v>
      </c>
      <c r="G349" s="1" t="s">
        <v>29</v>
      </c>
      <c r="H349" s="16">
        <v>46108</v>
      </c>
      <c r="I349" s="16">
        <v>46113</v>
      </c>
      <c r="J349" s="1" t="s">
        <v>30</v>
      </c>
      <c r="K349" s="2" t="str">
        <f t="shared" si="67"/>
        <v>https://sig.aminerals.cl/imgdyn/rest/services/CL_MLP_PAO/CL_MLP_PAO_IF_Ortho_Geosupport/ImageServer/file?id=.\El_Mauro_Drone\26_03_27\CL_MLP_PAO_IF_Ortho_26_03_27_EB3.tif&amp;rasterId=</v>
      </c>
      <c r="L349" s="1" t="s">
        <v>31</v>
      </c>
      <c r="M349" s="1" t="s">
        <v>32</v>
      </c>
      <c r="N349" s="1" t="s">
        <v>33</v>
      </c>
      <c r="O349" s="1" t="s">
        <v>34</v>
      </c>
      <c r="P349" s="3" t="str">
        <f t="shared" si="58"/>
        <v>27</v>
      </c>
      <c r="Q349" s="3" t="str">
        <f t="shared" si="59"/>
        <v>03</v>
      </c>
      <c r="R349" s="3" t="str">
        <f t="shared" si="60"/>
        <v>26</v>
      </c>
      <c r="S349" s="1" t="s">
        <v>87</v>
      </c>
      <c r="U349" s="1" t="s">
        <v>461</v>
      </c>
      <c r="V349" s="1" t="str">
        <f t="shared" si="61"/>
        <v>EB3</v>
      </c>
      <c r="W349" s="1" t="str">
        <f t="shared" si="68"/>
        <v>EB3</v>
      </c>
      <c r="X349" s="4" t="b">
        <f t="shared" si="62"/>
        <v>1</v>
      </c>
      <c r="Y349" s="1">
        <f>VLOOKUP(D349,'Orden de Imagen'!$A$1:D476,4,FALSE())</f>
        <v>319</v>
      </c>
      <c r="Z349" s="1" t="str">
        <f t="shared" si="63"/>
        <v>319_26_03_27_EB3</v>
      </c>
    </row>
    <row r="350" spans="1:26" x14ac:dyDescent="0.25">
      <c r="A350" s="1">
        <v>327</v>
      </c>
      <c r="B350" s="1" t="s">
        <v>679</v>
      </c>
      <c r="C350" s="1" t="str">
        <f t="shared" si="57"/>
        <v>CL_MLP_PAO_IF_Ortho_26_03_27_Estacion_Cabecera.tif</v>
      </c>
      <c r="D350" s="1" t="str">
        <f t="shared" si="65"/>
        <v>CL_MLP_PAO_IF_Ortho_26_03_27_Estacion_Cabecera</v>
      </c>
      <c r="E350" s="1" t="s">
        <v>680</v>
      </c>
      <c r="F350" s="1" t="s">
        <v>460</v>
      </c>
      <c r="G350" s="1" t="s">
        <v>29</v>
      </c>
      <c r="H350" s="16">
        <v>46108</v>
      </c>
      <c r="I350" s="16">
        <v>46113</v>
      </c>
      <c r="J350" s="1" t="s">
        <v>30</v>
      </c>
      <c r="K350" s="2" t="str">
        <f t="shared" si="67"/>
        <v>https://sig.aminerals.cl/imgdyn/rest/services/CL_MLP_PAO/CL_MLP_PAO_IF_Ortho_Geosupport/ImageServer/file?id=.\Chacay_Drone\26_03_27\CL_MLP_PAO_IF_Ortho_26_03_27_Estacion_Cabecera.tif&amp;rasterId=</v>
      </c>
      <c r="L350" s="1" t="s">
        <v>31</v>
      </c>
      <c r="M350" s="1" t="s">
        <v>32</v>
      </c>
      <c r="N350" s="1" t="s">
        <v>33</v>
      </c>
      <c r="O350" s="1" t="s">
        <v>34</v>
      </c>
      <c r="P350" s="3" t="str">
        <f t="shared" si="58"/>
        <v>27</v>
      </c>
      <c r="Q350" s="3" t="str">
        <f t="shared" si="59"/>
        <v>03</v>
      </c>
      <c r="R350" s="3" t="str">
        <f t="shared" si="60"/>
        <v>26</v>
      </c>
      <c r="S350" s="1" t="s">
        <v>56</v>
      </c>
      <c r="U350" s="1" t="s">
        <v>461</v>
      </c>
      <c r="V350" s="1" t="str">
        <f t="shared" si="61"/>
        <v>Estacion_Cabecera</v>
      </c>
      <c r="W350" s="1" t="str">
        <f t="shared" si="68"/>
        <v>Estacion_Cabecera</v>
      </c>
      <c r="X350" s="4" t="b">
        <f t="shared" si="62"/>
        <v>1</v>
      </c>
      <c r="Y350" s="1">
        <f>VLOOKUP(D350,'Orden de Imagen'!$A$1:D469,4,FALSE())</f>
        <v>320</v>
      </c>
      <c r="Z350" s="1" t="str">
        <f t="shared" si="63"/>
        <v>320_26_03_27_Estacion_Cabecera</v>
      </c>
    </row>
    <row r="351" spans="1:26" x14ac:dyDescent="0.25">
      <c r="A351" s="1">
        <v>338</v>
      </c>
      <c r="B351" s="1" t="s">
        <v>681</v>
      </c>
      <c r="C351" s="1" t="str">
        <f t="shared" si="57"/>
        <v>CL_MLP_PAO_IF_Ortho_26_03_27_Estacion_Intermedia.tif</v>
      </c>
      <c r="D351" s="1" t="str">
        <f t="shared" si="65"/>
        <v>CL_MLP_PAO_IF_Ortho_26_03_27_Estacion_Intermedia</v>
      </c>
      <c r="E351" s="1" t="s">
        <v>682</v>
      </c>
      <c r="F351" s="1" t="s">
        <v>460</v>
      </c>
      <c r="G351" s="1" t="s">
        <v>29</v>
      </c>
      <c r="H351" s="16">
        <v>46108</v>
      </c>
      <c r="I351" s="16">
        <v>46113</v>
      </c>
      <c r="J351" s="1" t="s">
        <v>30</v>
      </c>
      <c r="K351" s="2" t="str">
        <f t="shared" si="67"/>
        <v>https://sig.aminerals.cl/imgdyn/rest/services/CL_MLP_PAO/CL_MLP_PAO_IF_Ortho_Geosupport/ImageServer/file?id=.\El_Mauro_Drone\26_03_27\CL_MLP_PAO_IF_Ortho_26_03_27_Estacion_Intermedia.tif&amp;rasterId=</v>
      </c>
      <c r="L351" s="1" t="s">
        <v>31</v>
      </c>
      <c r="M351" s="1" t="s">
        <v>32</v>
      </c>
      <c r="N351" s="1" t="s">
        <v>33</v>
      </c>
      <c r="O351" s="1" t="s">
        <v>34</v>
      </c>
      <c r="P351" s="3" t="str">
        <f t="shared" si="58"/>
        <v>27</v>
      </c>
      <c r="Q351" s="3" t="str">
        <f t="shared" si="59"/>
        <v>03</v>
      </c>
      <c r="R351" s="3" t="str">
        <f t="shared" si="60"/>
        <v>26</v>
      </c>
      <c r="S351" s="1" t="s">
        <v>87</v>
      </c>
      <c r="U351" s="1" t="s">
        <v>461</v>
      </c>
      <c r="V351" s="1" t="str">
        <f t="shared" si="61"/>
        <v>Estacion_Intermedia</v>
      </c>
      <c r="W351" s="1" t="str">
        <f t="shared" si="68"/>
        <v>Estacion_Intermedia</v>
      </c>
      <c r="X351" s="4" t="b">
        <f t="shared" si="62"/>
        <v>1</v>
      </c>
      <c r="Y351" s="1">
        <f>VLOOKUP(D351,'Orden de Imagen'!$A$1:D479,4,FALSE())</f>
        <v>321</v>
      </c>
      <c r="Z351" s="1" t="str">
        <f t="shared" si="63"/>
        <v>321_26_03_27_Estacion_Intermedia</v>
      </c>
    </row>
    <row r="352" spans="1:26" x14ac:dyDescent="0.25">
      <c r="A352" s="1">
        <v>339</v>
      </c>
      <c r="B352" s="1" t="s">
        <v>683</v>
      </c>
      <c r="C352" s="1" t="str">
        <f t="shared" si="57"/>
        <v>CL_MLP_PAO_IF_Ortho_26_03_27_EV1.tif</v>
      </c>
      <c r="D352" s="1" t="str">
        <f t="shared" si="65"/>
        <v>CL_MLP_PAO_IF_Ortho_26_03_27_EV1</v>
      </c>
      <c r="E352" s="1" t="s">
        <v>258</v>
      </c>
      <c r="F352" s="1" t="s">
        <v>460</v>
      </c>
      <c r="G352" s="1" t="s">
        <v>29</v>
      </c>
      <c r="H352" s="16">
        <v>46108</v>
      </c>
      <c r="I352" s="16">
        <v>46113</v>
      </c>
      <c r="J352" s="1" t="s">
        <v>30</v>
      </c>
      <c r="K352" s="2" t="str">
        <f t="shared" si="67"/>
        <v>https://sig.aminerals.cl/imgdyn/rest/services/CL_MLP_PAO/CL_MLP_PAO_IF_Ortho_Geosupport/ImageServer/file?id=.\Chacay_El_Mauro_Drone\26_03_27\CL_MLP_PAO_IF_Ortho_26_03_27_EV1.tif&amp;rasterId=</v>
      </c>
      <c r="L352" s="1" t="s">
        <v>31</v>
      </c>
      <c r="M352" s="1" t="s">
        <v>32</v>
      </c>
      <c r="N352" s="1" t="s">
        <v>33</v>
      </c>
      <c r="O352" s="1" t="s">
        <v>34</v>
      </c>
      <c r="P352" s="3" t="str">
        <f t="shared" si="58"/>
        <v>27</v>
      </c>
      <c r="Q352" s="3" t="str">
        <f t="shared" si="59"/>
        <v>03</v>
      </c>
      <c r="R352" s="3" t="str">
        <f t="shared" si="60"/>
        <v>26</v>
      </c>
      <c r="S352" s="1" t="s">
        <v>40</v>
      </c>
      <c r="U352" s="1" t="s">
        <v>461</v>
      </c>
      <c r="V352" s="1" t="str">
        <f t="shared" si="61"/>
        <v>EV1</v>
      </c>
      <c r="W352" s="1" t="str">
        <f t="shared" si="68"/>
        <v>EV1</v>
      </c>
      <c r="X352" s="4" t="b">
        <f t="shared" si="62"/>
        <v>1</v>
      </c>
      <c r="Y352" s="1">
        <f>VLOOKUP(D352,'Orden de Imagen'!$A$1:D480,4,FALSE())</f>
        <v>322</v>
      </c>
      <c r="Z352" s="1" t="str">
        <f t="shared" si="63"/>
        <v>322_26_03_27_EV1</v>
      </c>
    </row>
    <row r="353" spans="1:26" x14ac:dyDescent="0.25">
      <c r="A353" s="1">
        <v>341</v>
      </c>
      <c r="B353" s="1" t="s">
        <v>684</v>
      </c>
      <c r="C353" s="1" t="str">
        <f t="shared" si="57"/>
        <v>CL_MLP_PAO_IF_Ortho_26_03_27_Helipuerto.tif</v>
      </c>
      <c r="D353" s="1" t="str">
        <f t="shared" si="65"/>
        <v>CL_MLP_PAO_IF_Ortho_26_03_27_Helipuerto</v>
      </c>
      <c r="E353" s="1" t="s">
        <v>685</v>
      </c>
      <c r="F353" s="1" t="s">
        <v>460</v>
      </c>
      <c r="G353" s="1" t="s">
        <v>29</v>
      </c>
      <c r="H353" s="16">
        <v>46108</v>
      </c>
      <c r="I353" s="16">
        <v>46113</v>
      </c>
      <c r="J353" s="1" t="s">
        <v>30</v>
      </c>
      <c r="K353" s="2" t="str">
        <f t="shared" si="67"/>
        <v>https://sig.aminerals.cl/imgdyn/rest/services/CL_MLP_PAO/CL_MLP_PAO_IF_Ortho_Geosupport/ImageServer/file?id=.\El_Mauro_Drone\26_03_27\CL_MLP_PAO_IF_Ortho_26_03_27_Helipuerto.tif&amp;rasterId=</v>
      </c>
      <c r="L353" s="1" t="s">
        <v>31</v>
      </c>
      <c r="M353" s="1" t="s">
        <v>32</v>
      </c>
      <c r="N353" s="1" t="s">
        <v>33</v>
      </c>
      <c r="O353" s="1" t="s">
        <v>34</v>
      </c>
      <c r="P353" s="3" t="str">
        <f t="shared" si="58"/>
        <v>27</v>
      </c>
      <c r="Q353" s="3" t="str">
        <f t="shared" si="59"/>
        <v>03</v>
      </c>
      <c r="R353" s="3" t="str">
        <f t="shared" si="60"/>
        <v>26</v>
      </c>
      <c r="S353" s="1" t="s">
        <v>87</v>
      </c>
      <c r="U353" s="1" t="s">
        <v>461</v>
      </c>
      <c r="V353" s="1" t="str">
        <f t="shared" si="61"/>
        <v>Helipuerto</v>
      </c>
      <c r="W353" s="1" t="str">
        <f t="shared" si="68"/>
        <v>Helipuerto</v>
      </c>
      <c r="X353" s="4" t="b">
        <f t="shared" si="62"/>
        <v>1</v>
      </c>
      <c r="Y353" s="1">
        <f>VLOOKUP(D353,'Orden de Imagen'!$A$1:D482,4,FALSE())</f>
        <v>323</v>
      </c>
      <c r="Z353" s="1" t="str">
        <f t="shared" si="63"/>
        <v>323_26_03_27_Helipuerto</v>
      </c>
    </row>
    <row r="354" spans="1:26" x14ac:dyDescent="0.25">
      <c r="A354" s="1">
        <v>368</v>
      </c>
      <c r="B354" s="1" t="s">
        <v>686</v>
      </c>
      <c r="C354" s="1" t="str">
        <f t="shared" si="57"/>
        <v>CL_MLP_PAO_IF_Ortho_26_03_27_MonteAranda-NSTC-Km-84p2-a-82p3.tif</v>
      </c>
      <c r="D354" s="1" t="str">
        <f t="shared" si="65"/>
        <v>CL_MLP_PAO_IF_Ortho_26_03_27_MonteAranda-NSTC-Km-84p2-a-82p3</v>
      </c>
      <c r="E354" s="1" t="s">
        <v>488</v>
      </c>
      <c r="F354" s="1" t="s">
        <v>460</v>
      </c>
      <c r="G354" s="1" t="s">
        <v>29</v>
      </c>
      <c r="H354" s="16">
        <v>46108</v>
      </c>
      <c r="I354" s="16">
        <v>46121</v>
      </c>
      <c r="J354" s="1" t="s">
        <v>30</v>
      </c>
      <c r="K354" s="2" t="str">
        <f t="shared" si="67"/>
        <v>https://sig.aminerals.cl/imgdyn/rest/services/CL_MLP_PAO/CL_MLP_PAO_IF_Ortho_Geosupport/ImageServer/file?id=.\El_Mauro_Puerto_Punta_Chungo_Drone\26_03_27\CL_MLP_PAO_IF_Ortho_26_03_27_MonteAranda-NSTC-Km-84p2-a-82p3.tif&amp;rasterId=</v>
      </c>
      <c r="L354" s="1" t="s">
        <v>31</v>
      </c>
      <c r="M354" s="1" t="s">
        <v>32</v>
      </c>
      <c r="N354" s="1" t="s">
        <v>33</v>
      </c>
      <c r="O354" s="1" t="s">
        <v>34</v>
      </c>
      <c r="P354" s="3" t="str">
        <f t="shared" si="58"/>
        <v>27</v>
      </c>
      <c r="Q354" s="3" t="str">
        <f t="shared" si="59"/>
        <v>03</v>
      </c>
      <c r="R354" s="3" t="str">
        <f t="shared" si="60"/>
        <v>26</v>
      </c>
      <c r="S354" s="1" t="s">
        <v>50</v>
      </c>
      <c r="U354" s="1" t="s">
        <v>461</v>
      </c>
      <c r="V354" s="1" t="str">
        <f t="shared" si="61"/>
        <v>MonteAranda-NSTC-Km-84p2-a-82p3</v>
      </c>
      <c r="W354" s="1" t="s">
        <v>488</v>
      </c>
      <c r="X354" s="4" t="b">
        <f t="shared" si="62"/>
        <v>1</v>
      </c>
      <c r="Y354" s="1">
        <f>VLOOKUP(D354,'Orden de Imagen'!$A$1:D509,4,FALSE())</f>
        <v>324</v>
      </c>
      <c r="Z354" s="1" t="str">
        <f t="shared" si="63"/>
        <v>324_26_03_27_MonteAranda-NSTC-Km-84p2-a-82p3</v>
      </c>
    </row>
    <row r="355" spans="1:26" x14ac:dyDescent="0.25">
      <c r="A355" s="1">
        <v>348</v>
      </c>
      <c r="B355" s="1" t="s">
        <v>687</v>
      </c>
      <c r="C355" s="1" t="str">
        <f t="shared" si="57"/>
        <v>CL_MLP_PAO_IF_Ortho_26_03_27_Subestacion-El-Mauro.tif</v>
      </c>
      <c r="D355" s="1" t="str">
        <f t="shared" si="65"/>
        <v>CL_MLP_PAO_IF_Ortho_26_03_27_Subestacion-El-Mauro</v>
      </c>
      <c r="E355" s="1" t="s">
        <v>90</v>
      </c>
      <c r="F355" s="1" t="s">
        <v>460</v>
      </c>
      <c r="G355" s="1" t="s">
        <v>29</v>
      </c>
      <c r="H355" s="16">
        <v>46108</v>
      </c>
      <c r="I355" s="16">
        <v>46113</v>
      </c>
      <c r="J355" s="1" t="s">
        <v>30</v>
      </c>
      <c r="K355" s="2" t="str">
        <f t="shared" si="67"/>
        <v>https://sig.aminerals.cl/imgdyn/rest/services/CL_MLP_PAO/CL_MLP_PAO_IF_Ortho_Geosupport/ImageServer/file?id=.\El_Mauro_Drone\26_03_27\CL_MLP_PAO_IF_Ortho_26_03_27_Subestacion-El-Mauro.tif&amp;rasterId=</v>
      </c>
      <c r="L355" s="1" t="s">
        <v>31</v>
      </c>
      <c r="M355" s="1" t="s">
        <v>32</v>
      </c>
      <c r="N355" s="1" t="s">
        <v>33</v>
      </c>
      <c r="O355" s="1" t="s">
        <v>34</v>
      </c>
      <c r="P355" s="3" t="str">
        <f t="shared" si="58"/>
        <v>27</v>
      </c>
      <c r="Q355" s="3" t="str">
        <f t="shared" si="59"/>
        <v>03</v>
      </c>
      <c r="R355" s="3" t="str">
        <f t="shared" si="60"/>
        <v>26</v>
      </c>
      <c r="S355" s="1" t="s">
        <v>87</v>
      </c>
      <c r="U355" s="1" t="s">
        <v>461</v>
      </c>
      <c r="V355" s="1" t="str">
        <f t="shared" si="61"/>
        <v>Subestacion-El-Mauro</v>
      </c>
      <c r="W355" s="1" t="str">
        <f t="shared" ref="W355:W386" si="69">E355</f>
        <v>Subestacion-El-Mauro</v>
      </c>
      <c r="X355" s="4" t="b">
        <f t="shared" si="62"/>
        <v>1</v>
      </c>
      <c r="Y355" s="1">
        <f>VLOOKUP(D355,'Orden de Imagen'!$A$1:D489,4,FALSE())</f>
        <v>325</v>
      </c>
      <c r="Z355" s="1" t="str">
        <f t="shared" si="63"/>
        <v>325_26_03_27_Subestacion-El-Mauro</v>
      </c>
    </row>
    <row r="356" spans="1:26" x14ac:dyDescent="0.25">
      <c r="A356" s="1">
        <v>351</v>
      </c>
      <c r="B356" s="1" t="s">
        <v>688</v>
      </c>
      <c r="C356" s="1" t="str">
        <f t="shared" si="57"/>
        <v>CL_MLP_PAO_IF_Ortho_26_03_27_TORRE_E85_A_E_125.tif</v>
      </c>
      <c r="D356" s="1" t="str">
        <f t="shared" si="65"/>
        <v>CL_MLP_PAO_IF_Ortho_26_03_27_TORRE_E85_A_E_125</v>
      </c>
      <c r="E356" s="1" t="s">
        <v>483</v>
      </c>
      <c r="F356" s="1" t="s">
        <v>460</v>
      </c>
      <c r="G356" s="1" t="s">
        <v>29</v>
      </c>
      <c r="H356" s="16">
        <v>46108</v>
      </c>
      <c r="I356" s="16">
        <v>46113</v>
      </c>
      <c r="J356" s="1" t="s">
        <v>30</v>
      </c>
      <c r="K356" s="2" t="str">
        <f t="shared" si="67"/>
        <v>https://sig.aminerals.cl/imgdyn/rest/services/CL_MLP_PAO/CL_MLP_PAO_IF_Ortho_Geosupport/ImageServer/file?id=.\El_Mauro_Puerto_Punta_Chungo_Drone\26_03_27\CL_MLP_PAO_IF_Ortho_26_03_27_TORRE_E85_A_E_125.tif&amp;rasterId=</v>
      </c>
      <c r="L356" s="1" t="s">
        <v>31</v>
      </c>
      <c r="M356" s="1" t="s">
        <v>32</v>
      </c>
      <c r="N356" s="1" t="s">
        <v>33</v>
      </c>
      <c r="O356" s="1" t="s">
        <v>34</v>
      </c>
      <c r="P356" s="3" t="str">
        <f t="shared" si="58"/>
        <v>27</v>
      </c>
      <c r="Q356" s="3" t="str">
        <f t="shared" si="59"/>
        <v>03</v>
      </c>
      <c r="R356" s="3" t="str">
        <f t="shared" si="60"/>
        <v>26</v>
      </c>
      <c r="S356" s="1" t="s">
        <v>50</v>
      </c>
      <c r="U356" s="1" t="s">
        <v>461</v>
      </c>
      <c r="V356" s="1" t="str">
        <f t="shared" si="61"/>
        <v>TORRE_E85_A_E_125</v>
      </c>
      <c r="W356" s="1" t="str">
        <f t="shared" si="69"/>
        <v>TORRE_E85_A_E_125</v>
      </c>
      <c r="X356" s="4" t="b">
        <f t="shared" si="62"/>
        <v>1</v>
      </c>
      <c r="Y356" s="1">
        <f>VLOOKUP(D356,'Orden de Imagen'!$A$1:D492,4,FALSE())</f>
        <v>326</v>
      </c>
      <c r="Z356" s="1" t="str">
        <f t="shared" si="63"/>
        <v>326_26_03_27_TORRE_E85_A_E_125</v>
      </c>
    </row>
    <row r="357" spans="1:26" x14ac:dyDescent="0.25">
      <c r="A357" s="1">
        <v>337</v>
      </c>
      <c r="B357" s="1" t="s">
        <v>689</v>
      </c>
      <c r="C357" s="1" t="str">
        <f t="shared" si="57"/>
        <v>CL_MLP_PAO_IF_Ortho_26_03_28_DME9-PA12-IIFF8.tif</v>
      </c>
      <c r="D357" s="1" t="str">
        <f t="shared" si="65"/>
        <v>CL_MLP_PAO_IF_Ortho_26_03_28_DME9-PA12-IIFF8</v>
      </c>
      <c r="E357" s="1" t="s">
        <v>505</v>
      </c>
      <c r="F357" s="1" t="s">
        <v>460</v>
      </c>
      <c r="G357" s="1" t="s">
        <v>29</v>
      </c>
      <c r="H357" s="16">
        <v>46109</v>
      </c>
      <c r="I357" s="16">
        <v>46113</v>
      </c>
      <c r="J357" s="1" t="s">
        <v>30</v>
      </c>
      <c r="K357" s="2" t="str">
        <f t="shared" si="67"/>
        <v>https://sig.aminerals.cl/imgdyn/rest/services/CL_MLP_PAO/CL_MLP_PAO_IF_Ortho_Geosupport/ImageServer/file?id=.\Chacay_El_Mauro_Drone\26_03_28\CL_MLP_PAO_IF_Ortho_26_03_28_DME9-PA12-IIFF8.tif&amp;rasterId=</v>
      </c>
      <c r="L357" s="1" t="s">
        <v>31</v>
      </c>
      <c r="M357" s="1" t="s">
        <v>32</v>
      </c>
      <c r="N357" s="1" t="s">
        <v>33</v>
      </c>
      <c r="O357" s="1" t="s">
        <v>34</v>
      </c>
      <c r="P357" s="3" t="str">
        <f t="shared" si="58"/>
        <v>28</v>
      </c>
      <c r="Q357" s="3" t="str">
        <f t="shared" si="59"/>
        <v>03</v>
      </c>
      <c r="R357" s="3" t="str">
        <f t="shared" si="60"/>
        <v>26</v>
      </c>
      <c r="S357" s="1" t="s">
        <v>40</v>
      </c>
      <c r="U357" s="1" t="s">
        <v>461</v>
      </c>
      <c r="V357" s="1" t="str">
        <f t="shared" si="61"/>
        <v>DME9-PA12-IIFF8</v>
      </c>
      <c r="W357" s="1" t="str">
        <f t="shared" si="69"/>
        <v>DME9-PA12-IIFF8</v>
      </c>
      <c r="X357" s="4" t="b">
        <f t="shared" si="62"/>
        <v>1</v>
      </c>
      <c r="Y357" s="1">
        <f>VLOOKUP(D357,'Orden de Imagen'!$A$1:D478,4,FALSE())</f>
        <v>327</v>
      </c>
      <c r="Z357" s="1" t="str">
        <f t="shared" si="63"/>
        <v>327_26_03_28_DME9-PA12-IIFF8</v>
      </c>
    </row>
    <row r="358" spans="1:26" x14ac:dyDescent="0.25">
      <c r="A358" s="1">
        <v>321</v>
      </c>
      <c r="B358" s="1" t="s">
        <v>690</v>
      </c>
      <c r="C358" s="1" t="str">
        <f t="shared" si="57"/>
        <v>CL_MLP_PAO_IF_Ortho_26_03_28_IIFF9-PA13.tif</v>
      </c>
      <c r="D358" s="1" t="str">
        <f t="shared" si="65"/>
        <v>CL_MLP_PAO_IF_Ortho_26_03_28_IIFF9-PA13</v>
      </c>
      <c r="E358" s="1" t="s">
        <v>508</v>
      </c>
      <c r="F358" s="1" t="s">
        <v>460</v>
      </c>
      <c r="G358" s="1" t="s">
        <v>29</v>
      </c>
      <c r="H358" s="16">
        <v>46109</v>
      </c>
      <c r="I358" s="16">
        <v>46113</v>
      </c>
      <c r="J358" s="1" t="s">
        <v>30</v>
      </c>
      <c r="K358" s="2" t="str">
        <f t="shared" si="67"/>
        <v>https://sig.aminerals.cl/imgdyn/rest/services/CL_MLP_PAO/CL_MLP_PAO_IF_Ortho_Geosupport/ImageServer/file?id=.\Chacay_El_Mauro_Drone\26_03_28\CL_MLP_PAO_IF_Ortho_26_03_28_IIFF9-PA13.tif&amp;rasterId=</v>
      </c>
      <c r="L358" s="1" t="s">
        <v>31</v>
      </c>
      <c r="M358" s="1" t="s">
        <v>32</v>
      </c>
      <c r="N358" s="1" t="s">
        <v>33</v>
      </c>
      <c r="O358" s="1" t="s">
        <v>34</v>
      </c>
      <c r="P358" s="3" t="str">
        <f t="shared" si="58"/>
        <v>28</v>
      </c>
      <c r="Q358" s="3" t="str">
        <f t="shared" si="59"/>
        <v>03</v>
      </c>
      <c r="R358" s="3" t="str">
        <f t="shared" si="60"/>
        <v>26</v>
      </c>
      <c r="S358" s="1" t="s">
        <v>40</v>
      </c>
      <c r="U358" s="1" t="s">
        <v>461</v>
      </c>
      <c r="V358" s="1" t="str">
        <f t="shared" si="61"/>
        <v>IIFF9-PA13</v>
      </c>
      <c r="W358" s="1" t="str">
        <f t="shared" si="69"/>
        <v>IIFF9-PA13</v>
      </c>
      <c r="X358" s="4" t="b">
        <f t="shared" si="62"/>
        <v>1</v>
      </c>
      <c r="Y358" s="1">
        <f>VLOOKUP(D358,'Orden de Imagen'!$A$1:D463,4,FALSE())</f>
        <v>329</v>
      </c>
      <c r="Z358" s="1" t="str">
        <f t="shared" si="63"/>
        <v>329_26_03_28_IIFF9-PA13</v>
      </c>
    </row>
    <row r="359" spans="1:26" x14ac:dyDescent="0.25">
      <c r="A359" s="1">
        <v>350</v>
      </c>
      <c r="B359" s="1" t="s">
        <v>691</v>
      </c>
      <c r="C359" s="1" t="str">
        <f t="shared" si="57"/>
        <v>CL_MLP_PAO_IF_Ortho_26_03_28_TORRES_E35_A_E48.tif</v>
      </c>
      <c r="D359" s="1" t="str">
        <f t="shared" si="65"/>
        <v>CL_MLP_PAO_IF_Ortho_26_03_28_TORRES_E35_A_E48</v>
      </c>
      <c r="E359" s="1" t="s">
        <v>600</v>
      </c>
      <c r="F359" s="1" t="s">
        <v>460</v>
      </c>
      <c r="G359" s="1" t="s">
        <v>29</v>
      </c>
      <c r="H359" s="16">
        <v>46109</v>
      </c>
      <c r="I359" s="16">
        <v>46113</v>
      </c>
      <c r="J359" s="1" t="s">
        <v>30</v>
      </c>
      <c r="K359" s="2" t="str">
        <f t="shared" si="67"/>
        <v>https://sig.aminerals.cl/imgdyn/rest/services/CL_MLP_PAO/CL_MLP_PAO_IF_Ortho_Geosupport/ImageServer/file?id=.\El_Mauro_Drone\26_03_28\CL_MLP_PAO_IF_Ortho_26_03_28_TORRES_E35_A_E48.tif&amp;rasterId=</v>
      </c>
      <c r="L359" s="1" t="s">
        <v>31</v>
      </c>
      <c r="M359" s="1" t="s">
        <v>32</v>
      </c>
      <c r="N359" s="1" t="s">
        <v>33</v>
      </c>
      <c r="O359" s="1" t="s">
        <v>34</v>
      </c>
      <c r="P359" s="3" t="str">
        <f t="shared" si="58"/>
        <v>28</v>
      </c>
      <c r="Q359" s="3" t="str">
        <f t="shared" si="59"/>
        <v>03</v>
      </c>
      <c r="R359" s="3" t="str">
        <f t="shared" si="60"/>
        <v>26</v>
      </c>
      <c r="S359" s="1" t="s">
        <v>87</v>
      </c>
      <c r="U359" s="1" t="s">
        <v>461</v>
      </c>
      <c r="V359" s="1" t="str">
        <f t="shared" si="61"/>
        <v>TORRES_E35_A_E48</v>
      </c>
      <c r="W359" s="1" t="str">
        <f t="shared" si="69"/>
        <v>TORRES_E35_A_E48</v>
      </c>
      <c r="X359" s="4" t="b">
        <f t="shared" si="62"/>
        <v>1</v>
      </c>
      <c r="Y359" s="1">
        <f>VLOOKUP(D359,'Orden de Imagen'!$A$1:D491,4,FALSE())</f>
        <v>330</v>
      </c>
      <c r="Z359" s="1" t="str">
        <f t="shared" si="63"/>
        <v>330_26_03_28_TORRES_E35_A_E48</v>
      </c>
    </row>
    <row r="360" spans="1:26" x14ac:dyDescent="0.25">
      <c r="A360" s="1">
        <v>356</v>
      </c>
      <c r="B360" s="1" t="s">
        <v>692</v>
      </c>
      <c r="C360" s="1" t="str">
        <f t="shared" si="57"/>
        <v>CL_MLP_PAO_IF_Ortho_26_03_29_Acceso_a_pozos.tif</v>
      </c>
      <c r="D360" s="1" t="str">
        <f t="shared" si="65"/>
        <v>CL_MLP_PAO_IF_Ortho_26_03_29_Acceso_a_pozos</v>
      </c>
      <c r="E360" s="1" t="s">
        <v>693</v>
      </c>
      <c r="F360" s="1" t="s">
        <v>460</v>
      </c>
      <c r="G360" s="1" t="s">
        <v>29</v>
      </c>
      <c r="H360" s="16">
        <v>46110</v>
      </c>
      <c r="I360" s="16">
        <v>46121</v>
      </c>
      <c r="J360" s="1" t="s">
        <v>30</v>
      </c>
      <c r="K360" s="2" t="str">
        <f t="shared" si="67"/>
        <v>https://sig.aminerals.cl/imgdyn/rest/services/CL_MLP_PAO/CL_MLP_PAO_IF_Ortho_Geosupport/ImageServer/file?id=.\El_Mauro_Drone\26_03_29\CL_MLP_PAO_IF_Ortho_26_03_29_Acceso_a_pozos.tif&amp;rasterId=</v>
      </c>
      <c r="L360" s="1" t="s">
        <v>31</v>
      </c>
      <c r="M360" s="1" t="s">
        <v>32</v>
      </c>
      <c r="N360" s="1" t="s">
        <v>33</v>
      </c>
      <c r="O360" s="1" t="s">
        <v>34</v>
      </c>
      <c r="P360" s="3" t="str">
        <f t="shared" si="58"/>
        <v>29</v>
      </c>
      <c r="Q360" s="3" t="str">
        <f t="shared" si="59"/>
        <v>03</v>
      </c>
      <c r="R360" s="3" t="str">
        <f t="shared" si="60"/>
        <v>26</v>
      </c>
      <c r="S360" s="1" t="s">
        <v>87</v>
      </c>
      <c r="U360" s="1" t="s">
        <v>461</v>
      </c>
      <c r="V360" s="1" t="str">
        <f t="shared" si="61"/>
        <v>Acceso_a_pozos</v>
      </c>
      <c r="W360" s="1" t="str">
        <f t="shared" si="69"/>
        <v>Acceso_a_pozos</v>
      </c>
      <c r="X360" s="4" t="b">
        <f t="shared" si="62"/>
        <v>1</v>
      </c>
      <c r="Y360" s="1">
        <f>VLOOKUP(D360,'Orden de Imagen'!$A$1:D497,4,FALSE())</f>
        <v>331</v>
      </c>
      <c r="Z360" s="1" t="str">
        <f t="shared" si="63"/>
        <v>331_26_03_29_Acceso_a_pozos</v>
      </c>
    </row>
    <row r="361" spans="1:26" x14ac:dyDescent="0.25">
      <c r="A361" s="1">
        <v>395</v>
      </c>
      <c r="B361" s="1" t="s">
        <v>694</v>
      </c>
      <c r="C361" s="1" t="str">
        <f t="shared" si="57"/>
        <v>CL_MLP_PAO_IF_Ortho_26_03_29_EBR.tif</v>
      </c>
      <c r="D361" s="1" t="str">
        <f t="shared" si="65"/>
        <v>CL_MLP_PAO_IF_Ortho_26_03_29_EBR</v>
      </c>
      <c r="E361" s="1" t="s">
        <v>695</v>
      </c>
      <c r="F361" s="1" t="s">
        <v>460</v>
      </c>
      <c r="G361" s="1" t="s">
        <v>29</v>
      </c>
      <c r="H361" s="16">
        <v>46110</v>
      </c>
      <c r="I361" s="16">
        <v>46135</v>
      </c>
      <c r="J361" s="1" t="s">
        <v>30</v>
      </c>
      <c r="K361" s="2" t="str">
        <f>CONCATENATE("https://sig.aminerals.cl/imgdyn/rest/services/CL_MLP_PAO/",U361,"/","ImageServer/file?id=.\",S361,"\",R361,"_",Q361,"\",C361,"&amp;rasterId=")</f>
        <v>https://sig.aminerals.cl/imgdyn/rest/services/CL_MLP_PAO/CL_MLP_PAO_IF_Ortho_Geosupport/ImageServer/file?id=.\El_Mauro_Drone\26_03\CL_MLP_PAO_IF_Ortho_26_03_29_EBR.tif&amp;rasterId=</v>
      </c>
      <c r="L361" s="1" t="s">
        <v>31</v>
      </c>
      <c r="M361" s="1" t="s">
        <v>32</v>
      </c>
      <c r="N361" s="1" t="s">
        <v>33</v>
      </c>
      <c r="O361" s="1" t="s">
        <v>34</v>
      </c>
      <c r="P361" s="3" t="str">
        <f t="shared" si="58"/>
        <v>29</v>
      </c>
      <c r="Q361" s="3" t="str">
        <f t="shared" si="59"/>
        <v>03</v>
      </c>
      <c r="R361" s="3" t="str">
        <f t="shared" si="60"/>
        <v>26</v>
      </c>
      <c r="S361" s="1" t="s">
        <v>87</v>
      </c>
      <c r="U361" s="1" t="s">
        <v>461</v>
      </c>
      <c r="V361" s="1" t="str">
        <f t="shared" si="61"/>
        <v>EBR</v>
      </c>
      <c r="W361" s="1" t="str">
        <f t="shared" si="69"/>
        <v>EBR</v>
      </c>
      <c r="X361" s="4" t="b">
        <f t="shared" si="62"/>
        <v>1</v>
      </c>
      <c r="Y361" s="1">
        <f>VLOOKUP(D361,'Orden de Imagen'!$A$1:D534,4,FALSE())</f>
        <v>332</v>
      </c>
      <c r="Z361" s="1" t="str">
        <f t="shared" si="63"/>
        <v>332_26_03_29_EBR</v>
      </c>
    </row>
    <row r="362" spans="1:26" x14ac:dyDescent="0.25">
      <c r="A362" s="1">
        <v>357</v>
      </c>
      <c r="B362" s="1" t="s">
        <v>696</v>
      </c>
      <c r="C362" s="1" t="str">
        <f t="shared" si="57"/>
        <v>CL_MLP_PAO_IF_Ortho_26_03_29_ED1.tif</v>
      </c>
      <c r="D362" s="1" t="str">
        <f t="shared" si="65"/>
        <v>CL_MLP_PAO_IF_Ortho_26_03_29_ED1</v>
      </c>
      <c r="E362" s="1" t="s">
        <v>697</v>
      </c>
      <c r="F362" s="1" t="s">
        <v>460</v>
      </c>
      <c r="G362" s="1" t="s">
        <v>29</v>
      </c>
      <c r="H362" s="16">
        <v>46110</v>
      </c>
      <c r="I362" s="16">
        <v>46121</v>
      </c>
      <c r="J362" s="1" t="s">
        <v>30</v>
      </c>
      <c r="K362" s="2" t="str">
        <f t="shared" ref="K362:K367" si="70">CONCATENATE("https://sig.aminerals.cl/imgdyn/rest/services/CL_MLP_PAO/",U362,"/","ImageServer/file?id=.\",S362,"\",R362,"_",Q362,"_",P362,"\",C362,"&amp;rasterId=")</f>
        <v>https://sig.aminerals.cl/imgdyn/rest/services/CL_MLP_PAO/CL_MLP_PAO_IF_Ortho_Geosupport/ImageServer/file?id=.\Chacay_El_Mauro_Drone\26_03_29\CL_MLP_PAO_IF_Ortho_26_03_29_ED1.tif&amp;rasterId=</v>
      </c>
      <c r="L362" s="1" t="s">
        <v>31</v>
      </c>
      <c r="M362" s="1" t="s">
        <v>32</v>
      </c>
      <c r="N362" s="1" t="s">
        <v>33</v>
      </c>
      <c r="O362" s="1" t="s">
        <v>34</v>
      </c>
      <c r="P362" s="3" t="str">
        <f t="shared" si="58"/>
        <v>29</v>
      </c>
      <c r="Q362" s="3" t="str">
        <f t="shared" si="59"/>
        <v>03</v>
      </c>
      <c r="R362" s="3" t="str">
        <f t="shared" si="60"/>
        <v>26</v>
      </c>
      <c r="S362" s="1" t="s">
        <v>40</v>
      </c>
      <c r="U362" s="1" t="s">
        <v>461</v>
      </c>
      <c r="V362" s="1" t="str">
        <f t="shared" si="61"/>
        <v>ED1</v>
      </c>
      <c r="W362" s="1" t="str">
        <f t="shared" si="69"/>
        <v>ED1</v>
      </c>
      <c r="X362" s="4" t="b">
        <f t="shared" si="62"/>
        <v>1</v>
      </c>
      <c r="Y362" s="1">
        <f>VLOOKUP(D362,'Orden de Imagen'!$A$1:D498,4,FALSE())</f>
        <v>333</v>
      </c>
      <c r="Z362" s="1" t="str">
        <f t="shared" si="63"/>
        <v>333_26_03_29_ED1</v>
      </c>
    </row>
    <row r="363" spans="1:26" x14ac:dyDescent="0.25">
      <c r="A363" s="1">
        <v>373</v>
      </c>
      <c r="B363" s="1" t="s">
        <v>698</v>
      </c>
      <c r="C363" s="1" t="str">
        <f t="shared" si="57"/>
        <v>CL_MLP_PAO_IF_Ortho_26_03_29_EM1.tif</v>
      </c>
      <c r="D363" s="1" t="str">
        <f t="shared" si="65"/>
        <v>CL_MLP_PAO_IF_Ortho_26_03_29_EM1</v>
      </c>
      <c r="E363" s="1" t="s">
        <v>375</v>
      </c>
      <c r="F363" s="1" t="s">
        <v>460</v>
      </c>
      <c r="G363" s="1" t="s">
        <v>29</v>
      </c>
      <c r="H363" s="16">
        <v>46110</v>
      </c>
      <c r="I363" s="16">
        <v>46121</v>
      </c>
      <c r="J363" s="1" t="s">
        <v>30</v>
      </c>
      <c r="K363" s="2" t="str">
        <f t="shared" si="70"/>
        <v>https://sig.aminerals.cl/imgdyn/rest/services/CL_MLP_PAO/CL_MLP_PAO_IF_Ortho_Geosupport/ImageServer/file?id=.\Chacay_Drone\26_03_29\CL_MLP_PAO_IF_Ortho_26_03_29_EM1.tif&amp;rasterId=</v>
      </c>
      <c r="L363" s="1" t="s">
        <v>31</v>
      </c>
      <c r="M363" s="1" t="s">
        <v>32</v>
      </c>
      <c r="N363" s="1" t="s">
        <v>33</v>
      </c>
      <c r="O363" s="1" t="s">
        <v>34</v>
      </c>
      <c r="P363" s="3" t="str">
        <f t="shared" si="58"/>
        <v>29</v>
      </c>
      <c r="Q363" s="3" t="str">
        <f t="shared" si="59"/>
        <v>03</v>
      </c>
      <c r="R363" s="3" t="str">
        <f t="shared" si="60"/>
        <v>26</v>
      </c>
      <c r="S363" s="1" t="s">
        <v>56</v>
      </c>
      <c r="U363" s="1" t="s">
        <v>461</v>
      </c>
      <c r="V363" s="1" t="str">
        <f t="shared" si="61"/>
        <v>EM1</v>
      </c>
      <c r="W363" s="1" t="str">
        <f t="shared" si="69"/>
        <v>EM1</v>
      </c>
      <c r="X363" s="4" t="b">
        <f t="shared" si="62"/>
        <v>1</v>
      </c>
      <c r="Y363" s="1">
        <f>VLOOKUP(D363,'Orden de Imagen'!$A$1:D512,4,FALSE())</f>
        <v>334</v>
      </c>
      <c r="Z363" s="1" t="str">
        <f t="shared" si="63"/>
        <v>334_26_03_29_EM1</v>
      </c>
    </row>
    <row r="364" spans="1:26" x14ac:dyDescent="0.25">
      <c r="A364" s="1">
        <v>364</v>
      </c>
      <c r="B364" s="1" t="s">
        <v>699</v>
      </c>
      <c r="C364" s="1" t="str">
        <f t="shared" si="57"/>
        <v>CL_MLP_PAO_IF_Ortho_26_03_29_EM4.tif</v>
      </c>
      <c r="D364" s="1" t="str">
        <f t="shared" si="65"/>
        <v>CL_MLP_PAO_IF_Ortho_26_03_29_EM4</v>
      </c>
      <c r="E364" s="1" t="s">
        <v>540</v>
      </c>
      <c r="F364" s="1" t="s">
        <v>460</v>
      </c>
      <c r="G364" s="1" t="s">
        <v>29</v>
      </c>
      <c r="H364" s="16">
        <v>46110</v>
      </c>
      <c r="I364" s="16">
        <v>46121</v>
      </c>
      <c r="J364" s="1" t="s">
        <v>30</v>
      </c>
      <c r="K364" s="2" t="str">
        <f t="shared" si="70"/>
        <v>https://sig.aminerals.cl/imgdyn/rest/services/CL_MLP_PAO/CL_MLP_PAO_IF_Ortho_Geosupport/ImageServer/file?id=.\El_Mauro_Drone\26_03_29\CL_MLP_PAO_IF_Ortho_26_03_29_EM4.tif&amp;rasterId=</v>
      </c>
      <c r="L364" s="1" t="s">
        <v>31</v>
      </c>
      <c r="M364" s="1" t="s">
        <v>32</v>
      </c>
      <c r="N364" s="1" t="s">
        <v>33</v>
      </c>
      <c r="O364" s="1" t="s">
        <v>34</v>
      </c>
      <c r="P364" s="3" t="str">
        <f t="shared" si="58"/>
        <v>29</v>
      </c>
      <c r="Q364" s="3" t="str">
        <f t="shared" si="59"/>
        <v>03</v>
      </c>
      <c r="R364" s="3" t="str">
        <f t="shared" si="60"/>
        <v>26</v>
      </c>
      <c r="S364" s="1" t="s">
        <v>87</v>
      </c>
      <c r="U364" s="1" t="s">
        <v>461</v>
      </c>
      <c r="V364" s="1" t="str">
        <f t="shared" si="61"/>
        <v>EM4</v>
      </c>
      <c r="W364" s="1" t="str">
        <f t="shared" si="69"/>
        <v>EM4</v>
      </c>
      <c r="X364" s="4" t="b">
        <f t="shared" si="62"/>
        <v>1</v>
      </c>
      <c r="Y364" s="1">
        <f>VLOOKUP(D364,'Orden de Imagen'!$A$1:D505,4,FALSE())</f>
        <v>335</v>
      </c>
      <c r="Z364" s="1" t="str">
        <f t="shared" si="63"/>
        <v>335_26_03_29_EM4</v>
      </c>
    </row>
    <row r="365" spans="1:26" x14ac:dyDescent="0.25">
      <c r="A365" s="1">
        <v>367</v>
      </c>
      <c r="B365" s="1" t="s">
        <v>700</v>
      </c>
      <c r="C365" s="1" t="str">
        <f t="shared" si="57"/>
        <v>CL_MLP_PAO_IF_Ortho_26_03_29_Subestacion-El-Mauro_A_E35_.tif</v>
      </c>
      <c r="D365" s="1" t="str">
        <f t="shared" si="65"/>
        <v>CL_MLP_PAO_IF_Ortho_26_03_29_Subestacion-El-Mauro_A_E35_</v>
      </c>
      <c r="E365" s="1" t="s">
        <v>643</v>
      </c>
      <c r="F365" s="1" t="s">
        <v>460</v>
      </c>
      <c r="G365" s="1" t="s">
        <v>29</v>
      </c>
      <c r="H365" s="16">
        <v>46110</v>
      </c>
      <c r="I365" s="16">
        <v>46121</v>
      </c>
      <c r="J365" s="1" t="s">
        <v>30</v>
      </c>
      <c r="K365" s="2" t="str">
        <f t="shared" si="70"/>
        <v>https://sig.aminerals.cl/imgdyn/rest/services/CL_MLP_PAO/CL_MLP_PAO_IF_Ortho_Geosupport/ImageServer/file?id=.\El_Mauro_Drone\26_03_29\CL_MLP_PAO_IF_Ortho_26_03_29_Subestacion-El-Mauro_A_E35_.tif&amp;rasterId=</v>
      </c>
      <c r="L365" s="1" t="s">
        <v>31</v>
      </c>
      <c r="M365" s="1" t="s">
        <v>32</v>
      </c>
      <c r="N365" s="1" t="s">
        <v>33</v>
      </c>
      <c r="O365" s="1" t="s">
        <v>34</v>
      </c>
      <c r="P365" s="3" t="str">
        <f t="shared" si="58"/>
        <v>29</v>
      </c>
      <c r="Q365" s="3" t="str">
        <f t="shared" si="59"/>
        <v>03</v>
      </c>
      <c r="R365" s="3" t="str">
        <f t="shared" si="60"/>
        <v>26</v>
      </c>
      <c r="S365" s="1" t="s">
        <v>87</v>
      </c>
      <c r="U365" s="1" t="s">
        <v>461</v>
      </c>
      <c r="V365" s="1" t="str">
        <f t="shared" si="61"/>
        <v>Subestacion-El-Mauro_A_E35_</v>
      </c>
      <c r="W365" s="1" t="str">
        <f t="shared" si="69"/>
        <v>Subestacion-El-Mauro_A_E35_</v>
      </c>
      <c r="X365" s="4" t="b">
        <f t="shared" si="62"/>
        <v>1</v>
      </c>
      <c r="Y365" s="1" t="e">
        <f>VLOOKUP(D365,'Orden de Imagen'!$A$1:D508,4,FALSE())</f>
        <v>#N/A</v>
      </c>
      <c r="Z365" s="1" t="e">
        <f t="shared" si="63"/>
        <v>#N/A</v>
      </c>
    </row>
    <row r="366" spans="1:26" x14ac:dyDescent="0.25">
      <c r="A366" s="1">
        <v>362</v>
      </c>
      <c r="B366" s="1" t="s">
        <v>701</v>
      </c>
      <c r="C366" s="1" t="str">
        <f t="shared" si="57"/>
        <v>CL_MLP_PAO_IF_Ortho_26_03_30_EDT.tif</v>
      </c>
      <c r="D366" s="1" t="str">
        <f t="shared" si="65"/>
        <v>CL_MLP_PAO_IF_Ortho_26_03_30_EDT</v>
      </c>
      <c r="E366" s="1" t="s">
        <v>140</v>
      </c>
      <c r="F366" s="1" t="s">
        <v>460</v>
      </c>
      <c r="G366" s="1" t="s">
        <v>29</v>
      </c>
      <c r="H366" s="16">
        <v>46111</v>
      </c>
      <c r="I366" s="16">
        <v>46121</v>
      </c>
      <c r="J366" s="1" t="s">
        <v>30</v>
      </c>
      <c r="K366" s="2" t="str">
        <f t="shared" si="70"/>
        <v>https://sig.aminerals.cl/imgdyn/rest/services/CL_MLP_PAO/CL_MLP_PAO_IF_Ortho_Geosupport/ImageServer/file?id=.\Puerto_Punta_Chungo_Drone\26_03_30\CL_MLP_PAO_IF_Ortho_26_03_30_EDT.tif&amp;rasterId=</v>
      </c>
      <c r="L366" s="1" t="s">
        <v>31</v>
      </c>
      <c r="M366" s="1" t="s">
        <v>32</v>
      </c>
      <c r="N366" s="1" t="s">
        <v>33</v>
      </c>
      <c r="O366" s="1" t="s">
        <v>34</v>
      </c>
      <c r="P366" s="3" t="str">
        <f t="shared" si="58"/>
        <v>30</v>
      </c>
      <c r="Q366" s="3" t="str">
        <f t="shared" si="59"/>
        <v>03</v>
      </c>
      <c r="R366" s="3" t="str">
        <f t="shared" si="60"/>
        <v>26</v>
      </c>
      <c r="S366" s="1" t="s">
        <v>35</v>
      </c>
      <c r="U366" s="1" t="s">
        <v>461</v>
      </c>
      <c r="V366" s="1" t="str">
        <f t="shared" si="61"/>
        <v>EDT</v>
      </c>
      <c r="W366" s="1" t="str">
        <f t="shared" si="69"/>
        <v>EDT</v>
      </c>
      <c r="X366" s="4" t="b">
        <f t="shared" si="62"/>
        <v>1</v>
      </c>
      <c r="Y366" s="1">
        <f>VLOOKUP(D366,'Orden de Imagen'!$A$1:D503,4,FALSE())</f>
        <v>337</v>
      </c>
      <c r="Z366" s="1" t="str">
        <f t="shared" si="63"/>
        <v>337_26_03_30_EDT</v>
      </c>
    </row>
    <row r="367" spans="1:26" x14ac:dyDescent="0.25">
      <c r="A367" s="1">
        <v>366</v>
      </c>
      <c r="B367" s="1" t="s">
        <v>702</v>
      </c>
      <c r="C367" s="1" t="str">
        <f t="shared" si="57"/>
        <v>CL_MLP_PAO_IF_Ortho_26_03_30_EV2.tif</v>
      </c>
      <c r="D367" s="1" t="str">
        <f t="shared" si="65"/>
        <v>CL_MLP_PAO_IF_Ortho_26_03_30_EV2</v>
      </c>
      <c r="E367" s="1" t="s">
        <v>74</v>
      </c>
      <c r="F367" s="1" t="s">
        <v>460</v>
      </c>
      <c r="G367" s="1" t="s">
        <v>29</v>
      </c>
      <c r="H367" s="16">
        <v>46111</v>
      </c>
      <c r="I367" s="16">
        <v>46121</v>
      </c>
      <c r="J367" s="1" t="s">
        <v>30</v>
      </c>
      <c r="K367" s="2" t="str">
        <f t="shared" si="70"/>
        <v>https://sig.aminerals.cl/imgdyn/rest/services/CL_MLP_PAO/CL_MLP_PAO_IF_Ortho_Geosupport/ImageServer/file?id=.\El_Mauro_Puerto_Punta_Chungo_Drone\26_03_30\CL_MLP_PAO_IF_Ortho_26_03_30_EV2.tif&amp;rasterId=</v>
      </c>
      <c r="L367" s="1" t="s">
        <v>31</v>
      </c>
      <c r="M367" s="1" t="s">
        <v>32</v>
      </c>
      <c r="N367" s="1" t="s">
        <v>33</v>
      </c>
      <c r="O367" s="1" t="s">
        <v>34</v>
      </c>
      <c r="P367" s="3" t="str">
        <f t="shared" si="58"/>
        <v>30</v>
      </c>
      <c r="Q367" s="3" t="str">
        <f t="shared" si="59"/>
        <v>03</v>
      </c>
      <c r="R367" s="3" t="str">
        <f t="shared" si="60"/>
        <v>26</v>
      </c>
      <c r="S367" s="1" t="s">
        <v>50</v>
      </c>
      <c r="U367" s="1" t="s">
        <v>461</v>
      </c>
      <c r="V367" s="1" t="str">
        <f t="shared" si="61"/>
        <v>EV2</v>
      </c>
      <c r="W367" s="1" t="str">
        <f t="shared" si="69"/>
        <v>EV2</v>
      </c>
      <c r="X367" s="4" t="b">
        <f t="shared" si="62"/>
        <v>1</v>
      </c>
      <c r="Y367" s="1">
        <f>VLOOKUP(D367,'Orden de Imagen'!$A$1:D507,4,FALSE())</f>
        <v>338</v>
      </c>
      <c r="Z367" s="1" t="str">
        <f t="shared" si="63"/>
        <v>338_26_03_30_EV2</v>
      </c>
    </row>
    <row r="368" spans="1:26" x14ac:dyDescent="0.25">
      <c r="A368" s="1">
        <v>358</v>
      </c>
      <c r="B368" s="1" t="s">
        <v>703</v>
      </c>
      <c r="C368" s="1" t="str">
        <f t="shared" si="57"/>
        <v>CL_MLP_PAO_IF_Ortho_26_04_01_DME9-PA12-IIFF8.tif</v>
      </c>
      <c r="D368" s="1" t="str">
        <f t="shared" si="65"/>
        <v>CL_MLP_PAO_IF_Ortho_26_04_01_DME9-PA12-IIFF8</v>
      </c>
      <c r="E368" s="1" t="s">
        <v>505</v>
      </c>
      <c r="F368" s="1" t="s">
        <v>460</v>
      </c>
      <c r="G368" s="1" t="s">
        <v>29</v>
      </c>
      <c r="H368" s="16">
        <v>46113</v>
      </c>
      <c r="I368" s="16">
        <v>46121</v>
      </c>
      <c r="J368" s="1" t="s">
        <v>30</v>
      </c>
      <c r="K368" s="2" t="str">
        <f>CONCATENATE("https://sig.aminerals.cl/imgdyn/rest/services/CL_MLP_PAO/",U368,"/","ImageServer/file?id=.\",S368,"\",R368,"_",Q368,"\",C368,"&amp;rasterId=")</f>
        <v>https://sig.aminerals.cl/imgdyn/rest/services/CL_MLP_PAO/CL_MLP_PAO_IF_Ortho_Geosupport/ImageServer/file?id=.\Chacay_El_Mauro_Drone\26_04\CL_MLP_PAO_IF_Ortho_26_04_01_DME9-PA12-IIFF8.tif&amp;rasterId=</v>
      </c>
      <c r="L368" s="1" t="s">
        <v>31</v>
      </c>
      <c r="M368" s="1" t="s">
        <v>32</v>
      </c>
      <c r="N368" s="1" t="s">
        <v>33</v>
      </c>
      <c r="O368" s="1" t="s">
        <v>34</v>
      </c>
      <c r="P368" s="3" t="str">
        <f t="shared" si="58"/>
        <v>01</v>
      </c>
      <c r="Q368" s="3" t="str">
        <f t="shared" si="59"/>
        <v>04</v>
      </c>
      <c r="R368" s="3" t="str">
        <f t="shared" si="60"/>
        <v>26</v>
      </c>
      <c r="S368" s="1" t="s">
        <v>40</v>
      </c>
      <c r="U368" s="1" t="s">
        <v>461</v>
      </c>
      <c r="V368" s="1" t="str">
        <f t="shared" si="61"/>
        <v>DME9-PA12-IIFF8</v>
      </c>
      <c r="W368" s="1" t="str">
        <f t="shared" si="69"/>
        <v>DME9-PA12-IIFF8</v>
      </c>
      <c r="X368" s="4" t="b">
        <f t="shared" si="62"/>
        <v>1</v>
      </c>
      <c r="Y368" s="1">
        <f>VLOOKUP(D368,'Orden de Imagen'!$A$1:D499,4,FALSE())</f>
        <v>339</v>
      </c>
      <c r="Z368" s="1" t="str">
        <f t="shared" si="63"/>
        <v>339_26_04_01_DME9-PA12-IIFF8</v>
      </c>
    </row>
    <row r="369" spans="1:26" x14ac:dyDescent="0.25">
      <c r="A369" s="1">
        <v>423</v>
      </c>
      <c r="B369" s="1" t="s">
        <v>704</v>
      </c>
      <c r="C369" s="1" t="str">
        <f t="shared" si="57"/>
        <v>CL_MLP_PAO_IF_Ortho_26_04_18_EM1.tif</v>
      </c>
      <c r="D369" s="1" t="str">
        <f t="shared" si="65"/>
        <v>CL_MLP_PAO_IF_Ortho_26_04_18_EM1</v>
      </c>
      <c r="E369" s="1" t="s">
        <v>375</v>
      </c>
      <c r="F369" s="1" t="s">
        <v>460</v>
      </c>
      <c r="G369" s="1" t="s">
        <v>29</v>
      </c>
      <c r="H369" s="16">
        <v>46130</v>
      </c>
      <c r="I369" s="16">
        <v>46141</v>
      </c>
      <c r="J369" s="1" t="s">
        <v>30</v>
      </c>
      <c r="K369" s="2" t="str">
        <f>CONCATENATE("https://sig.aminerals.cl/imgdyn/rest/services/CL_MLP_PAO/",U369,"/","ImageServer/file?id=.\",S369,"\",R369,"_",Q369,"_",P369,"\",C369,"&amp;rasterId=")</f>
        <v>https://sig.aminerals.cl/imgdyn/rest/services/CL_MLP_PAO/CL_MLP_PAO_IF_Ortho_Geosupport/ImageServer/file?id=.\Chacay_Drone\26_04_18\CL_MLP_PAO_IF_Ortho_26_04_18_EM1.tif&amp;rasterId=</v>
      </c>
      <c r="L369" s="1" t="s">
        <v>31</v>
      </c>
      <c r="M369" s="1" t="s">
        <v>32</v>
      </c>
      <c r="N369" s="1" t="s">
        <v>33</v>
      </c>
      <c r="O369" s="1" t="s">
        <v>34</v>
      </c>
      <c r="P369" s="3" t="str">
        <f t="shared" si="58"/>
        <v>18</v>
      </c>
      <c r="Q369" s="3" t="str">
        <f t="shared" si="59"/>
        <v>04</v>
      </c>
      <c r="R369" s="3" t="str">
        <f t="shared" si="60"/>
        <v>26</v>
      </c>
      <c r="S369" s="1" t="s">
        <v>56</v>
      </c>
      <c r="U369" s="1" t="s">
        <v>461</v>
      </c>
      <c r="V369" s="1" t="str">
        <f t="shared" si="61"/>
        <v>EM1</v>
      </c>
      <c r="W369" s="1" t="str">
        <f t="shared" si="69"/>
        <v>EM1</v>
      </c>
      <c r="X369" s="4" t="b">
        <f t="shared" si="62"/>
        <v>1</v>
      </c>
      <c r="Y369" s="1">
        <f>VLOOKUP(D369,'Orden de Imagen'!$A$1:D576,4,FALSE())</f>
        <v>407</v>
      </c>
      <c r="Z369" s="1" t="str">
        <f t="shared" si="63"/>
        <v>407_26_04_18_EM1</v>
      </c>
    </row>
    <row r="370" spans="1:26" x14ac:dyDescent="0.25">
      <c r="A370" s="1">
        <v>424</v>
      </c>
      <c r="B370" s="1" t="s">
        <v>705</v>
      </c>
      <c r="C370" s="1" t="str">
        <f t="shared" si="57"/>
        <v>CL_MLP_PAO_IF_Ortho_26_04_18_Estacion_Cabecera.tif</v>
      </c>
      <c r="D370" s="1" t="str">
        <f t="shared" si="65"/>
        <v>CL_MLP_PAO_IF_Ortho_26_04_18_Estacion_Cabecera</v>
      </c>
      <c r="E370" s="1" t="s">
        <v>680</v>
      </c>
      <c r="F370" s="1" t="s">
        <v>460</v>
      </c>
      <c r="G370" s="1" t="s">
        <v>29</v>
      </c>
      <c r="H370" s="16">
        <v>46130</v>
      </c>
      <c r="I370" s="16">
        <v>46141</v>
      </c>
      <c r="J370" s="1" t="s">
        <v>30</v>
      </c>
      <c r="K370" s="2" t="str">
        <f>CONCATENATE("https://sig.aminerals.cl/imgdyn/rest/services/CL_MLP_PAO/",U370,"/","ImageServer/file?id=.\",S370,"\",R370,"_",Q370,"_",P370,"\",C370,"&amp;rasterId=")</f>
        <v>https://sig.aminerals.cl/imgdyn/rest/services/CL_MLP_PAO/CL_MLP_PAO_IF_Ortho_Geosupport/ImageServer/file?id=.\Chacay_Drone\26_04_18\CL_MLP_PAO_IF_Ortho_26_04_18_Estacion_Cabecera.tif&amp;rasterId=</v>
      </c>
      <c r="L370" s="1" t="s">
        <v>31</v>
      </c>
      <c r="M370" s="1" t="s">
        <v>32</v>
      </c>
      <c r="N370" s="1" t="s">
        <v>33</v>
      </c>
      <c r="O370" s="1" t="s">
        <v>34</v>
      </c>
      <c r="P370" s="3" t="str">
        <f t="shared" si="58"/>
        <v>18</v>
      </c>
      <c r="Q370" s="3" t="str">
        <f t="shared" si="59"/>
        <v>04</v>
      </c>
      <c r="R370" s="3" t="str">
        <f t="shared" si="60"/>
        <v>26</v>
      </c>
      <c r="S370" s="1" t="s">
        <v>56</v>
      </c>
      <c r="U370" s="1" t="s">
        <v>461</v>
      </c>
      <c r="V370" s="1" t="str">
        <f t="shared" si="61"/>
        <v>Estacion_Cabecera</v>
      </c>
      <c r="W370" s="1" t="str">
        <f t="shared" si="69"/>
        <v>Estacion_Cabecera</v>
      </c>
      <c r="X370" s="4" t="b">
        <f t="shared" si="62"/>
        <v>1</v>
      </c>
      <c r="Y370" s="1">
        <f>VLOOKUP(D370,'Orden de Imagen'!$A$1:D580,4,FALSE())</f>
        <v>408</v>
      </c>
      <c r="Z370" s="1" t="str">
        <f t="shared" si="63"/>
        <v>408_26_04_18_Estacion_Cabecera</v>
      </c>
    </row>
    <row r="371" spans="1:26" x14ac:dyDescent="0.25">
      <c r="A371" s="1">
        <v>359</v>
      </c>
      <c r="B371" s="1" t="s">
        <v>706</v>
      </c>
      <c r="C371" s="1" t="str">
        <f t="shared" si="57"/>
        <v>CL_MLP_PAO_IF_Ortho_26_04_01_EM2_2.tif</v>
      </c>
      <c r="D371" s="1" t="str">
        <f t="shared" si="65"/>
        <v>CL_MLP_PAO_IF_Ortho_26_04_01_EM2_2</v>
      </c>
      <c r="E371" s="1" t="s">
        <v>707</v>
      </c>
      <c r="F371" s="1" t="s">
        <v>460</v>
      </c>
      <c r="G371" s="1" t="s">
        <v>29</v>
      </c>
      <c r="H371" s="16">
        <v>46113</v>
      </c>
      <c r="I371" s="16">
        <v>46121</v>
      </c>
      <c r="J371" s="1" t="s">
        <v>30</v>
      </c>
      <c r="K371" s="2" t="str">
        <f>CONCATENATE("https://sig.aminerals.cl/imgdyn/rest/services/CL_MLP_PAO/",U371,"/","ImageServer/file?id=.\",S371,"\",R371,"_",Q371,"\",C371,"&amp;rasterId=")</f>
        <v>https://sig.aminerals.cl/imgdyn/rest/services/CL_MLP_PAO/CL_MLP_PAO_IF_Ortho_Geosupport/ImageServer/file?id=.\Chacay_El_Mauro_Drone\26_04\CL_MLP_PAO_IF_Ortho_26_04_01_EM2_2.tif&amp;rasterId=</v>
      </c>
      <c r="L371" s="1" t="s">
        <v>31</v>
      </c>
      <c r="M371" s="1" t="s">
        <v>32</v>
      </c>
      <c r="N371" s="1" t="s">
        <v>33</v>
      </c>
      <c r="O371" s="1" t="s">
        <v>34</v>
      </c>
      <c r="P371" s="3" t="str">
        <f t="shared" si="58"/>
        <v>01</v>
      </c>
      <c r="Q371" s="3" t="str">
        <f t="shared" si="59"/>
        <v>04</v>
      </c>
      <c r="R371" s="3" t="str">
        <f t="shared" si="60"/>
        <v>26</v>
      </c>
      <c r="S371" s="1" t="s">
        <v>40</v>
      </c>
      <c r="U371" s="1" t="s">
        <v>461</v>
      </c>
      <c r="V371" s="1" t="str">
        <f t="shared" si="61"/>
        <v>EM2_2</v>
      </c>
      <c r="W371" s="1" t="str">
        <f t="shared" si="69"/>
        <v>EM2_2</v>
      </c>
      <c r="X371" s="4" t="b">
        <f t="shared" si="62"/>
        <v>1</v>
      </c>
      <c r="Y371" s="1">
        <f>VLOOKUP(D371,'Orden de Imagen'!$A$1:D500,4,FALSE())</f>
        <v>340</v>
      </c>
      <c r="Z371" s="1" t="str">
        <f t="shared" si="63"/>
        <v>340_26_04_01_EM2_2</v>
      </c>
    </row>
    <row r="372" spans="1:26" x14ac:dyDescent="0.25">
      <c r="A372" s="1">
        <v>374</v>
      </c>
      <c r="B372" s="1" t="s">
        <v>708</v>
      </c>
      <c r="C372" s="1" t="str">
        <f t="shared" si="57"/>
        <v>CL_MLP_PAO_IF_Ortho_26_04_01_Pozos_PRP.tif</v>
      </c>
      <c r="D372" s="1" t="str">
        <f t="shared" si="65"/>
        <v>CL_MLP_PAO_IF_Ortho_26_04_01_Pozos_PRP</v>
      </c>
      <c r="E372" s="1" t="s">
        <v>675</v>
      </c>
      <c r="F372" s="1" t="s">
        <v>460</v>
      </c>
      <c r="G372" s="1" t="s">
        <v>29</v>
      </c>
      <c r="H372" s="16">
        <v>46113</v>
      </c>
      <c r="I372" s="16">
        <v>46121</v>
      </c>
      <c r="J372" s="1" t="s">
        <v>30</v>
      </c>
      <c r="K372" s="2" t="str">
        <f>CONCATENATE("https://sig.aminerals.cl/imgdyn/rest/services/CL_MLP_PAO/",U372,"/","ImageServer/file?id=.\",S372,"\",R372,"_",Q372,"_",P372,"\",C372,"&amp;rasterId=")</f>
        <v>https://sig.aminerals.cl/imgdyn/rest/services/CL_MLP_PAO/CL_MLP_PAO_IF_Ortho_Geosupport/ImageServer/file?id=.\El_Mauro_Drone\26_04_01\CL_MLP_PAO_IF_Ortho_26_04_01_Pozos_PRP.tif&amp;rasterId=</v>
      </c>
      <c r="L372" s="1" t="s">
        <v>31</v>
      </c>
      <c r="M372" s="1" t="s">
        <v>32</v>
      </c>
      <c r="N372" s="1" t="s">
        <v>33</v>
      </c>
      <c r="O372" s="1" t="s">
        <v>34</v>
      </c>
      <c r="P372" s="3" t="str">
        <f t="shared" si="58"/>
        <v>01</v>
      </c>
      <c r="Q372" s="3" t="str">
        <f t="shared" si="59"/>
        <v>04</v>
      </c>
      <c r="R372" s="3" t="str">
        <f t="shared" si="60"/>
        <v>26</v>
      </c>
      <c r="S372" s="1" t="s">
        <v>87</v>
      </c>
      <c r="U372" s="1" t="s">
        <v>461</v>
      </c>
      <c r="V372" s="1" t="str">
        <f t="shared" si="61"/>
        <v>Pozos_PRP</v>
      </c>
      <c r="W372" s="1" t="str">
        <f t="shared" si="69"/>
        <v>Pozos_PRP</v>
      </c>
      <c r="X372" s="4" t="b">
        <f t="shared" si="62"/>
        <v>1</v>
      </c>
      <c r="Y372" s="1">
        <f>VLOOKUP(D372,'Orden de Imagen'!$A$1:D513,4,FALSE())</f>
        <v>341</v>
      </c>
      <c r="Z372" s="1" t="str">
        <f t="shared" si="63"/>
        <v>341_26_04_01_Pozos_PRP</v>
      </c>
    </row>
    <row r="373" spans="1:26" x14ac:dyDescent="0.25">
      <c r="A373" s="1">
        <v>375</v>
      </c>
      <c r="B373" s="1" t="s">
        <v>709</v>
      </c>
      <c r="C373" s="1" t="str">
        <f t="shared" si="57"/>
        <v>CL_MLP_PAO_IF_Ortho_26_04_02_Camino_Alternativo_Salamanca.tif</v>
      </c>
      <c r="D373" s="1" t="str">
        <f t="shared" si="65"/>
        <v>CL_MLP_PAO_IF_Ortho_26_04_02_Camino_Alternativo_Salamanca</v>
      </c>
      <c r="E373" s="1" t="s">
        <v>660</v>
      </c>
      <c r="F373" s="1" t="s">
        <v>460</v>
      </c>
      <c r="G373" s="1" t="s">
        <v>29</v>
      </c>
      <c r="H373" s="16">
        <v>46114</v>
      </c>
      <c r="I373" s="16">
        <v>46121</v>
      </c>
      <c r="J373" s="1" t="s">
        <v>30</v>
      </c>
      <c r="K373" s="2" t="str">
        <f t="shared" ref="K373:K419" si="71">CONCATENATE("https://sig.aminerals.cl/imgdyn/rest/services/CL_MLP_PAO/",U373,"/","ImageServer/file?id=.\",S373,"\",R373,"_",Q373,"\",C373,"&amp;rasterId=")</f>
        <v>https://sig.aminerals.cl/imgdyn/rest/services/CL_MLP_PAO/CL_MLP_PAO_IF_Ortho_Geosupport/ImageServer/file?id=.\El_Mauro_Drone\26_04\CL_MLP_PAO_IF_Ortho_26_04_02_Camino_Alternativo_Salamanca.tif&amp;rasterId=</v>
      </c>
      <c r="L373" s="1" t="s">
        <v>31</v>
      </c>
      <c r="M373" s="1" t="s">
        <v>32</v>
      </c>
      <c r="N373" s="1" t="s">
        <v>33</v>
      </c>
      <c r="O373" s="1" t="s">
        <v>34</v>
      </c>
      <c r="P373" s="3" t="str">
        <f t="shared" si="58"/>
        <v>02</v>
      </c>
      <c r="Q373" s="3" t="str">
        <f t="shared" si="59"/>
        <v>04</v>
      </c>
      <c r="R373" s="3" t="str">
        <f t="shared" si="60"/>
        <v>26</v>
      </c>
      <c r="S373" s="1" t="s">
        <v>87</v>
      </c>
      <c r="U373" s="1" t="s">
        <v>461</v>
      </c>
      <c r="V373" s="1" t="str">
        <f t="shared" si="61"/>
        <v>Camino_Alternativo_Salamanca</v>
      </c>
      <c r="W373" s="1" t="str">
        <f t="shared" si="69"/>
        <v>Camino_Alternativo_Salamanca</v>
      </c>
      <c r="X373" s="4" t="b">
        <f t="shared" si="62"/>
        <v>1</v>
      </c>
      <c r="Y373" s="1">
        <f>VLOOKUP(D373,'Orden de Imagen'!$A$1:D514,4,FALSE())</f>
        <v>342</v>
      </c>
      <c r="Z373" s="1" t="str">
        <f t="shared" si="63"/>
        <v>342_26_04_02_Camino_Alternativo_Salamanca</v>
      </c>
    </row>
    <row r="374" spans="1:26" x14ac:dyDescent="0.25">
      <c r="A374" s="1">
        <v>361</v>
      </c>
      <c r="B374" s="1" t="s">
        <v>529</v>
      </c>
      <c r="C374" s="1" t="str">
        <f t="shared" si="57"/>
        <v>CL_MLP_PAO_IF_Ortho_26_04_02_ED2.tif</v>
      </c>
      <c r="D374" s="1" t="str">
        <f t="shared" si="65"/>
        <v>CL_MLP_PAO_IF_Ortho_26_04_02_ED2</v>
      </c>
      <c r="E374" s="1" t="s">
        <v>468</v>
      </c>
      <c r="F374" s="1" t="s">
        <v>460</v>
      </c>
      <c r="G374" s="1" t="s">
        <v>29</v>
      </c>
      <c r="H374" s="16">
        <v>46114</v>
      </c>
      <c r="I374" s="16">
        <v>46121</v>
      </c>
      <c r="J374" s="1" t="s">
        <v>30</v>
      </c>
      <c r="K374" s="2" t="str">
        <f t="shared" si="71"/>
        <v>https://sig.aminerals.cl/imgdyn/rest/services/CL_MLP_PAO/CL_MLP_PAO_IF_Ortho_Geosupport/ImageServer/file?id=.\Chacay_El_Mauro_Drone\26_04\CL_MLP_PAO_IF_Ortho_26_04_02_ED2.tif&amp;rasterId=</v>
      </c>
      <c r="L374" s="1" t="s">
        <v>31</v>
      </c>
      <c r="M374" s="1" t="s">
        <v>32</v>
      </c>
      <c r="N374" s="1" t="s">
        <v>33</v>
      </c>
      <c r="O374" s="1" t="s">
        <v>34</v>
      </c>
      <c r="P374" s="3" t="str">
        <f t="shared" si="58"/>
        <v>02</v>
      </c>
      <c r="Q374" s="3" t="str">
        <f t="shared" si="59"/>
        <v>04</v>
      </c>
      <c r="R374" s="3" t="str">
        <f t="shared" si="60"/>
        <v>26</v>
      </c>
      <c r="S374" s="1" t="s">
        <v>40</v>
      </c>
      <c r="U374" s="1" t="s">
        <v>461</v>
      </c>
      <c r="V374" s="1" t="str">
        <f t="shared" si="61"/>
        <v>ED2</v>
      </c>
      <c r="W374" s="1" t="str">
        <f t="shared" si="69"/>
        <v>ED2</v>
      </c>
      <c r="X374" s="4" t="b">
        <f t="shared" si="62"/>
        <v>1</v>
      </c>
      <c r="Y374" s="1">
        <f>VLOOKUP(D374,'Orden de Imagen'!$A$1:D502,4,FALSE())</f>
        <v>343</v>
      </c>
      <c r="Z374" s="1" t="str">
        <f t="shared" si="63"/>
        <v>343_26_04_02_ED2</v>
      </c>
    </row>
    <row r="375" spans="1:26" x14ac:dyDescent="0.25">
      <c r="A375" s="1">
        <v>376</v>
      </c>
      <c r="B375" s="1" t="s">
        <v>710</v>
      </c>
      <c r="C375" s="1" t="str">
        <f t="shared" si="57"/>
        <v>CL_MLP_PAO_IF_Ortho_26_04_02_EM3.tif</v>
      </c>
      <c r="D375" s="1" t="str">
        <f t="shared" si="65"/>
        <v>CL_MLP_PAO_IF_Ortho_26_04_02_EM3</v>
      </c>
      <c r="E375" s="1" t="s">
        <v>203</v>
      </c>
      <c r="F375" s="1" t="s">
        <v>460</v>
      </c>
      <c r="G375" s="1" t="s">
        <v>29</v>
      </c>
      <c r="H375" s="16">
        <v>46114</v>
      </c>
      <c r="I375" s="16">
        <v>46121</v>
      </c>
      <c r="J375" s="1" t="s">
        <v>30</v>
      </c>
      <c r="K375" s="2" t="str">
        <f t="shared" si="71"/>
        <v>https://sig.aminerals.cl/imgdyn/rest/services/CL_MLP_PAO/CL_MLP_PAO_IF_Ortho_Geosupport/ImageServer/file?id=.\Chacay_El_Mauro_Drone\26_04\CL_MLP_PAO_IF_Ortho_26_04_02_EM3.tif&amp;rasterId=</v>
      </c>
      <c r="L375" s="1" t="s">
        <v>31</v>
      </c>
      <c r="M375" s="1" t="s">
        <v>32</v>
      </c>
      <c r="N375" s="1" t="s">
        <v>33</v>
      </c>
      <c r="O375" s="1" t="s">
        <v>34</v>
      </c>
      <c r="P375" s="3" t="str">
        <f t="shared" si="58"/>
        <v>02</v>
      </c>
      <c r="Q375" s="3" t="str">
        <f t="shared" si="59"/>
        <v>04</v>
      </c>
      <c r="R375" s="3" t="str">
        <f t="shared" si="60"/>
        <v>26</v>
      </c>
      <c r="S375" s="1" t="s">
        <v>40</v>
      </c>
      <c r="U375" s="1" t="s">
        <v>461</v>
      </c>
      <c r="V375" s="1" t="str">
        <f t="shared" si="61"/>
        <v>EM3</v>
      </c>
      <c r="W375" s="1" t="str">
        <f t="shared" si="69"/>
        <v>EM3</v>
      </c>
      <c r="X375" s="4" t="b">
        <f t="shared" si="62"/>
        <v>1</v>
      </c>
      <c r="Y375" s="1">
        <f>VLOOKUP(D375,'Orden de Imagen'!$A$1:D515,4,FALSE())</f>
        <v>344</v>
      </c>
      <c r="Z375" s="1" t="str">
        <f t="shared" si="63"/>
        <v>344_26_04_02_EM3</v>
      </c>
    </row>
    <row r="376" spans="1:26" x14ac:dyDescent="0.25">
      <c r="A376" s="1">
        <v>379</v>
      </c>
      <c r="B376" s="1" t="s">
        <v>711</v>
      </c>
      <c r="C376" s="1" t="str">
        <f t="shared" si="57"/>
        <v>CL_MLP_PAO_IF_Ortho_26_04_02_EM4.tif</v>
      </c>
      <c r="D376" s="1" t="str">
        <f t="shared" si="65"/>
        <v>CL_MLP_PAO_IF_Ortho_26_04_02_EM4</v>
      </c>
      <c r="E376" s="1" t="s">
        <v>540</v>
      </c>
      <c r="F376" s="1" t="s">
        <v>460</v>
      </c>
      <c r="G376" s="1" t="s">
        <v>29</v>
      </c>
      <c r="H376" s="16">
        <v>46114</v>
      </c>
      <c r="I376" s="16">
        <v>46121</v>
      </c>
      <c r="J376" s="1" t="s">
        <v>30</v>
      </c>
      <c r="K376" s="2" t="str">
        <f t="shared" si="71"/>
        <v>https://sig.aminerals.cl/imgdyn/rest/services/CL_MLP_PAO/CL_MLP_PAO_IF_Ortho_Geosupport/ImageServer/file?id=.\El_Mauro_Drone\26_04\CL_MLP_PAO_IF_Ortho_26_04_02_EM4.tif&amp;rasterId=</v>
      </c>
      <c r="L376" s="1" t="s">
        <v>31</v>
      </c>
      <c r="M376" s="1" t="s">
        <v>32</v>
      </c>
      <c r="N376" s="1" t="s">
        <v>33</v>
      </c>
      <c r="O376" s="1" t="s">
        <v>34</v>
      </c>
      <c r="P376" s="3" t="str">
        <f t="shared" si="58"/>
        <v>02</v>
      </c>
      <c r="Q376" s="3" t="str">
        <f t="shared" si="59"/>
        <v>04</v>
      </c>
      <c r="R376" s="3" t="str">
        <f t="shared" si="60"/>
        <v>26</v>
      </c>
      <c r="S376" s="1" t="s">
        <v>87</v>
      </c>
      <c r="U376" s="1" t="s">
        <v>461</v>
      </c>
      <c r="V376" s="1" t="str">
        <f t="shared" si="61"/>
        <v>EM4</v>
      </c>
      <c r="W376" s="1" t="str">
        <f t="shared" si="69"/>
        <v>EM4</v>
      </c>
      <c r="X376" s="4" t="b">
        <f t="shared" si="62"/>
        <v>1</v>
      </c>
      <c r="Y376" s="1">
        <f>VLOOKUP(D376,'Orden de Imagen'!$A$1:D518,4,FALSE())</f>
        <v>345</v>
      </c>
      <c r="Z376" s="1" t="str">
        <f t="shared" si="63"/>
        <v>345_26_04_02_EM4</v>
      </c>
    </row>
    <row r="377" spans="1:26" x14ac:dyDescent="0.25">
      <c r="A377" s="1">
        <v>396</v>
      </c>
      <c r="B377" s="1" t="s">
        <v>712</v>
      </c>
      <c r="C377" s="1" t="str">
        <f t="shared" si="57"/>
        <v>CL_MLP_PAO_IF_Ortho_26_04_02_Plataforma_Integrada_El_Mauro.tif</v>
      </c>
      <c r="D377" s="1" t="str">
        <f t="shared" si="65"/>
        <v>CL_MLP_PAO_IF_Ortho_26_04_02_Plataforma_Integrada_El_Mauro</v>
      </c>
      <c r="E377" s="1" t="s">
        <v>459</v>
      </c>
      <c r="F377" s="1" t="s">
        <v>460</v>
      </c>
      <c r="G377" s="1" t="s">
        <v>29</v>
      </c>
      <c r="H377" s="16">
        <v>46114</v>
      </c>
      <c r="I377" s="16">
        <v>46135</v>
      </c>
      <c r="J377" s="1" t="s">
        <v>30</v>
      </c>
      <c r="K377" s="2" t="str">
        <f t="shared" si="71"/>
        <v>https://sig.aminerals.cl/imgdyn/rest/services/CL_MLP_PAO/CL_MLP_PAO_IF_Ortho_Geosupport/ImageServer/file?id=.\El_Mauro_Drone\26_04\CL_MLP_PAO_IF_Ortho_26_04_02_Plataforma_Integrada_El_Mauro.tif&amp;rasterId=</v>
      </c>
      <c r="L377" s="1" t="s">
        <v>31</v>
      </c>
      <c r="M377" s="1" t="s">
        <v>32</v>
      </c>
      <c r="N377" s="1" t="s">
        <v>33</v>
      </c>
      <c r="O377" s="1" t="s">
        <v>34</v>
      </c>
      <c r="P377" s="3" t="str">
        <f t="shared" si="58"/>
        <v>02</v>
      </c>
      <c r="Q377" s="3" t="str">
        <f t="shared" si="59"/>
        <v>04</v>
      </c>
      <c r="R377" s="3" t="str">
        <f t="shared" si="60"/>
        <v>26</v>
      </c>
      <c r="S377" s="1" t="s">
        <v>87</v>
      </c>
      <c r="U377" s="1" t="s">
        <v>461</v>
      </c>
      <c r="V377" s="1" t="str">
        <f t="shared" si="61"/>
        <v>Plataforma_Integrada_El_Mauro</v>
      </c>
      <c r="W377" s="1" t="str">
        <f t="shared" si="69"/>
        <v>Plataforma_Integrada_El_Mauro</v>
      </c>
      <c r="X377" s="4" t="b">
        <f t="shared" si="62"/>
        <v>1</v>
      </c>
      <c r="Y377" s="1">
        <f>VLOOKUP(D377,'Orden de Imagen'!$A$1:D535,4,FALSE())</f>
        <v>346</v>
      </c>
      <c r="Z377" s="1" t="str">
        <f t="shared" si="63"/>
        <v>346_26_04_02_Plataforma_Integrada_El_Mauro</v>
      </c>
    </row>
    <row r="378" spans="1:26" x14ac:dyDescent="0.25">
      <c r="A378" s="1">
        <v>378</v>
      </c>
      <c r="B378" s="1" t="s">
        <v>713</v>
      </c>
      <c r="C378" s="1" t="str">
        <f t="shared" si="57"/>
        <v>CL_MLP_PAO_IF_Ortho_26_04_02_Pozos_PRP.tif</v>
      </c>
      <c r="D378" s="1" t="str">
        <f t="shared" si="65"/>
        <v>CL_MLP_PAO_IF_Ortho_26_04_02_Pozos_PRP</v>
      </c>
      <c r="E378" s="1" t="s">
        <v>675</v>
      </c>
      <c r="F378" s="1" t="s">
        <v>460</v>
      </c>
      <c r="G378" s="1" t="s">
        <v>29</v>
      </c>
      <c r="H378" s="16">
        <v>46114</v>
      </c>
      <c r="I378" s="16">
        <v>46121</v>
      </c>
      <c r="J378" s="1" t="s">
        <v>30</v>
      </c>
      <c r="K378" s="2" t="str">
        <f t="shared" si="71"/>
        <v>https://sig.aminerals.cl/imgdyn/rest/services/CL_MLP_PAO/CL_MLP_PAO_IF_Ortho_Geosupport/ImageServer/file?id=.\El_Mauro_Drone\26_04\CL_MLP_PAO_IF_Ortho_26_04_02_Pozos_PRP.tif&amp;rasterId=</v>
      </c>
      <c r="L378" s="1" t="s">
        <v>31</v>
      </c>
      <c r="M378" s="1" t="s">
        <v>32</v>
      </c>
      <c r="N378" s="1" t="s">
        <v>33</v>
      </c>
      <c r="O378" s="1" t="s">
        <v>34</v>
      </c>
      <c r="P378" s="3" t="str">
        <f t="shared" si="58"/>
        <v>02</v>
      </c>
      <c r="Q378" s="3" t="str">
        <f t="shared" si="59"/>
        <v>04</v>
      </c>
      <c r="R378" s="3" t="str">
        <f t="shared" si="60"/>
        <v>26</v>
      </c>
      <c r="S378" s="1" t="s">
        <v>87</v>
      </c>
      <c r="U378" s="1" t="s">
        <v>461</v>
      </c>
      <c r="V378" s="1" t="str">
        <f t="shared" si="61"/>
        <v>Pozos_PRP</v>
      </c>
      <c r="W378" s="1" t="str">
        <f t="shared" si="69"/>
        <v>Pozos_PRP</v>
      </c>
      <c r="X378" s="4" t="b">
        <f t="shared" si="62"/>
        <v>1</v>
      </c>
      <c r="Y378" s="1">
        <f>VLOOKUP(D378,'Orden de Imagen'!$A$1:D517,4,FALSE())</f>
        <v>347</v>
      </c>
      <c r="Z378" s="1" t="str">
        <f t="shared" si="63"/>
        <v>347_26_04_02_Pozos_PRP</v>
      </c>
    </row>
    <row r="379" spans="1:26" x14ac:dyDescent="0.25">
      <c r="A379" s="1">
        <v>370</v>
      </c>
      <c r="B379" s="1" t="s">
        <v>714</v>
      </c>
      <c r="C379" s="1" t="str">
        <f t="shared" si="57"/>
        <v>CL_MLP_PAO_IF_Ortho_26_04_02_TORRE_E85_A_E_125.tif</v>
      </c>
      <c r="D379" s="1" t="str">
        <f t="shared" si="65"/>
        <v>CL_MLP_PAO_IF_Ortho_26_04_02_TORRE_E85_A_E_125</v>
      </c>
      <c r="E379" s="1" t="s">
        <v>483</v>
      </c>
      <c r="F379" s="1" t="s">
        <v>460</v>
      </c>
      <c r="G379" s="1" t="s">
        <v>29</v>
      </c>
      <c r="H379" s="16">
        <v>46114</v>
      </c>
      <c r="I379" s="16">
        <v>46121</v>
      </c>
      <c r="J379" s="1" t="s">
        <v>30</v>
      </c>
      <c r="K379" s="2" t="str">
        <f t="shared" si="71"/>
        <v>https://sig.aminerals.cl/imgdyn/rest/services/CL_MLP_PAO/CL_MLP_PAO_IF_Ortho_Geosupport/ImageServer/file?id=.\El_Mauro_Puerto_Punta_Chungo_Drone\26_04\CL_MLP_PAO_IF_Ortho_26_04_02_TORRE_E85_A_E_125.tif&amp;rasterId=</v>
      </c>
      <c r="L379" s="1" t="s">
        <v>31</v>
      </c>
      <c r="M379" s="1" t="s">
        <v>32</v>
      </c>
      <c r="N379" s="1" t="s">
        <v>33</v>
      </c>
      <c r="O379" s="1" t="s">
        <v>34</v>
      </c>
      <c r="P379" s="3" t="str">
        <f t="shared" si="58"/>
        <v>02</v>
      </c>
      <c r="Q379" s="3" t="str">
        <f t="shared" si="59"/>
        <v>04</v>
      </c>
      <c r="R379" s="3" t="str">
        <f t="shared" si="60"/>
        <v>26</v>
      </c>
      <c r="S379" s="1" t="s">
        <v>50</v>
      </c>
      <c r="U379" s="1" t="s">
        <v>461</v>
      </c>
      <c r="V379" s="1" t="str">
        <f t="shared" si="61"/>
        <v>TORRE_E85_A_E_125</v>
      </c>
      <c r="W379" s="1" t="str">
        <f t="shared" si="69"/>
        <v>TORRE_E85_A_E_125</v>
      </c>
      <c r="X379" s="4" t="b">
        <f t="shared" si="62"/>
        <v>1</v>
      </c>
      <c r="Y379" s="1">
        <f>VLOOKUP(D379,'Orden de Imagen'!$A$1:D511,4,FALSE())</f>
        <v>348</v>
      </c>
      <c r="Z379" s="1" t="str">
        <f t="shared" si="63"/>
        <v>348_26_04_02_TORRE_E85_A_E_125</v>
      </c>
    </row>
    <row r="380" spans="1:26" x14ac:dyDescent="0.25">
      <c r="A380" s="1">
        <v>377</v>
      </c>
      <c r="B380" s="1" t="s">
        <v>715</v>
      </c>
      <c r="C380" s="1" t="str">
        <f t="shared" si="57"/>
        <v>CL_MLP_PAO_IF_Ortho_26_04_02_TORRES_E35_A_E48.tif</v>
      </c>
      <c r="D380" s="1" t="str">
        <f t="shared" si="65"/>
        <v>CL_MLP_PAO_IF_Ortho_26_04_02_TORRES_E35_A_E48</v>
      </c>
      <c r="E380" s="1" t="s">
        <v>600</v>
      </c>
      <c r="F380" s="1" t="s">
        <v>460</v>
      </c>
      <c r="G380" s="1" t="s">
        <v>29</v>
      </c>
      <c r="H380" s="16">
        <v>46114</v>
      </c>
      <c r="I380" s="16">
        <v>46121</v>
      </c>
      <c r="J380" s="1" t="s">
        <v>30</v>
      </c>
      <c r="K380" s="2" t="str">
        <f t="shared" si="71"/>
        <v>https://sig.aminerals.cl/imgdyn/rest/services/CL_MLP_PAO/CL_MLP_PAO_IF_Ortho_Geosupport/ImageServer/file?id=.\El_Mauro_Drone\26_04\CL_MLP_PAO_IF_Ortho_26_04_02_TORRES_E35_A_E48.tif&amp;rasterId=</v>
      </c>
      <c r="L380" s="1" t="s">
        <v>31</v>
      </c>
      <c r="M380" s="1" t="s">
        <v>32</v>
      </c>
      <c r="N380" s="1" t="s">
        <v>33</v>
      </c>
      <c r="O380" s="1" t="s">
        <v>34</v>
      </c>
      <c r="P380" s="3" t="str">
        <f t="shared" si="58"/>
        <v>02</v>
      </c>
      <c r="Q380" s="3" t="str">
        <f t="shared" si="59"/>
        <v>04</v>
      </c>
      <c r="R380" s="3" t="str">
        <f t="shared" si="60"/>
        <v>26</v>
      </c>
      <c r="S380" s="1" t="s">
        <v>87</v>
      </c>
      <c r="U380" s="1" t="s">
        <v>461</v>
      </c>
      <c r="V380" s="1" t="str">
        <f t="shared" si="61"/>
        <v>TORRES_E35_A_E48</v>
      </c>
      <c r="W380" s="1" t="str">
        <f t="shared" si="69"/>
        <v>TORRES_E35_A_E48</v>
      </c>
      <c r="X380" s="4" t="b">
        <f t="shared" si="62"/>
        <v>1</v>
      </c>
      <c r="Y380" s="1">
        <f>VLOOKUP(D380,'Orden de Imagen'!$A$1:D516,4,FALSE())</f>
        <v>349</v>
      </c>
      <c r="Z380" s="1" t="str">
        <f t="shared" si="63"/>
        <v>349_26_04_02_TORRES_E35_A_E48</v>
      </c>
    </row>
    <row r="381" spans="1:26" x14ac:dyDescent="0.25">
      <c r="A381" s="1">
        <v>360</v>
      </c>
      <c r="B381" s="1" t="s">
        <v>716</v>
      </c>
      <c r="C381" s="1" t="str">
        <f t="shared" si="57"/>
        <v>CL_MLP_PAO_IF_Ortho_26_04_02_TORRES_E48_A_E84_PV4.tif</v>
      </c>
      <c r="D381" s="1" t="str">
        <f t="shared" si="65"/>
        <v>CL_MLP_PAO_IF_Ortho_26_04_02_TORRES_E48_A_E84_PV4</v>
      </c>
      <c r="E381" s="1" t="s">
        <v>566</v>
      </c>
      <c r="F381" s="1" t="s">
        <v>460</v>
      </c>
      <c r="G381" s="1" t="s">
        <v>29</v>
      </c>
      <c r="H381" s="16">
        <v>46114</v>
      </c>
      <c r="I381" s="16">
        <v>46121</v>
      </c>
      <c r="J381" s="1" t="s">
        <v>30</v>
      </c>
      <c r="K381" s="2" t="str">
        <f t="shared" si="71"/>
        <v>https://sig.aminerals.cl/imgdyn/rest/services/CL_MLP_PAO/CL_MLP_PAO_IF_Ortho_Geosupport/ImageServer/file?id=.\El_Mauro_Puerto_Punta_Chungo_Drone\26_04\CL_MLP_PAO_IF_Ortho_26_04_02_TORRES_E48_A_E84_PV4.tif&amp;rasterId=</v>
      </c>
      <c r="L381" s="1" t="s">
        <v>31</v>
      </c>
      <c r="M381" s="1" t="s">
        <v>32</v>
      </c>
      <c r="N381" s="1" t="s">
        <v>33</v>
      </c>
      <c r="O381" s="1" t="s">
        <v>34</v>
      </c>
      <c r="P381" s="3" t="str">
        <f t="shared" si="58"/>
        <v>02</v>
      </c>
      <c r="Q381" s="3" t="str">
        <f t="shared" si="59"/>
        <v>04</v>
      </c>
      <c r="R381" s="3" t="str">
        <f t="shared" si="60"/>
        <v>26</v>
      </c>
      <c r="S381" s="1" t="s">
        <v>50</v>
      </c>
      <c r="U381" s="1" t="s">
        <v>461</v>
      </c>
      <c r="V381" s="1" t="str">
        <f t="shared" si="61"/>
        <v>TORRES_E48_A_E84_PV4</v>
      </c>
      <c r="W381" s="1" t="str">
        <f t="shared" si="69"/>
        <v>TORRES_E48_A_E84_PV4</v>
      </c>
      <c r="X381" s="4" t="b">
        <f t="shared" si="62"/>
        <v>1</v>
      </c>
      <c r="Y381" s="1">
        <f>VLOOKUP(D381,'Orden de Imagen'!$A$1:D501,4,FALSE())</f>
        <v>350</v>
      </c>
      <c r="Z381" s="1" t="str">
        <f t="shared" si="63"/>
        <v>350_26_04_02_TORRES_E48_A_E84_PV4</v>
      </c>
    </row>
    <row r="382" spans="1:26" x14ac:dyDescent="0.25">
      <c r="A382" s="1">
        <v>363</v>
      </c>
      <c r="B382" s="1" t="s">
        <v>717</v>
      </c>
      <c r="C382" s="1" t="str">
        <f t="shared" si="57"/>
        <v>CL_MLP_PAO_IF_Ortho_26_04_03_EM1.tif</v>
      </c>
      <c r="D382" s="1" t="str">
        <f t="shared" si="65"/>
        <v>CL_MLP_PAO_IF_Ortho_26_04_03_EM1</v>
      </c>
      <c r="E382" s="1" t="s">
        <v>375</v>
      </c>
      <c r="F382" s="1" t="s">
        <v>460</v>
      </c>
      <c r="G382" s="1" t="s">
        <v>29</v>
      </c>
      <c r="H382" s="16">
        <v>46115</v>
      </c>
      <c r="I382" s="16">
        <v>46121</v>
      </c>
      <c r="J382" s="1" t="s">
        <v>30</v>
      </c>
      <c r="K382" s="2" t="str">
        <f t="shared" si="71"/>
        <v>https://sig.aminerals.cl/imgdyn/rest/services/CL_MLP_PAO/CL_MLP_PAO_IF_Ortho_Geosupport/ImageServer/file?id=.\Chacay_Drone\26_04\CL_MLP_PAO_IF_Ortho_26_04_03_EM1.tif&amp;rasterId=</v>
      </c>
      <c r="L382" s="1" t="s">
        <v>31</v>
      </c>
      <c r="M382" s="1" t="s">
        <v>32</v>
      </c>
      <c r="N382" s="1" t="s">
        <v>33</v>
      </c>
      <c r="O382" s="1" t="s">
        <v>34</v>
      </c>
      <c r="P382" s="3" t="str">
        <f t="shared" si="58"/>
        <v>03</v>
      </c>
      <c r="Q382" s="3" t="str">
        <f t="shared" si="59"/>
        <v>04</v>
      </c>
      <c r="R382" s="3" t="str">
        <f t="shared" si="60"/>
        <v>26</v>
      </c>
      <c r="S382" s="1" t="s">
        <v>56</v>
      </c>
      <c r="U382" s="1" t="s">
        <v>461</v>
      </c>
      <c r="V382" s="1" t="str">
        <f t="shared" si="61"/>
        <v>EM1</v>
      </c>
      <c r="W382" s="1" t="str">
        <f t="shared" si="69"/>
        <v>EM1</v>
      </c>
      <c r="X382" s="4" t="b">
        <f t="shared" si="62"/>
        <v>1</v>
      </c>
      <c r="Y382" s="1">
        <f>VLOOKUP(D382,'Orden de Imagen'!$A$1:D504,4,FALSE())</f>
        <v>351</v>
      </c>
      <c r="Z382" s="1" t="str">
        <f t="shared" si="63"/>
        <v>351_26_04_03_EM1</v>
      </c>
    </row>
    <row r="383" spans="1:26" x14ac:dyDescent="0.25">
      <c r="A383" s="1">
        <v>365</v>
      </c>
      <c r="B383" s="1" t="s">
        <v>718</v>
      </c>
      <c r="C383" s="1" t="str">
        <f t="shared" ref="C383:C446" si="72">CONCATENATE(L383,"_",M383,"_",G383,"_",N383,"_",O383,"_",R383,"_",Q383,"_",P383,"_",E383,".tif")</f>
        <v>CL_MLP_PAO_IF_Ortho_26_04_03_Estacion_Cabecera.tif</v>
      </c>
      <c r="D383" s="1" t="str">
        <f t="shared" si="65"/>
        <v>CL_MLP_PAO_IF_Ortho_26_04_03_Estacion_Cabecera</v>
      </c>
      <c r="E383" s="1" t="s">
        <v>680</v>
      </c>
      <c r="F383" s="1" t="s">
        <v>460</v>
      </c>
      <c r="G383" s="1" t="s">
        <v>29</v>
      </c>
      <c r="H383" s="16">
        <v>46115</v>
      </c>
      <c r="I383" s="16">
        <v>46121</v>
      </c>
      <c r="J383" s="1" t="s">
        <v>30</v>
      </c>
      <c r="K383" s="2" t="str">
        <f t="shared" si="71"/>
        <v>https://sig.aminerals.cl/imgdyn/rest/services/CL_MLP_PAO/CL_MLP_PAO_IF_Ortho_Geosupport/ImageServer/file?id=.\Chacay_Drone\26_04\CL_MLP_PAO_IF_Ortho_26_04_03_Estacion_Cabecera.tif&amp;rasterId=</v>
      </c>
      <c r="L383" s="1" t="s">
        <v>31</v>
      </c>
      <c r="M383" s="1" t="s">
        <v>32</v>
      </c>
      <c r="N383" s="1" t="s">
        <v>33</v>
      </c>
      <c r="O383" s="1" t="s">
        <v>34</v>
      </c>
      <c r="P383" s="3" t="str">
        <f t="shared" si="58"/>
        <v>03</v>
      </c>
      <c r="Q383" s="3" t="str">
        <f t="shared" si="59"/>
        <v>04</v>
      </c>
      <c r="R383" s="3" t="str">
        <f t="shared" si="60"/>
        <v>26</v>
      </c>
      <c r="S383" s="1" t="s">
        <v>56</v>
      </c>
      <c r="U383" s="1" t="s">
        <v>461</v>
      </c>
      <c r="V383" s="1" t="str">
        <f t="shared" si="61"/>
        <v>Estacion_Cabecera</v>
      </c>
      <c r="W383" s="1" t="str">
        <f t="shared" si="69"/>
        <v>Estacion_Cabecera</v>
      </c>
      <c r="X383" s="4" t="b">
        <f t="shared" si="62"/>
        <v>1</v>
      </c>
      <c r="Y383" s="1">
        <f>VLOOKUP(D383,'Orden de Imagen'!$A$1:D506,4,FALSE())</f>
        <v>352</v>
      </c>
      <c r="Z383" s="1" t="str">
        <f t="shared" si="63"/>
        <v>352_26_04_03_Estacion_Cabecera</v>
      </c>
    </row>
    <row r="384" spans="1:26" x14ac:dyDescent="0.25">
      <c r="A384" s="1">
        <v>397</v>
      </c>
      <c r="B384" s="1" t="s">
        <v>719</v>
      </c>
      <c r="C384" s="1" t="str">
        <f t="shared" si="72"/>
        <v>CL_MLP_PAO_IF_Ortho_26_04_04_EBR.tif</v>
      </c>
      <c r="D384" s="1" t="str">
        <f t="shared" si="65"/>
        <v>CL_MLP_PAO_IF_Ortho_26_04_04_EBR</v>
      </c>
      <c r="E384" s="1" t="s">
        <v>695</v>
      </c>
      <c r="F384" s="1" t="s">
        <v>460</v>
      </c>
      <c r="G384" s="1" t="s">
        <v>29</v>
      </c>
      <c r="H384" s="16">
        <v>46116</v>
      </c>
      <c r="I384" s="16">
        <v>46135</v>
      </c>
      <c r="J384" s="1" t="s">
        <v>30</v>
      </c>
      <c r="K384" s="2" t="str">
        <f t="shared" si="71"/>
        <v>https://sig.aminerals.cl/imgdyn/rest/services/CL_MLP_PAO/CL_MLP_PAO_IF_Ortho_Geosupport/ImageServer/file?id=.\El_Mauro_Drone\26_04\CL_MLP_PAO_IF_Ortho_26_04_04_EBR.tif&amp;rasterId=</v>
      </c>
      <c r="L384" s="1" t="s">
        <v>31</v>
      </c>
      <c r="M384" s="1" t="s">
        <v>32</v>
      </c>
      <c r="N384" s="1" t="s">
        <v>33</v>
      </c>
      <c r="O384" s="1" t="s">
        <v>34</v>
      </c>
      <c r="P384" s="3" t="str">
        <f t="shared" si="58"/>
        <v>04</v>
      </c>
      <c r="Q384" s="3" t="str">
        <f t="shared" si="59"/>
        <v>04</v>
      </c>
      <c r="R384" s="3" t="str">
        <f t="shared" si="60"/>
        <v>26</v>
      </c>
      <c r="S384" s="1" t="s">
        <v>87</v>
      </c>
      <c r="U384" s="1" t="s">
        <v>461</v>
      </c>
      <c r="V384" s="1" t="str">
        <f t="shared" si="61"/>
        <v>EBR</v>
      </c>
      <c r="W384" s="1" t="str">
        <f t="shared" si="69"/>
        <v>EBR</v>
      </c>
      <c r="X384" s="4" t="b">
        <f t="shared" si="62"/>
        <v>1</v>
      </c>
      <c r="Y384" s="1">
        <f>VLOOKUP(D384,'Orden de Imagen'!$A$1:D536,4,FALSE())</f>
        <v>353</v>
      </c>
      <c r="Z384" s="1" t="str">
        <f t="shared" si="63"/>
        <v>353_26_04_04_EBR</v>
      </c>
    </row>
    <row r="385" spans="1:26" x14ac:dyDescent="0.25">
      <c r="A385" s="1">
        <v>380</v>
      </c>
      <c r="B385" s="1" t="s">
        <v>720</v>
      </c>
      <c r="C385" s="1" t="str">
        <f t="shared" si="72"/>
        <v>CL_MLP_PAO_IF_Ortho_26_04_04_ED1-IIFF7-DME8.tif</v>
      </c>
      <c r="D385" s="1" t="str">
        <f t="shared" si="65"/>
        <v>CL_MLP_PAO_IF_Ortho_26_04_04_ED1-IIFF7-DME8</v>
      </c>
      <c r="E385" s="1" t="s">
        <v>485</v>
      </c>
      <c r="F385" s="1" t="s">
        <v>460</v>
      </c>
      <c r="G385" s="1" t="s">
        <v>29</v>
      </c>
      <c r="H385" s="16">
        <v>46116</v>
      </c>
      <c r="I385" s="16">
        <v>46121</v>
      </c>
      <c r="J385" s="1" t="s">
        <v>30</v>
      </c>
      <c r="K385" s="2" t="str">
        <f t="shared" si="71"/>
        <v>https://sig.aminerals.cl/imgdyn/rest/services/CL_MLP_PAO/CL_MLP_PAO_IF_Ortho_Geosupport/ImageServer/file?id=.\Chacay_El_Mauro_Drone\26_04\CL_MLP_PAO_IF_Ortho_26_04_04_ED1-IIFF7-DME8.tif&amp;rasterId=</v>
      </c>
      <c r="L385" s="1" t="s">
        <v>31</v>
      </c>
      <c r="M385" s="1" t="s">
        <v>32</v>
      </c>
      <c r="N385" s="1" t="s">
        <v>33</v>
      </c>
      <c r="O385" s="1" t="s">
        <v>34</v>
      </c>
      <c r="P385" s="3" t="str">
        <f t="shared" si="58"/>
        <v>04</v>
      </c>
      <c r="Q385" s="3" t="str">
        <f t="shared" si="59"/>
        <v>04</v>
      </c>
      <c r="R385" s="3" t="str">
        <f t="shared" si="60"/>
        <v>26</v>
      </c>
      <c r="S385" s="1" t="s">
        <v>40</v>
      </c>
      <c r="U385" s="1" t="s">
        <v>461</v>
      </c>
      <c r="V385" s="1" t="str">
        <f t="shared" si="61"/>
        <v>ED1-IIFF7-DME8</v>
      </c>
      <c r="W385" s="1" t="str">
        <f t="shared" si="69"/>
        <v>ED1-IIFF7-DME8</v>
      </c>
      <c r="X385" s="4" t="b">
        <f t="shared" si="62"/>
        <v>1</v>
      </c>
      <c r="Y385" s="1">
        <f>VLOOKUP(D385,'Orden de Imagen'!$A$1:D519,4,FALSE())</f>
        <v>354</v>
      </c>
      <c r="Z385" s="1" t="str">
        <f t="shared" si="63"/>
        <v>354_26_04_04_ED1-IIFF7-DME8</v>
      </c>
    </row>
    <row r="386" spans="1:26" x14ac:dyDescent="0.25">
      <c r="A386" s="1">
        <v>398</v>
      </c>
      <c r="B386" s="1" t="s">
        <v>721</v>
      </c>
      <c r="C386" s="1" t="str">
        <f t="shared" si="72"/>
        <v>CL_MLP_PAO_IF_Ortho_26_04_04_Estacion_Intermedia.tif</v>
      </c>
      <c r="D386" s="1" t="str">
        <f t="shared" si="65"/>
        <v>CL_MLP_PAO_IF_Ortho_26_04_04_Estacion_Intermedia</v>
      </c>
      <c r="E386" s="1" t="s">
        <v>682</v>
      </c>
      <c r="F386" s="1" t="s">
        <v>460</v>
      </c>
      <c r="G386" s="1" t="s">
        <v>29</v>
      </c>
      <c r="H386" s="16">
        <v>46116</v>
      </c>
      <c r="I386" s="16">
        <v>46135</v>
      </c>
      <c r="J386" s="1" t="s">
        <v>30</v>
      </c>
      <c r="K386" s="2" t="str">
        <f t="shared" si="71"/>
        <v>https://sig.aminerals.cl/imgdyn/rest/services/CL_MLP_PAO/CL_MLP_PAO_IF_Ortho_Geosupport/ImageServer/file?id=.\El_Mauro_Drone\26_04\CL_MLP_PAO_IF_Ortho_26_04_04_Estacion_Intermedia.tif&amp;rasterId=</v>
      </c>
      <c r="L386" s="1" t="s">
        <v>31</v>
      </c>
      <c r="M386" s="1" t="s">
        <v>32</v>
      </c>
      <c r="N386" s="1" t="s">
        <v>33</v>
      </c>
      <c r="O386" s="1" t="s">
        <v>34</v>
      </c>
      <c r="P386" s="3" t="str">
        <f t="shared" ref="P386:P449" si="73">TEXT(H386,"dd")</f>
        <v>04</v>
      </c>
      <c r="Q386" s="3" t="str">
        <f t="shared" ref="Q386:Q449" si="74">TEXT(H386,"MM")</f>
        <v>04</v>
      </c>
      <c r="R386" s="3" t="str">
        <f t="shared" ref="R386:R449" si="75">TEXT(H386,"YY")</f>
        <v>26</v>
      </c>
      <c r="S386" s="1" t="s">
        <v>87</v>
      </c>
      <c r="U386" s="1" t="s">
        <v>461</v>
      </c>
      <c r="V386" s="1" t="str">
        <f t="shared" ref="V386:V449" si="76">RIGHT(D386,LEN(D386)-29)</f>
        <v>Estacion_Intermedia</v>
      </c>
      <c r="W386" s="1" t="str">
        <f t="shared" si="69"/>
        <v>Estacion_Intermedia</v>
      </c>
      <c r="X386" s="4" t="b">
        <f t="shared" ref="X386:X449" si="77">V386=W386</f>
        <v>1</v>
      </c>
      <c r="Y386" s="1">
        <f>VLOOKUP(D386,'Orden de Imagen'!$A$1:D537,4,FALSE())</f>
        <v>355</v>
      </c>
      <c r="Z386" s="1" t="str">
        <f t="shared" ref="Z386:Z449" si="78">CONCATENATE(Y386,"_",R386,"_",Q386,"_",P386,"_",E386)</f>
        <v>355_26_04_04_Estacion_Intermedia</v>
      </c>
    </row>
    <row r="387" spans="1:26" x14ac:dyDescent="0.25">
      <c r="A387" s="1">
        <v>381</v>
      </c>
      <c r="B387" s="1" t="s">
        <v>722</v>
      </c>
      <c r="C387" s="1" t="str">
        <f t="shared" si="72"/>
        <v>CL_MLP_PAO_IF_Ortho_26_04_04_EV2.tif</v>
      </c>
      <c r="D387" s="1" t="str">
        <f t="shared" si="65"/>
        <v>CL_MLP_PAO_IF_Ortho_26_04_04_EV2</v>
      </c>
      <c r="E387" s="1" t="s">
        <v>74</v>
      </c>
      <c r="F387" s="1" t="s">
        <v>460</v>
      </c>
      <c r="G387" s="1" t="s">
        <v>29</v>
      </c>
      <c r="H387" s="16">
        <v>46116</v>
      </c>
      <c r="I387" s="16">
        <v>46121</v>
      </c>
      <c r="J387" s="1" t="s">
        <v>30</v>
      </c>
      <c r="K387" s="2" t="str">
        <f t="shared" si="71"/>
        <v>https://sig.aminerals.cl/imgdyn/rest/services/CL_MLP_PAO/CL_MLP_PAO_IF_Ortho_Geosupport/ImageServer/file?id=.\El_Mauro_Puerto_Punta_Chungo_Drone\26_04\CL_MLP_PAO_IF_Ortho_26_04_04_EV2.tif&amp;rasterId=</v>
      </c>
      <c r="L387" s="1" t="s">
        <v>31</v>
      </c>
      <c r="M387" s="1" t="s">
        <v>32</v>
      </c>
      <c r="N387" s="1" t="s">
        <v>33</v>
      </c>
      <c r="O387" s="1" t="s">
        <v>34</v>
      </c>
      <c r="P387" s="3" t="str">
        <f t="shared" si="73"/>
        <v>04</v>
      </c>
      <c r="Q387" s="3" t="str">
        <f t="shared" si="74"/>
        <v>04</v>
      </c>
      <c r="R387" s="3" t="str">
        <f t="shared" si="75"/>
        <v>26</v>
      </c>
      <c r="S387" s="1" t="s">
        <v>50</v>
      </c>
      <c r="U387" s="1" t="s">
        <v>461</v>
      </c>
      <c r="V387" s="1" t="str">
        <f t="shared" si="76"/>
        <v>EV2</v>
      </c>
      <c r="W387" s="1" t="str">
        <f t="shared" ref="W387:W418" si="79">E387</f>
        <v>EV2</v>
      </c>
      <c r="X387" s="4" t="b">
        <f t="shared" si="77"/>
        <v>1</v>
      </c>
      <c r="Y387" s="1">
        <f>VLOOKUP(D387,'Orden de Imagen'!$A$1:D520,4,FALSE())</f>
        <v>356</v>
      </c>
      <c r="Z387" s="1" t="str">
        <f t="shared" si="78"/>
        <v>356_26_04_04_EV2</v>
      </c>
    </row>
    <row r="388" spans="1:26" x14ac:dyDescent="0.25">
      <c r="A388" s="1">
        <v>369</v>
      </c>
      <c r="B388" s="1" t="s">
        <v>723</v>
      </c>
      <c r="C388" s="1" t="str">
        <f t="shared" si="72"/>
        <v>CL_MLP_PAO_IF_Ortho_26_04_04_MonteAranda-NSTC-Km-84p2-a-82p3.tif</v>
      </c>
      <c r="D388" s="1" t="str">
        <f t="shared" si="65"/>
        <v>CL_MLP_PAO_IF_Ortho_26_04_04_MonteAranda-NSTC-Km-84p2-a-82p3</v>
      </c>
      <c r="E388" s="1" t="s">
        <v>488</v>
      </c>
      <c r="F388" s="1" t="s">
        <v>460</v>
      </c>
      <c r="G388" s="1" t="s">
        <v>29</v>
      </c>
      <c r="H388" s="16">
        <v>46116</v>
      </c>
      <c r="I388" s="16">
        <v>46121</v>
      </c>
      <c r="J388" s="1" t="s">
        <v>30</v>
      </c>
      <c r="K388" s="2" t="str">
        <f t="shared" si="71"/>
        <v>https://sig.aminerals.cl/imgdyn/rest/services/CL_MLP_PAO/CL_MLP_PAO_IF_Ortho_Geosupport/ImageServer/file?id=.\El_Mauro_Puerto_Punta_Chungo_Drone\26_04\CL_MLP_PAO_IF_Ortho_26_04_04_MonteAranda-NSTC-Km-84p2-a-82p3.tif&amp;rasterId=</v>
      </c>
      <c r="L388" s="1" t="s">
        <v>31</v>
      </c>
      <c r="M388" s="1" t="s">
        <v>32</v>
      </c>
      <c r="N388" s="1" t="s">
        <v>33</v>
      </c>
      <c r="O388" s="1" t="s">
        <v>34</v>
      </c>
      <c r="P388" s="3" t="str">
        <f t="shared" si="73"/>
        <v>04</v>
      </c>
      <c r="Q388" s="3" t="str">
        <f t="shared" si="74"/>
        <v>04</v>
      </c>
      <c r="R388" s="3" t="str">
        <f t="shared" si="75"/>
        <v>26</v>
      </c>
      <c r="S388" s="1" t="s">
        <v>50</v>
      </c>
      <c r="U388" s="1" t="s">
        <v>461</v>
      </c>
      <c r="V388" s="1" t="str">
        <f t="shared" si="76"/>
        <v>MonteAranda-NSTC-Km-84p2-a-82p3</v>
      </c>
      <c r="W388" s="1" t="str">
        <f t="shared" si="79"/>
        <v>MonteAranda-NSTC-Km-84p2-a-82p3</v>
      </c>
      <c r="X388" s="4" t="b">
        <f t="shared" si="77"/>
        <v>1</v>
      </c>
      <c r="Y388" s="1">
        <f>VLOOKUP(D388,'Orden de Imagen'!$A$1:D510,4,FALSE())</f>
        <v>357</v>
      </c>
      <c r="Z388" s="1" t="str">
        <f t="shared" si="78"/>
        <v>357_26_04_04_MonteAranda-NSTC-Km-84p2-a-82p3</v>
      </c>
    </row>
    <row r="389" spans="1:26" x14ac:dyDescent="0.25">
      <c r="A389" s="1">
        <v>399</v>
      </c>
      <c r="B389" s="1" t="s">
        <v>724</v>
      </c>
      <c r="C389" s="1" t="str">
        <f t="shared" si="72"/>
        <v>CL_MLP_PAO_IF_Ortho_26_04_05_EB3.tif</v>
      </c>
      <c r="D389" s="1" t="str">
        <f t="shared" si="65"/>
        <v>CL_MLP_PAO_IF_Ortho_26_04_05_EB3</v>
      </c>
      <c r="E389" s="1" t="s">
        <v>588</v>
      </c>
      <c r="F389" s="1" t="s">
        <v>460</v>
      </c>
      <c r="G389" s="1" t="s">
        <v>29</v>
      </c>
      <c r="H389" s="16">
        <v>46117</v>
      </c>
      <c r="I389" s="16">
        <v>46135</v>
      </c>
      <c r="J389" s="1" t="s">
        <v>30</v>
      </c>
      <c r="K389" s="2" t="str">
        <f t="shared" si="71"/>
        <v>https://sig.aminerals.cl/imgdyn/rest/services/CL_MLP_PAO/CL_MLP_PAO_IF_Ortho_Geosupport/ImageServer/file?id=.\El_Mauro_Drone\26_04\CL_MLP_PAO_IF_Ortho_26_04_05_EB3.tif&amp;rasterId=</v>
      </c>
      <c r="L389" s="1" t="s">
        <v>31</v>
      </c>
      <c r="M389" s="1" t="s">
        <v>32</v>
      </c>
      <c r="N389" s="1" t="s">
        <v>33</v>
      </c>
      <c r="O389" s="1" t="s">
        <v>34</v>
      </c>
      <c r="P389" s="3" t="str">
        <f t="shared" si="73"/>
        <v>05</v>
      </c>
      <c r="Q389" s="3" t="str">
        <f t="shared" si="74"/>
        <v>04</v>
      </c>
      <c r="R389" s="3" t="str">
        <f t="shared" si="75"/>
        <v>26</v>
      </c>
      <c r="S389" s="1" t="s">
        <v>87</v>
      </c>
      <c r="U389" s="1" t="s">
        <v>461</v>
      </c>
      <c r="V389" s="1" t="str">
        <f t="shared" si="76"/>
        <v>EB3</v>
      </c>
      <c r="W389" s="1" t="str">
        <f t="shared" si="79"/>
        <v>EB3</v>
      </c>
      <c r="X389" s="4" t="b">
        <f t="shared" si="77"/>
        <v>1</v>
      </c>
      <c r="Y389" s="1">
        <f>VLOOKUP(D389,'Orden de Imagen'!$A$1:D538,4,FALSE())</f>
        <v>358</v>
      </c>
      <c r="Z389" s="1" t="str">
        <f t="shared" si="78"/>
        <v>358_26_04_05_EB3</v>
      </c>
    </row>
    <row r="390" spans="1:26" x14ac:dyDescent="0.25">
      <c r="A390" s="1">
        <v>382</v>
      </c>
      <c r="B390" s="1" t="s">
        <v>725</v>
      </c>
      <c r="C390" s="1" t="str">
        <f t="shared" si="72"/>
        <v>CL_MLP_PAO_IF_Ortho_26_04_05_EV1.tif</v>
      </c>
      <c r="D390" s="1" t="str">
        <f t="shared" si="65"/>
        <v>CL_MLP_PAO_IF_Ortho_26_04_05_EV1</v>
      </c>
      <c r="E390" s="1" t="s">
        <v>258</v>
      </c>
      <c r="F390" s="1" t="s">
        <v>460</v>
      </c>
      <c r="G390" s="1" t="s">
        <v>29</v>
      </c>
      <c r="H390" s="16">
        <v>46117</v>
      </c>
      <c r="I390" s="16">
        <v>46121</v>
      </c>
      <c r="J390" s="1" t="s">
        <v>30</v>
      </c>
      <c r="K390" s="2" t="str">
        <f t="shared" si="71"/>
        <v>https://sig.aminerals.cl/imgdyn/rest/services/CL_MLP_PAO/CL_MLP_PAO_IF_Ortho_Geosupport/ImageServer/file?id=.\Chacay_El_Mauro_Drone\26_04\CL_MLP_PAO_IF_Ortho_26_04_05_EV1.tif&amp;rasterId=</v>
      </c>
      <c r="L390" s="1" t="s">
        <v>31</v>
      </c>
      <c r="M390" s="1" t="s">
        <v>32</v>
      </c>
      <c r="N390" s="1" t="s">
        <v>33</v>
      </c>
      <c r="O390" s="1" t="s">
        <v>34</v>
      </c>
      <c r="P390" s="3" t="str">
        <f t="shared" si="73"/>
        <v>05</v>
      </c>
      <c r="Q390" s="3" t="str">
        <f t="shared" si="74"/>
        <v>04</v>
      </c>
      <c r="R390" s="3" t="str">
        <f t="shared" si="75"/>
        <v>26</v>
      </c>
      <c r="S390" s="1" t="s">
        <v>40</v>
      </c>
      <c r="U390" s="1" t="s">
        <v>461</v>
      </c>
      <c r="V390" s="1" t="str">
        <f t="shared" si="76"/>
        <v>EV1</v>
      </c>
      <c r="W390" s="1" t="str">
        <f t="shared" si="79"/>
        <v>EV1</v>
      </c>
      <c r="X390" s="4" t="b">
        <f t="shared" si="77"/>
        <v>1</v>
      </c>
      <c r="Y390" s="1">
        <f>VLOOKUP(D390,'Orden de Imagen'!$A$1:D521,4,FALSE())</f>
        <v>359</v>
      </c>
      <c r="Z390" s="1" t="str">
        <f t="shared" si="78"/>
        <v>359_26_04_05_EV1</v>
      </c>
    </row>
    <row r="391" spans="1:26" x14ac:dyDescent="0.25">
      <c r="A391" s="1">
        <v>400</v>
      </c>
      <c r="B391" s="1" t="s">
        <v>726</v>
      </c>
      <c r="C391" s="1" t="str">
        <f t="shared" si="72"/>
        <v>CL_MLP_PAO_IF_Ortho_26_04_05_Helipuerto.tif</v>
      </c>
      <c r="D391" s="1" t="str">
        <f t="shared" si="65"/>
        <v>CL_MLP_PAO_IF_Ortho_26_04_05_Helipuerto</v>
      </c>
      <c r="E391" s="1" t="s">
        <v>685</v>
      </c>
      <c r="F391" s="1" t="s">
        <v>460</v>
      </c>
      <c r="G391" s="1" t="s">
        <v>29</v>
      </c>
      <c r="H391" s="16">
        <v>46117</v>
      </c>
      <c r="I391" s="16">
        <v>46135</v>
      </c>
      <c r="J391" s="1" t="s">
        <v>30</v>
      </c>
      <c r="K391" s="2" t="str">
        <f t="shared" si="71"/>
        <v>https://sig.aminerals.cl/imgdyn/rest/services/CL_MLP_PAO/CL_MLP_PAO_IF_Ortho_Geosupport/ImageServer/file?id=.\El_Mauro_Drone\26_04\CL_MLP_PAO_IF_Ortho_26_04_05_Helipuerto.tif&amp;rasterId=</v>
      </c>
      <c r="L391" s="1" t="s">
        <v>31</v>
      </c>
      <c r="M391" s="1" t="s">
        <v>32</v>
      </c>
      <c r="N391" s="1" t="s">
        <v>33</v>
      </c>
      <c r="O391" s="1" t="s">
        <v>34</v>
      </c>
      <c r="P391" s="3" t="str">
        <f t="shared" si="73"/>
        <v>05</v>
      </c>
      <c r="Q391" s="3" t="str">
        <f t="shared" si="74"/>
        <v>04</v>
      </c>
      <c r="R391" s="3" t="str">
        <f t="shared" si="75"/>
        <v>26</v>
      </c>
      <c r="S391" s="1" t="s">
        <v>87</v>
      </c>
      <c r="U391" s="1" t="s">
        <v>461</v>
      </c>
      <c r="V391" s="1" t="str">
        <f t="shared" si="76"/>
        <v>Helipuerto</v>
      </c>
      <c r="W391" s="1" t="str">
        <f t="shared" si="79"/>
        <v>Helipuerto</v>
      </c>
      <c r="X391" s="4" t="b">
        <f t="shared" si="77"/>
        <v>1</v>
      </c>
      <c r="Y391" s="1">
        <f>VLOOKUP(D391,'Orden de Imagen'!$A$1:D539,4,FALSE())</f>
        <v>360</v>
      </c>
      <c r="Z391" s="1" t="str">
        <f t="shared" si="78"/>
        <v>360_26_04_05_Helipuerto</v>
      </c>
    </row>
    <row r="392" spans="1:26" x14ac:dyDescent="0.25">
      <c r="A392" s="1">
        <v>401</v>
      </c>
      <c r="B392" s="1" t="s">
        <v>727</v>
      </c>
      <c r="C392" s="1" t="str">
        <f t="shared" si="72"/>
        <v>CL_MLP_PAO_IF_Ortho_26_04_05_Patio-19B-y-Armado.tif</v>
      </c>
      <c r="D392" s="1" t="str">
        <f t="shared" si="65"/>
        <v>CL_MLP_PAO_IF_Ortho_26_04_05_Patio-19B-y-Armado</v>
      </c>
      <c r="E392" s="1" t="s">
        <v>472</v>
      </c>
      <c r="F392" s="1" t="s">
        <v>460</v>
      </c>
      <c r="G392" s="1" t="s">
        <v>29</v>
      </c>
      <c r="H392" s="16">
        <v>46117</v>
      </c>
      <c r="I392" s="16">
        <v>46135</v>
      </c>
      <c r="J392" s="1" t="s">
        <v>30</v>
      </c>
      <c r="K392" s="2" t="str">
        <f t="shared" si="71"/>
        <v>https://sig.aminerals.cl/imgdyn/rest/services/CL_MLP_PAO/CL_MLP_PAO_IF_Ortho_Geosupport/ImageServer/file?id=.\El_Mauro_Drone\26_04\CL_MLP_PAO_IF_Ortho_26_04_05_Patio-19B-y-Armado.tif&amp;rasterId=</v>
      </c>
      <c r="L392" s="1" t="s">
        <v>31</v>
      </c>
      <c r="M392" s="1" t="s">
        <v>32</v>
      </c>
      <c r="N392" s="1" t="s">
        <v>33</v>
      </c>
      <c r="O392" s="1" t="s">
        <v>34</v>
      </c>
      <c r="P392" s="3" t="str">
        <f t="shared" si="73"/>
        <v>05</v>
      </c>
      <c r="Q392" s="3" t="str">
        <f t="shared" si="74"/>
        <v>04</v>
      </c>
      <c r="R392" s="3" t="str">
        <f t="shared" si="75"/>
        <v>26</v>
      </c>
      <c r="S392" s="1" t="s">
        <v>87</v>
      </c>
      <c r="U392" s="1" t="s">
        <v>461</v>
      </c>
      <c r="V392" s="1" t="str">
        <f t="shared" si="76"/>
        <v>Patio-19B-y-Armado</v>
      </c>
      <c r="W392" s="1" t="str">
        <f t="shared" si="79"/>
        <v>Patio-19B-y-Armado</v>
      </c>
      <c r="X392" s="4" t="b">
        <f t="shared" si="77"/>
        <v>1</v>
      </c>
      <c r="Y392" s="1">
        <f>VLOOKUP(D392,'Orden de Imagen'!$A$1:D540,4,FALSE())</f>
        <v>361</v>
      </c>
      <c r="Z392" s="1" t="str">
        <f t="shared" si="78"/>
        <v>361_26_04_05_Patio-19B-y-Armado</v>
      </c>
    </row>
    <row r="393" spans="1:26" x14ac:dyDescent="0.25">
      <c r="A393" s="1">
        <v>402</v>
      </c>
      <c r="B393" s="1" t="s">
        <v>728</v>
      </c>
      <c r="C393" s="1" t="str">
        <f t="shared" si="72"/>
        <v>CL_MLP_PAO_IF_Ortho_26_04_05_Subestacion-El-Mauro.tif</v>
      </c>
      <c r="D393" s="1" t="str">
        <f t="shared" si="65"/>
        <v>CL_MLP_PAO_IF_Ortho_26_04_05_Subestacion-El-Mauro</v>
      </c>
      <c r="E393" s="1" t="s">
        <v>90</v>
      </c>
      <c r="F393" s="1" t="s">
        <v>460</v>
      </c>
      <c r="G393" s="1" t="s">
        <v>29</v>
      </c>
      <c r="H393" s="16">
        <v>46117</v>
      </c>
      <c r="I393" s="16">
        <v>46135</v>
      </c>
      <c r="J393" s="1" t="s">
        <v>30</v>
      </c>
      <c r="K393" s="2" t="str">
        <f t="shared" si="71"/>
        <v>https://sig.aminerals.cl/imgdyn/rest/services/CL_MLP_PAO/CL_MLP_PAO_IF_Ortho_Geosupport/ImageServer/file?id=.\El_Mauro_Drone\26_04\CL_MLP_PAO_IF_Ortho_26_04_05_Subestacion-El-Mauro.tif&amp;rasterId=</v>
      </c>
      <c r="L393" s="1" t="s">
        <v>31</v>
      </c>
      <c r="M393" s="1" t="s">
        <v>32</v>
      </c>
      <c r="N393" s="1" t="s">
        <v>33</v>
      </c>
      <c r="O393" s="1" t="s">
        <v>34</v>
      </c>
      <c r="P393" s="3" t="str">
        <f t="shared" si="73"/>
        <v>05</v>
      </c>
      <c r="Q393" s="3" t="str">
        <f t="shared" si="74"/>
        <v>04</v>
      </c>
      <c r="R393" s="3" t="str">
        <f t="shared" si="75"/>
        <v>26</v>
      </c>
      <c r="S393" s="1" t="s">
        <v>87</v>
      </c>
      <c r="U393" s="1" t="s">
        <v>461</v>
      </c>
      <c r="V393" s="1" t="str">
        <f t="shared" si="76"/>
        <v>Subestacion-El-Mauro</v>
      </c>
      <c r="W393" s="1" t="str">
        <f t="shared" si="79"/>
        <v>Subestacion-El-Mauro</v>
      </c>
      <c r="X393" s="4" t="b">
        <f t="shared" si="77"/>
        <v>1</v>
      </c>
      <c r="Y393" s="1">
        <f>VLOOKUP(D393,'Orden de Imagen'!$A$1:D541,4,FALSE())</f>
        <v>362</v>
      </c>
      <c r="Z393" s="1" t="str">
        <f t="shared" si="78"/>
        <v>362_26_04_05_Subestacion-El-Mauro</v>
      </c>
    </row>
    <row r="394" spans="1:26" x14ac:dyDescent="0.25">
      <c r="A394" s="1">
        <v>403</v>
      </c>
      <c r="B394" s="1" t="s">
        <v>729</v>
      </c>
      <c r="C394" s="1" t="str">
        <f t="shared" si="72"/>
        <v>CL_MLP_PAO_IF_Ortho_26_04_05_Subestacion-El-Mauro_A_E35.tif</v>
      </c>
      <c r="D394" s="1" t="str">
        <f t="shared" si="65"/>
        <v>CL_MLP_PAO_IF_Ortho_26_04_05_Subestacion-El-Mauro_A_E35</v>
      </c>
      <c r="E394" s="1" t="s">
        <v>604</v>
      </c>
      <c r="F394" s="1" t="s">
        <v>460</v>
      </c>
      <c r="G394" s="1" t="s">
        <v>29</v>
      </c>
      <c r="H394" s="16">
        <v>46117</v>
      </c>
      <c r="I394" s="16">
        <v>46135</v>
      </c>
      <c r="J394" s="1" t="s">
        <v>30</v>
      </c>
      <c r="K394" s="2" t="str">
        <f t="shared" si="71"/>
        <v>https://sig.aminerals.cl/imgdyn/rest/services/CL_MLP_PAO/CL_MLP_PAO_IF_Ortho_Geosupport/ImageServer/file?id=.\El_Mauro_Drone\26_04\CL_MLP_PAO_IF_Ortho_26_04_05_Subestacion-El-Mauro_A_E35.tif&amp;rasterId=</v>
      </c>
      <c r="L394" s="1" t="s">
        <v>31</v>
      </c>
      <c r="M394" s="1" t="s">
        <v>32</v>
      </c>
      <c r="N394" s="1" t="s">
        <v>33</v>
      </c>
      <c r="O394" s="1" t="s">
        <v>34</v>
      </c>
      <c r="P394" s="3" t="str">
        <f t="shared" si="73"/>
        <v>05</v>
      </c>
      <c r="Q394" s="3" t="str">
        <f t="shared" si="74"/>
        <v>04</v>
      </c>
      <c r="R394" s="3" t="str">
        <f t="shared" si="75"/>
        <v>26</v>
      </c>
      <c r="S394" s="1" t="s">
        <v>87</v>
      </c>
      <c r="U394" s="1" t="s">
        <v>461</v>
      </c>
      <c r="V394" s="1" t="str">
        <f t="shared" si="76"/>
        <v>Subestacion-El-Mauro_A_E35</v>
      </c>
      <c r="W394" s="1" t="str">
        <f t="shared" si="79"/>
        <v>Subestacion-El-Mauro_A_E35</v>
      </c>
      <c r="X394" s="4" t="b">
        <f t="shared" si="77"/>
        <v>1</v>
      </c>
      <c r="Y394" s="1">
        <f>VLOOKUP(D394,'Orden de Imagen'!$A$1:D542,4,FALSE())</f>
        <v>363</v>
      </c>
      <c r="Z394" s="1" t="str">
        <f t="shared" si="78"/>
        <v>363_26_04_05_Subestacion-El-Mauro_A_E35</v>
      </c>
    </row>
    <row r="395" spans="1:26" x14ac:dyDescent="0.25">
      <c r="A395" s="1">
        <v>385</v>
      </c>
      <c r="B395" s="1" t="s">
        <v>730</v>
      </c>
      <c r="C395" s="1" t="str">
        <f t="shared" si="72"/>
        <v>CL_MLP_PAO_IF_Ortho_26_04_08_EV1.tif</v>
      </c>
      <c r="D395" s="1" t="str">
        <f t="shared" si="65"/>
        <v>CL_MLP_PAO_IF_Ortho_26_04_08_EV1</v>
      </c>
      <c r="E395" s="1" t="s">
        <v>258</v>
      </c>
      <c r="F395" s="1" t="s">
        <v>460</v>
      </c>
      <c r="G395" s="1" t="s">
        <v>29</v>
      </c>
      <c r="H395" s="16">
        <v>46120</v>
      </c>
      <c r="I395" s="16">
        <v>46135</v>
      </c>
      <c r="J395" s="1" t="s">
        <v>30</v>
      </c>
      <c r="K395" s="2" t="str">
        <f t="shared" si="71"/>
        <v>https://sig.aminerals.cl/imgdyn/rest/services/CL_MLP_PAO/CL_MLP_PAO_IF_Ortho_Geosupport/ImageServer/file?id=.\Chacay_El_Mauro_Drone\26_04\CL_MLP_PAO_IF_Ortho_26_04_08_EV1.tif&amp;rasterId=</v>
      </c>
      <c r="L395" s="1" t="s">
        <v>31</v>
      </c>
      <c r="M395" s="1" t="s">
        <v>32</v>
      </c>
      <c r="N395" s="1" t="s">
        <v>33</v>
      </c>
      <c r="O395" s="1" t="s">
        <v>34</v>
      </c>
      <c r="P395" s="3" t="str">
        <f t="shared" si="73"/>
        <v>08</v>
      </c>
      <c r="Q395" s="3" t="str">
        <f t="shared" si="74"/>
        <v>04</v>
      </c>
      <c r="R395" s="3" t="str">
        <f t="shared" si="75"/>
        <v>26</v>
      </c>
      <c r="S395" s="1" t="s">
        <v>40</v>
      </c>
      <c r="U395" s="1" t="s">
        <v>461</v>
      </c>
      <c r="V395" s="1" t="str">
        <f t="shared" si="76"/>
        <v>EV1</v>
      </c>
      <c r="W395" s="1" t="str">
        <f t="shared" si="79"/>
        <v>EV1</v>
      </c>
      <c r="X395" s="4" t="b">
        <f t="shared" si="77"/>
        <v>1</v>
      </c>
      <c r="Y395" s="1">
        <f>VLOOKUP(D395,'Orden de Imagen'!$A$1:D524,4,FALSE())</f>
        <v>364</v>
      </c>
      <c r="Z395" s="1" t="str">
        <f t="shared" si="78"/>
        <v>364_26_04_08_EV1</v>
      </c>
    </row>
    <row r="396" spans="1:26" x14ac:dyDescent="0.25">
      <c r="A396" s="1">
        <v>404</v>
      </c>
      <c r="B396" s="1" t="s">
        <v>731</v>
      </c>
      <c r="C396" s="1" t="str">
        <f t="shared" si="72"/>
        <v>CL_MLP_PAO_IF_Ortho_26_04_08_TORRES_E35_A_E48.tif</v>
      </c>
      <c r="D396" s="1" t="str">
        <f t="shared" si="65"/>
        <v>CL_MLP_PAO_IF_Ortho_26_04_08_TORRES_E35_A_E48</v>
      </c>
      <c r="E396" s="1" t="s">
        <v>600</v>
      </c>
      <c r="F396" s="1" t="s">
        <v>460</v>
      </c>
      <c r="G396" s="1" t="s">
        <v>29</v>
      </c>
      <c r="H396" s="16">
        <v>46120</v>
      </c>
      <c r="I396" s="16">
        <v>46135</v>
      </c>
      <c r="J396" s="1" t="s">
        <v>30</v>
      </c>
      <c r="K396" s="2" t="str">
        <f t="shared" si="71"/>
        <v>https://sig.aminerals.cl/imgdyn/rest/services/CL_MLP_PAO/CL_MLP_PAO_IF_Ortho_Geosupport/ImageServer/file?id=.\El_Mauro_Drone\26_04\CL_MLP_PAO_IF_Ortho_26_04_08_TORRES_E35_A_E48.tif&amp;rasterId=</v>
      </c>
      <c r="L396" s="1" t="s">
        <v>31</v>
      </c>
      <c r="M396" s="1" t="s">
        <v>32</v>
      </c>
      <c r="N396" s="1" t="s">
        <v>33</v>
      </c>
      <c r="O396" s="1" t="s">
        <v>34</v>
      </c>
      <c r="P396" s="3" t="str">
        <f t="shared" si="73"/>
        <v>08</v>
      </c>
      <c r="Q396" s="3" t="str">
        <f t="shared" si="74"/>
        <v>04</v>
      </c>
      <c r="R396" s="3" t="str">
        <f t="shared" si="75"/>
        <v>26</v>
      </c>
      <c r="S396" s="1" t="s">
        <v>87</v>
      </c>
      <c r="U396" s="1" t="s">
        <v>461</v>
      </c>
      <c r="V396" s="1" t="str">
        <f t="shared" si="76"/>
        <v>TORRES_E35_A_E48</v>
      </c>
      <c r="W396" s="1" t="str">
        <f t="shared" si="79"/>
        <v>TORRES_E35_A_E48</v>
      </c>
      <c r="X396" s="4" t="b">
        <f t="shared" si="77"/>
        <v>1</v>
      </c>
      <c r="Y396" s="1">
        <f>VLOOKUP(D396,'Orden de Imagen'!$A$1:D543,4,FALSE())</f>
        <v>365</v>
      </c>
      <c r="Z396" s="1" t="str">
        <f t="shared" si="78"/>
        <v>365_26_04_08_TORRES_E35_A_E48</v>
      </c>
    </row>
    <row r="397" spans="1:26" x14ac:dyDescent="0.25">
      <c r="A397" s="1">
        <v>405</v>
      </c>
      <c r="B397" s="1" t="s">
        <v>732</v>
      </c>
      <c r="C397" s="1" t="str">
        <f t="shared" si="72"/>
        <v>CL_MLP_PAO_IF_Ortho_26_04_09_EB3.tif</v>
      </c>
      <c r="D397" s="1" t="str">
        <f t="shared" si="65"/>
        <v>CL_MLP_PAO_IF_Ortho_26_04_09_EB3</v>
      </c>
      <c r="E397" s="1" t="s">
        <v>588</v>
      </c>
      <c r="F397" s="1" t="s">
        <v>460</v>
      </c>
      <c r="G397" s="1" t="s">
        <v>29</v>
      </c>
      <c r="H397" s="16">
        <v>46121</v>
      </c>
      <c r="I397" s="16">
        <v>46135</v>
      </c>
      <c r="J397" s="1" t="s">
        <v>30</v>
      </c>
      <c r="K397" s="2" t="str">
        <f t="shared" si="71"/>
        <v>https://sig.aminerals.cl/imgdyn/rest/services/CL_MLP_PAO/CL_MLP_PAO_IF_Ortho_Geosupport/ImageServer/file?id=.\El_Mauro_Drone\26_04\CL_MLP_PAO_IF_Ortho_26_04_09_EB3.tif&amp;rasterId=</v>
      </c>
      <c r="L397" s="1" t="s">
        <v>31</v>
      </c>
      <c r="M397" s="1" t="s">
        <v>32</v>
      </c>
      <c r="N397" s="1" t="s">
        <v>33</v>
      </c>
      <c r="O397" s="1" t="s">
        <v>34</v>
      </c>
      <c r="P397" s="3" t="str">
        <f t="shared" si="73"/>
        <v>09</v>
      </c>
      <c r="Q397" s="3" t="str">
        <f t="shared" si="74"/>
        <v>04</v>
      </c>
      <c r="R397" s="3" t="str">
        <f t="shared" si="75"/>
        <v>26</v>
      </c>
      <c r="S397" s="1" t="s">
        <v>87</v>
      </c>
      <c r="U397" s="1" t="s">
        <v>461</v>
      </c>
      <c r="V397" s="1" t="str">
        <f t="shared" si="76"/>
        <v>EB3</v>
      </c>
      <c r="W397" s="1" t="str">
        <f t="shared" si="79"/>
        <v>EB3</v>
      </c>
      <c r="X397" s="4" t="b">
        <f t="shared" si="77"/>
        <v>1</v>
      </c>
      <c r="Y397" s="1">
        <f>VLOOKUP(D397,'Orden de Imagen'!$A$1:D544,4,FALSE())</f>
        <v>366</v>
      </c>
      <c r="Z397" s="1" t="str">
        <f t="shared" si="78"/>
        <v>366_26_04_09_EB3</v>
      </c>
    </row>
    <row r="398" spans="1:26" x14ac:dyDescent="0.25">
      <c r="A398" s="1">
        <v>386</v>
      </c>
      <c r="B398" s="1" t="s">
        <v>733</v>
      </c>
      <c r="C398" s="1" t="str">
        <f t="shared" si="72"/>
        <v>CL_MLP_PAO_IF_Ortho_26_04_09_ED2.tif</v>
      </c>
      <c r="D398" s="1" t="str">
        <f t="shared" si="65"/>
        <v>CL_MLP_PAO_IF_Ortho_26_04_09_ED2</v>
      </c>
      <c r="E398" s="1" t="s">
        <v>468</v>
      </c>
      <c r="F398" s="1" t="s">
        <v>460</v>
      </c>
      <c r="G398" s="1" t="s">
        <v>29</v>
      </c>
      <c r="H398" s="16">
        <v>46121</v>
      </c>
      <c r="I398" s="16">
        <v>46135</v>
      </c>
      <c r="J398" s="1" t="s">
        <v>30</v>
      </c>
      <c r="K398" s="2" t="str">
        <f t="shared" si="71"/>
        <v>https://sig.aminerals.cl/imgdyn/rest/services/CL_MLP_PAO/CL_MLP_PAO_IF_Ortho_Geosupport/ImageServer/file?id=.\Chacay_El_Mauro_Drone\26_04\CL_MLP_PAO_IF_Ortho_26_04_09_ED2.tif&amp;rasterId=</v>
      </c>
      <c r="L398" s="1" t="s">
        <v>31</v>
      </c>
      <c r="M398" s="1" t="s">
        <v>32</v>
      </c>
      <c r="N398" s="1" t="s">
        <v>33</v>
      </c>
      <c r="O398" s="1" t="s">
        <v>34</v>
      </c>
      <c r="P398" s="3" t="str">
        <f t="shared" si="73"/>
        <v>09</v>
      </c>
      <c r="Q398" s="3" t="str">
        <f t="shared" si="74"/>
        <v>04</v>
      </c>
      <c r="R398" s="3" t="str">
        <f t="shared" si="75"/>
        <v>26</v>
      </c>
      <c r="S398" s="1" t="s">
        <v>40</v>
      </c>
      <c r="U398" s="1" t="s">
        <v>461</v>
      </c>
      <c r="V398" s="1" t="str">
        <f t="shared" si="76"/>
        <v>ED2</v>
      </c>
      <c r="W398" s="1" t="str">
        <f t="shared" si="79"/>
        <v>ED2</v>
      </c>
      <c r="X398" s="4" t="b">
        <f t="shared" si="77"/>
        <v>1</v>
      </c>
      <c r="Y398" s="1">
        <f>VLOOKUP(D398,'Orden de Imagen'!$A$1:D525,4,FALSE())</f>
        <v>367</v>
      </c>
      <c r="Z398" s="1" t="str">
        <f t="shared" si="78"/>
        <v>367_26_04_09_ED2</v>
      </c>
    </row>
    <row r="399" spans="1:26" x14ac:dyDescent="0.25">
      <c r="A399" s="1">
        <v>383</v>
      </c>
      <c r="B399" s="1" t="s">
        <v>734</v>
      </c>
      <c r="C399" s="1" t="str">
        <f t="shared" si="72"/>
        <v>CL_MLP_PAO_IF_Ortho_26_04_09_EM1.tif</v>
      </c>
      <c r="D399" s="1" t="str">
        <f t="shared" ref="D399:D462" si="80">CONCATENATE(L399,"_",M399,"_",G399,"_",N399,"_",O399,"_",R399,"_",Q399,"_",P399,"_",E399)</f>
        <v>CL_MLP_PAO_IF_Ortho_26_04_09_EM1</v>
      </c>
      <c r="E399" s="1" t="s">
        <v>375</v>
      </c>
      <c r="F399" s="1" t="s">
        <v>460</v>
      </c>
      <c r="G399" s="1" t="s">
        <v>29</v>
      </c>
      <c r="H399" s="16">
        <v>46121</v>
      </c>
      <c r="I399" s="16">
        <v>46135</v>
      </c>
      <c r="J399" s="1" t="s">
        <v>30</v>
      </c>
      <c r="K399" s="2" t="str">
        <f t="shared" si="71"/>
        <v>https://sig.aminerals.cl/imgdyn/rest/services/CL_MLP_PAO/CL_MLP_PAO_IF_Ortho_Geosupport/ImageServer/file?id=.\Chacay_Drone\26_04\CL_MLP_PAO_IF_Ortho_26_04_09_EM1.tif&amp;rasterId=</v>
      </c>
      <c r="L399" s="1" t="s">
        <v>31</v>
      </c>
      <c r="M399" s="1" t="s">
        <v>32</v>
      </c>
      <c r="N399" s="1" t="s">
        <v>33</v>
      </c>
      <c r="O399" s="1" t="s">
        <v>34</v>
      </c>
      <c r="P399" s="3" t="str">
        <f t="shared" si="73"/>
        <v>09</v>
      </c>
      <c r="Q399" s="3" t="str">
        <f t="shared" si="74"/>
        <v>04</v>
      </c>
      <c r="R399" s="3" t="str">
        <f t="shared" si="75"/>
        <v>26</v>
      </c>
      <c r="S399" s="1" t="s">
        <v>56</v>
      </c>
      <c r="U399" s="1" t="s">
        <v>461</v>
      </c>
      <c r="V399" s="1" t="str">
        <f t="shared" si="76"/>
        <v>EM1</v>
      </c>
      <c r="W399" s="1" t="str">
        <f t="shared" si="79"/>
        <v>EM1</v>
      </c>
      <c r="X399" s="4" t="b">
        <f t="shared" si="77"/>
        <v>1</v>
      </c>
      <c r="Y399" s="1">
        <f>VLOOKUP(D399,'Orden de Imagen'!$A$1:D522,4,FALSE())</f>
        <v>368</v>
      </c>
      <c r="Z399" s="1" t="str">
        <f t="shared" si="78"/>
        <v>368_26_04_09_EM1</v>
      </c>
    </row>
    <row r="400" spans="1:26" x14ac:dyDescent="0.25">
      <c r="A400" s="1">
        <v>406</v>
      </c>
      <c r="B400" s="1" t="s">
        <v>735</v>
      </c>
      <c r="C400" s="1" t="str">
        <f t="shared" si="72"/>
        <v>CL_MLP_PAO_IF_Ortho_26_04_09_Estacion_Intermedia.tif</v>
      </c>
      <c r="D400" s="1" t="str">
        <f t="shared" si="80"/>
        <v>CL_MLP_PAO_IF_Ortho_26_04_09_Estacion_Intermedia</v>
      </c>
      <c r="E400" s="1" t="s">
        <v>682</v>
      </c>
      <c r="F400" s="1" t="s">
        <v>460</v>
      </c>
      <c r="G400" s="1" t="s">
        <v>29</v>
      </c>
      <c r="H400" s="16">
        <v>46121</v>
      </c>
      <c r="I400" s="16">
        <v>46135</v>
      </c>
      <c r="J400" s="1" t="s">
        <v>30</v>
      </c>
      <c r="K400" s="2" t="str">
        <f t="shared" si="71"/>
        <v>https://sig.aminerals.cl/imgdyn/rest/services/CL_MLP_PAO/CL_MLP_PAO_IF_Ortho_Geosupport/ImageServer/file?id=.\El_Mauro_Drone\26_04\CL_MLP_PAO_IF_Ortho_26_04_09_Estacion_Intermedia.tif&amp;rasterId=</v>
      </c>
      <c r="L400" s="1" t="s">
        <v>31</v>
      </c>
      <c r="M400" s="1" t="s">
        <v>32</v>
      </c>
      <c r="N400" s="1" t="s">
        <v>33</v>
      </c>
      <c r="O400" s="1" t="s">
        <v>34</v>
      </c>
      <c r="P400" s="3" t="str">
        <f t="shared" si="73"/>
        <v>09</v>
      </c>
      <c r="Q400" s="3" t="str">
        <f t="shared" si="74"/>
        <v>04</v>
      </c>
      <c r="R400" s="3" t="str">
        <f t="shared" si="75"/>
        <v>26</v>
      </c>
      <c r="S400" s="1" t="s">
        <v>87</v>
      </c>
      <c r="U400" s="1" t="s">
        <v>461</v>
      </c>
      <c r="V400" s="1" t="str">
        <f t="shared" si="76"/>
        <v>Estacion_Intermedia</v>
      </c>
      <c r="W400" s="1" t="str">
        <f t="shared" si="79"/>
        <v>Estacion_Intermedia</v>
      </c>
      <c r="X400" s="4" t="b">
        <f t="shared" si="77"/>
        <v>1</v>
      </c>
      <c r="Y400" s="1">
        <f>VLOOKUP(D400,'Orden de Imagen'!$A$1:D545,4,FALSE())</f>
        <v>369</v>
      </c>
      <c r="Z400" s="1" t="str">
        <f t="shared" si="78"/>
        <v>369_26_04_09_Estacion_Intermedia</v>
      </c>
    </row>
    <row r="401" spans="1:26" x14ac:dyDescent="0.25">
      <c r="A401" s="1">
        <v>407</v>
      </c>
      <c r="B401" s="1" t="s">
        <v>736</v>
      </c>
      <c r="C401" s="1" t="str">
        <f t="shared" si="72"/>
        <v>CL_MLP_PAO_IF_Ortho_26_04_09_Plataforma_Integrada_El_Mauro.tif</v>
      </c>
      <c r="D401" s="1" t="str">
        <f t="shared" si="80"/>
        <v>CL_MLP_PAO_IF_Ortho_26_04_09_Plataforma_Integrada_El_Mauro</v>
      </c>
      <c r="E401" s="1" t="s">
        <v>459</v>
      </c>
      <c r="F401" s="1" t="s">
        <v>460</v>
      </c>
      <c r="G401" s="1" t="s">
        <v>29</v>
      </c>
      <c r="H401" s="16">
        <v>46121</v>
      </c>
      <c r="I401" s="16">
        <v>46135</v>
      </c>
      <c r="J401" s="1" t="s">
        <v>30</v>
      </c>
      <c r="K401" s="2" t="str">
        <f t="shared" si="71"/>
        <v>https://sig.aminerals.cl/imgdyn/rest/services/CL_MLP_PAO/CL_MLP_PAO_IF_Ortho_Geosupport/ImageServer/file?id=.\El_Mauro_Drone\26_04\CL_MLP_PAO_IF_Ortho_26_04_09_Plataforma_Integrada_El_Mauro.tif&amp;rasterId=</v>
      </c>
      <c r="L401" s="1" t="s">
        <v>31</v>
      </c>
      <c r="M401" s="1" t="s">
        <v>32</v>
      </c>
      <c r="N401" s="1" t="s">
        <v>33</v>
      </c>
      <c r="O401" s="1" t="s">
        <v>34</v>
      </c>
      <c r="P401" s="3" t="str">
        <f t="shared" si="73"/>
        <v>09</v>
      </c>
      <c r="Q401" s="3" t="str">
        <f t="shared" si="74"/>
        <v>04</v>
      </c>
      <c r="R401" s="3" t="str">
        <f t="shared" si="75"/>
        <v>26</v>
      </c>
      <c r="S401" s="1" t="s">
        <v>87</v>
      </c>
      <c r="U401" s="1" t="s">
        <v>461</v>
      </c>
      <c r="V401" s="1" t="str">
        <f t="shared" si="76"/>
        <v>Plataforma_Integrada_El_Mauro</v>
      </c>
      <c r="W401" s="1" t="str">
        <f t="shared" si="79"/>
        <v>Plataforma_Integrada_El_Mauro</v>
      </c>
      <c r="X401" s="4" t="b">
        <f t="shared" si="77"/>
        <v>1</v>
      </c>
      <c r="Y401" s="1">
        <f>VLOOKUP(D401,'Orden de Imagen'!$A$1:D546,4,FALSE())</f>
        <v>370</v>
      </c>
      <c r="Z401" s="1" t="str">
        <f t="shared" si="78"/>
        <v>370_26_04_09_Plataforma_Integrada_El_Mauro</v>
      </c>
    </row>
    <row r="402" spans="1:26" x14ac:dyDescent="0.25">
      <c r="A402" s="1">
        <v>408</v>
      </c>
      <c r="B402" s="1" t="s">
        <v>737</v>
      </c>
      <c r="C402" s="1" t="str">
        <f t="shared" si="72"/>
        <v>CL_MLP_PAO_IF_Ortho_26_04_09_Subestacion-El-Mauro.tif</v>
      </c>
      <c r="D402" s="1" t="str">
        <f t="shared" si="80"/>
        <v>CL_MLP_PAO_IF_Ortho_26_04_09_Subestacion-El-Mauro</v>
      </c>
      <c r="E402" s="1" t="s">
        <v>90</v>
      </c>
      <c r="F402" s="1" t="s">
        <v>460</v>
      </c>
      <c r="G402" s="1" t="s">
        <v>29</v>
      </c>
      <c r="H402" s="16">
        <v>46121</v>
      </c>
      <c r="I402" s="16">
        <v>46135</v>
      </c>
      <c r="J402" s="1" t="s">
        <v>30</v>
      </c>
      <c r="K402" s="2" t="str">
        <f t="shared" si="71"/>
        <v>https://sig.aminerals.cl/imgdyn/rest/services/CL_MLP_PAO/CL_MLP_PAO_IF_Ortho_Geosupport/ImageServer/file?id=.\El_Mauro_Drone\26_04\CL_MLP_PAO_IF_Ortho_26_04_09_Subestacion-El-Mauro.tif&amp;rasterId=</v>
      </c>
      <c r="L402" s="1" t="s">
        <v>31</v>
      </c>
      <c r="M402" s="1" t="s">
        <v>32</v>
      </c>
      <c r="N402" s="1" t="s">
        <v>33</v>
      </c>
      <c r="O402" s="1" t="s">
        <v>34</v>
      </c>
      <c r="P402" s="3" t="str">
        <f t="shared" si="73"/>
        <v>09</v>
      </c>
      <c r="Q402" s="3" t="str">
        <f t="shared" si="74"/>
        <v>04</v>
      </c>
      <c r="R402" s="3" t="str">
        <f t="shared" si="75"/>
        <v>26</v>
      </c>
      <c r="S402" s="1" t="s">
        <v>87</v>
      </c>
      <c r="U402" s="1" t="s">
        <v>461</v>
      </c>
      <c r="V402" s="1" t="str">
        <f t="shared" si="76"/>
        <v>Subestacion-El-Mauro</v>
      </c>
      <c r="W402" s="1" t="str">
        <f t="shared" si="79"/>
        <v>Subestacion-El-Mauro</v>
      </c>
      <c r="X402" s="4" t="b">
        <f t="shared" si="77"/>
        <v>1</v>
      </c>
      <c r="Y402" s="1">
        <f>VLOOKUP(D402,'Orden de Imagen'!$A$1:D547,4,FALSE())</f>
        <v>371</v>
      </c>
      <c r="Z402" s="1" t="str">
        <f t="shared" si="78"/>
        <v>371_26_04_09_Subestacion-El-Mauro</v>
      </c>
    </row>
    <row r="403" spans="1:26" x14ac:dyDescent="0.25">
      <c r="A403" s="1">
        <v>409</v>
      </c>
      <c r="B403" s="1" t="s">
        <v>738</v>
      </c>
      <c r="C403" s="1" t="str">
        <f t="shared" si="72"/>
        <v>CL_MLP_PAO_IF_Ortho_26_04_09_Subestacion-El-Mauro_A_E35.tif</v>
      </c>
      <c r="D403" s="1" t="str">
        <f t="shared" si="80"/>
        <v>CL_MLP_PAO_IF_Ortho_26_04_09_Subestacion-El-Mauro_A_E35</v>
      </c>
      <c r="E403" s="1" t="s">
        <v>604</v>
      </c>
      <c r="F403" s="1" t="s">
        <v>460</v>
      </c>
      <c r="G403" s="1" t="s">
        <v>29</v>
      </c>
      <c r="H403" s="16">
        <v>46121</v>
      </c>
      <c r="I403" s="16">
        <v>46135</v>
      </c>
      <c r="J403" s="1" t="s">
        <v>30</v>
      </c>
      <c r="K403" s="2" t="str">
        <f t="shared" si="71"/>
        <v>https://sig.aminerals.cl/imgdyn/rest/services/CL_MLP_PAO/CL_MLP_PAO_IF_Ortho_Geosupport/ImageServer/file?id=.\El_Mauro_Drone\26_04\CL_MLP_PAO_IF_Ortho_26_04_09_Subestacion-El-Mauro_A_E35.tif&amp;rasterId=</v>
      </c>
      <c r="L403" s="1" t="s">
        <v>31</v>
      </c>
      <c r="M403" s="1" t="s">
        <v>32</v>
      </c>
      <c r="N403" s="1" t="s">
        <v>33</v>
      </c>
      <c r="O403" s="1" t="s">
        <v>34</v>
      </c>
      <c r="P403" s="3" t="str">
        <f t="shared" si="73"/>
        <v>09</v>
      </c>
      <c r="Q403" s="3" t="str">
        <f t="shared" si="74"/>
        <v>04</v>
      </c>
      <c r="R403" s="3" t="str">
        <f t="shared" si="75"/>
        <v>26</v>
      </c>
      <c r="S403" s="1" t="s">
        <v>87</v>
      </c>
      <c r="U403" s="1" t="s">
        <v>461</v>
      </c>
      <c r="V403" s="1" t="str">
        <f t="shared" si="76"/>
        <v>Subestacion-El-Mauro_A_E35</v>
      </c>
      <c r="W403" s="1" t="str">
        <f t="shared" si="79"/>
        <v>Subestacion-El-Mauro_A_E35</v>
      </c>
      <c r="X403" s="4" t="b">
        <f t="shared" si="77"/>
        <v>1</v>
      </c>
      <c r="Y403" s="1">
        <f>VLOOKUP(D403,'Orden de Imagen'!$A$1:D548,4,FALSE())</f>
        <v>372</v>
      </c>
      <c r="Z403" s="1" t="str">
        <f t="shared" si="78"/>
        <v>372_26_04_09_Subestacion-El-Mauro_A_E35</v>
      </c>
    </row>
    <row r="404" spans="1:26" x14ac:dyDescent="0.25">
      <c r="A404" s="1">
        <v>410</v>
      </c>
      <c r="B404" s="1" t="s">
        <v>739</v>
      </c>
      <c r="C404" s="1" t="str">
        <f t="shared" si="72"/>
        <v>CL_MLP_PAO_IF_Ortho_26_04_10_EBD.tif</v>
      </c>
      <c r="D404" s="1" t="str">
        <f t="shared" si="80"/>
        <v>CL_MLP_PAO_IF_Ortho_26_04_10_EBD</v>
      </c>
      <c r="E404" s="1" t="s">
        <v>608</v>
      </c>
      <c r="F404" s="1" t="s">
        <v>460</v>
      </c>
      <c r="G404" s="1" t="s">
        <v>29</v>
      </c>
      <c r="H404" s="16">
        <v>46122</v>
      </c>
      <c r="I404" s="16">
        <v>46135</v>
      </c>
      <c r="J404" s="1" t="s">
        <v>30</v>
      </c>
      <c r="K404" s="2" t="str">
        <f t="shared" si="71"/>
        <v>https://sig.aminerals.cl/imgdyn/rest/services/CL_MLP_PAO/CL_MLP_PAO_IF_Ortho_Geosupport/ImageServer/file?id=.\El_Mauro_Drone\26_04\CL_MLP_PAO_IF_Ortho_26_04_10_EBD.tif&amp;rasterId=</v>
      </c>
      <c r="L404" s="1" t="s">
        <v>31</v>
      </c>
      <c r="M404" s="1" t="s">
        <v>32</v>
      </c>
      <c r="N404" s="1" t="s">
        <v>33</v>
      </c>
      <c r="O404" s="1" t="s">
        <v>34</v>
      </c>
      <c r="P404" s="3" t="str">
        <f t="shared" si="73"/>
        <v>10</v>
      </c>
      <c r="Q404" s="3" t="str">
        <f t="shared" si="74"/>
        <v>04</v>
      </c>
      <c r="R404" s="3" t="str">
        <f t="shared" si="75"/>
        <v>26</v>
      </c>
      <c r="S404" s="1" t="s">
        <v>87</v>
      </c>
      <c r="U404" s="1" t="s">
        <v>461</v>
      </c>
      <c r="V404" s="1" t="str">
        <f t="shared" si="76"/>
        <v>EBD</v>
      </c>
      <c r="W404" s="1" t="str">
        <f t="shared" si="79"/>
        <v>EBD</v>
      </c>
      <c r="X404" s="4" t="b">
        <f t="shared" si="77"/>
        <v>1</v>
      </c>
      <c r="Y404" s="1">
        <f>VLOOKUP(D404,'Orden de Imagen'!$A$1:D549,4,FALSE())</f>
        <v>373</v>
      </c>
      <c r="Z404" s="1" t="str">
        <f t="shared" si="78"/>
        <v>373_26_04_10_EBD</v>
      </c>
    </row>
    <row r="405" spans="1:26" x14ac:dyDescent="0.25">
      <c r="A405" s="1">
        <v>384</v>
      </c>
      <c r="B405" s="1" t="s">
        <v>740</v>
      </c>
      <c r="C405" s="1" t="str">
        <f t="shared" si="72"/>
        <v>CL_MLP_PAO_IF_Ortho_26_04_10_Estacion_Cabecera.tif</v>
      </c>
      <c r="D405" s="1" t="str">
        <f t="shared" si="80"/>
        <v>CL_MLP_PAO_IF_Ortho_26_04_10_Estacion_Cabecera</v>
      </c>
      <c r="E405" s="1" t="s">
        <v>680</v>
      </c>
      <c r="F405" s="1" t="s">
        <v>460</v>
      </c>
      <c r="G405" s="1" t="s">
        <v>29</v>
      </c>
      <c r="H405" s="16">
        <v>46122</v>
      </c>
      <c r="I405" s="16">
        <v>46135</v>
      </c>
      <c r="J405" s="1" t="s">
        <v>30</v>
      </c>
      <c r="K405" s="2" t="str">
        <f t="shared" si="71"/>
        <v>https://sig.aminerals.cl/imgdyn/rest/services/CL_MLP_PAO/CL_MLP_PAO_IF_Ortho_Geosupport/ImageServer/file?id=.\Chacay_Drone\26_04\CL_MLP_PAO_IF_Ortho_26_04_10_Estacion_Cabecera.tif&amp;rasterId=</v>
      </c>
      <c r="L405" s="1" t="s">
        <v>31</v>
      </c>
      <c r="M405" s="1" t="s">
        <v>32</v>
      </c>
      <c r="N405" s="1" t="s">
        <v>33</v>
      </c>
      <c r="O405" s="1" t="s">
        <v>34</v>
      </c>
      <c r="P405" s="3" t="str">
        <f t="shared" si="73"/>
        <v>10</v>
      </c>
      <c r="Q405" s="3" t="str">
        <f t="shared" si="74"/>
        <v>04</v>
      </c>
      <c r="R405" s="3" t="str">
        <f t="shared" si="75"/>
        <v>26</v>
      </c>
      <c r="S405" s="1" t="s">
        <v>56</v>
      </c>
      <c r="U405" s="1" t="s">
        <v>461</v>
      </c>
      <c r="V405" s="1" t="str">
        <f t="shared" si="76"/>
        <v>Estacion_Cabecera</v>
      </c>
      <c r="W405" s="1" t="str">
        <f t="shared" si="79"/>
        <v>Estacion_Cabecera</v>
      </c>
      <c r="X405" s="4" t="b">
        <f t="shared" si="77"/>
        <v>1</v>
      </c>
      <c r="Y405" s="1">
        <f>VLOOKUP(D405,'Orden de Imagen'!$A$1:D523,4,FALSE())</f>
        <v>374</v>
      </c>
      <c r="Z405" s="1" t="str">
        <f t="shared" si="78"/>
        <v>374_26_04_10_Estacion_Cabecera</v>
      </c>
    </row>
    <row r="406" spans="1:26" x14ac:dyDescent="0.25">
      <c r="A406" s="1">
        <v>411</v>
      </c>
      <c r="B406" s="1" t="s">
        <v>741</v>
      </c>
      <c r="C406" s="1" t="str">
        <f t="shared" si="72"/>
        <v>CL_MLP_PAO_IF_Ortho_26_04_10_Helipuerto.tif</v>
      </c>
      <c r="D406" s="1" t="str">
        <f t="shared" si="80"/>
        <v>CL_MLP_PAO_IF_Ortho_26_04_10_Helipuerto</v>
      </c>
      <c r="E406" s="1" t="s">
        <v>685</v>
      </c>
      <c r="F406" s="1" t="s">
        <v>460</v>
      </c>
      <c r="G406" s="1" t="s">
        <v>29</v>
      </c>
      <c r="H406" s="16">
        <v>46122</v>
      </c>
      <c r="I406" s="16">
        <v>46135</v>
      </c>
      <c r="J406" s="1" t="s">
        <v>30</v>
      </c>
      <c r="K406" s="2" t="str">
        <f t="shared" si="71"/>
        <v>https://sig.aminerals.cl/imgdyn/rest/services/CL_MLP_PAO/CL_MLP_PAO_IF_Ortho_Geosupport/ImageServer/file?id=.\El_Mauro_Drone\26_04\CL_MLP_PAO_IF_Ortho_26_04_10_Helipuerto.tif&amp;rasterId=</v>
      </c>
      <c r="L406" s="1" t="s">
        <v>31</v>
      </c>
      <c r="M406" s="1" t="s">
        <v>32</v>
      </c>
      <c r="N406" s="1" t="s">
        <v>33</v>
      </c>
      <c r="O406" s="1" t="s">
        <v>34</v>
      </c>
      <c r="P406" s="3" t="str">
        <f t="shared" si="73"/>
        <v>10</v>
      </c>
      <c r="Q406" s="3" t="str">
        <f t="shared" si="74"/>
        <v>04</v>
      </c>
      <c r="R406" s="3" t="str">
        <f t="shared" si="75"/>
        <v>26</v>
      </c>
      <c r="S406" s="1" t="s">
        <v>87</v>
      </c>
      <c r="U406" s="1" t="s">
        <v>461</v>
      </c>
      <c r="V406" s="1" t="str">
        <f t="shared" si="76"/>
        <v>Helipuerto</v>
      </c>
      <c r="W406" s="1" t="str">
        <f t="shared" si="79"/>
        <v>Helipuerto</v>
      </c>
      <c r="X406" s="4" t="b">
        <f t="shared" si="77"/>
        <v>1</v>
      </c>
      <c r="Y406" s="1">
        <f>VLOOKUP(D406,'Orden de Imagen'!$A$1:D550,4,FALSE())</f>
        <v>375</v>
      </c>
      <c r="Z406" s="1" t="str">
        <f t="shared" si="78"/>
        <v>375_26_04_10_Helipuerto</v>
      </c>
    </row>
    <row r="407" spans="1:26" x14ac:dyDescent="0.25">
      <c r="A407" s="1">
        <v>412</v>
      </c>
      <c r="B407" s="1" t="s">
        <v>742</v>
      </c>
      <c r="C407" s="1" t="str">
        <f t="shared" si="72"/>
        <v>CL_MLP_PAO_IF_Ortho_26_04_10_Patio-19B-y-Armado.tif</v>
      </c>
      <c r="D407" s="1" t="str">
        <f t="shared" si="80"/>
        <v>CL_MLP_PAO_IF_Ortho_26_04_10_Patio-19B-y-Armado</v>
      </c>
      <c r="E407" s="1" t="s">
        <v>472</v>
      </c>
      <c r="F407" s="1" t="s">
        <v>460</v>
      </c>
      <c r="G407" s="1" t="s">
        <v>29</v>
      </c>
      <c r="H407" s="16">
        <v>46122</v>
      </c>
      <c r="I407" s="16">
        <v>46135</v>
      </c>
      <c r="J407" s="1" t="s">
        <v>30</v>
      </c>
      <c r="K407" s="2" t="str">
        <f t="shared" si="71"/>
        <v>https://sig.aminerals.cl/imgdyn/rest/services/CL_MLP_PAO/CL_MLP_PAO_IF_Ortho_Geosupport/ImageServer/file?id=.\El_Mauro_Drone\26_04\CL_MLP_PAO_IF_Ortho_26_04_10_Patio-19B-y-Armado.tif&amp;rasterId=</v>
      </c>
      <c r="L407" s="1" t="s">
        <v>31</v>
      </c>
      <c r="M407" s="1" t="s">
        <v>32</v>
      </c>
      <c r="N407" s="1" t="s">
        <v>33</v>
      </c>
      <c r="O407" s="1" t="s">
        <v>34</v>
      </c>
      <c r="P407" s="3" t="str">
        <f t="shared" si="73"/>
        <v>10</v>
      </c>
      <c r="Q407" s="3" t="str">
        <f t="shared" si="74"/>
        <v>04</v>
      </c>
      <c r="R407" s="3" t="str">
        <f t="shared" si="75"/>
        <v>26</v>
      </c>
      <c r="S407" s="1" t="s">
        <v>87</v>
      </c>
      <c r="U407" s="1" t="s">
        <v>461</v>
      </c>
      <c r="V407" s="1" t="str">
        <f t="shared" si="76"/>
        <v>Patio-19B-y-Armado</v>
      </c>
      <c r="W407" s="1" t="str">
        <f t="shared" si="79"/>
        <v>Patio-19B-y-Armado</v>
      </c>
      <c r="X407" s="4" t="b">
        <f t="shared" si="77"/>
        <v>1</v>
      </c>
      <c r="Y407" s="1">
        <f>VLOOKUP(D407,'Orden de Imagen'!$A$1:D551,4,FALSE())</f>
        <v>376</v>
      </c>
      <c r="Z407" s="1" t="str">
        <f t="shared" si="78"/>
        <v>376_26_04_10_Patio-19B-y-Armado</v>
      </c>
    </row>
    <row r="408" spans="1:26" x14ac:dyDescent="0.25">
      <c r="A408" s="1">
        <v>413</v>
      </c>
      <c r="B408" s="1" t="s">
        <v>743</v>
      </c>
      <c r="C408" s="1" t="str">
        <f t="shared" si="72"/>
        <v>CL_MLP_PAO_IF_Ortho_26_04_10_Pozos_PRP.tif</v>
      </c>
      <c r="D408" s="1" t="str">
        <f t="shared" si="80"/>
        <v>CL_MLP_PAO_IF_Ortho_26_04_10_Pozos_PRP</v>
      </c>
      <c r="E408" s="1" t="s">
        <v>675</v>
      </c>
      <c r="F408" s="1" t="s">
        <v>460</v>
      </c>
      <c r="G408" s="1" t="s">
        <v>29</v>
      </c>
      <c r="H408" s="16">
        <v>46122</v>
      </c>
      <c r="I408" s="16">
        <v>46135</v>
      </c>
      <c r="J408" s="1" t="s">
        <v>30</v>
      </c>
      <c r="K408" s="2" t="str">
        <f t="shared" si="71"/>
        <v>https://sig.aminerals.cl/imgdyn/rest/services/CL_MLP_PAO/CL_MLP_PAO_IF_Ortho_Geosupport/ImageServer/file?id=.\El_Mauro_Drone\26_04\CL_MLP_PAO_IF_Ortho_26_04_10_Pozos_PRP.tif&amp;rasterId=</v>
      </c>
      <c r="L408" s="1" t="s">
        <v>31</v>
      </c>
      <c r="M408" s="1" t="s">
        <v>32</v>
      </c>
      <c r="N408" s="1" t="s">
        <v>33</v>
      </c>
      <c r="O408" s="1" t="s">
        <v>34</v>
      </c>
      <c r="P408" s="3" t="str">
        <f t="shared" si="73"/>
        <v>10</v>
      </c>
      <c r="Q408" s="3" t="str">
        <f t="shared" si="74"/>
        <v>04</v>
      </c>
      <c r="R408" s="3" t="str">
        <f t="shared" si="75"/>
        <v>26</v>
      </c>
      <c r="S408" s="1" t="s">
        <v>87</v>
      </c>
      <c r="U408" s="1" t="s">
        <v>461</v>
      </c>
      <c r="V408" s="1" t="str">
        <f t="shared" si="76"/>
        <v>Pozos_PRP</v>
      </c>
      <c r="W408" s="1" t="str">
        <f t="shared" si="79"/>
        <v>Pozos_PRP</v>
      </c>
      <c r="X408" s="4" t="b">
        <f t="shared" si="77"/>
        <v>1</v>
      </c>
      <c r="Y408" s="1">
        <f>VLOOKUP(D408,'Orden de Imagen'!$A$1:D552,4,FALSE())</f>
        <v>377</v>
      </c>
      <c r="Z408" s="1" t="str">
        <f t="shared" si="78"/>
        <v>377_26_04_10_Pozos_PRP</v>
      </c>
    </row>
    <row r="409" spans="1:26" x14ac:dyDescent="0.25">
      <c r="A409" s="1">
        <v>418</v>
      </c>
      <c r="B409" s="1" t="s">
        <v>744</v>
      </c>
      <c r="C409" s="1" t="str">
        <f t="shared" si="72"/>
        <v>CL_MLP_PAO_IF_Ortho_26_04_10_TORRES_E48_A_E84_PV4.tif</v>
      </c>
      <c r="D409" s="1" t="str">
        <f t="shared" si="80"/>
        <v>CL_MLP_PAO_IF_Ortho_26_04_10_TORRES_E48_A_E84_PV4</v>
      </c>
      <c r="E409" s="1" t="s">
        <v>566</v>
      </c>
      <c r="F409" s="1" t="s">
        <v>460</v>
      </c>
      <c r="G409" s="1" t="s">
        <v>29</v>
      </c>
      <c r="H409" s="16">
        <v>46122</v>
      </c>
      <c r="I409" s="16">
        <v>46135</v>
      </c>
      <c r="J409" s="1" t="s">
        <v>30</v>
      </c>
      <c r="K409" s="2" t="str">
        <f t="shared" si="71"/>
        <v>https://sig.aminerals.cl/imgdyn/rest/services/CL_MLP_PAO/CL_MLP_PAO_IF_Ortho_Geosupport/ImageServer/file?id=.\El_Mauro_Puerto_Punta_Chungo_Drone\26_04\CL_MLP_PAO_IF_Ortho_26_04_10_TORRES_E48_A_E84_PV4.tif&amp;rasterId=</v>
      </c>
      <c r="L409" s="1" t="s">
        <v>31</v>
      </c>
      <c r="M409" s="1" t="s">
        <v>32</v>
      </c>
      <c r="N409" s="1" t="s">
        <v>33</v>
      </c>
      <c r="O409" s="1" t="s">
        <v>34</v>
      </c>
      <c r="P409" s="3" t="str">
        <f t="shared" si="73"/>
        <v>10</v>
      </c>
      <c r="Q409" s="3" t="str">
        <f t="shared" si="74"/>
        <v>04</v>
      </c>
      <c r="R409" s="3" t="str">
        <f t="shared" si="75"/>
        <v>26</v>
      </c>
      <c r="S409" s="1" t="s">
        <v>50</v>
      </c>
      <c r="U409" s="1" t="s">
        <v>461</v>
      </c>
      <c r="V409" s="1" t="str">
        <f t="shared" si="76"/>
        <v>TORRES_E48_A_E84_PV4</v>
      </c>
      <c r="W409" s="1" t="str">
        <f t="shared" si="79"/>
        <v>TORRES_E48_A_E84_PV4</v>
      </c>
      <c r="X409" s="4" t="b">
        <f t="shared" si="77"/>
        <v>1</v>
      </c>
      <c r="Y409" s="1">
        <f>VLOOKUP(D409,'Orden de Imagen'!$A$1:D557,4,FALSE())</f>
        <v>378</v>
      </c>
      <c r="Z409" s="1" t="str">
        <f t="shared" si="78"/>
        <v>378_26_04_10_TORRES_E48_A_E84_PV4</v>
      </c>
    </row>
    <row r="410" spans="1:26" x14ac:dyDescent="0.25">
      <c r="A410" s="1">
        <v>414</v>
      </c>
      <c r="B410" s="1" t="s">
        <v>745</v>
      </c>
      <c r="C410" s="1" t="str">
        <f t="shared" si="72"/>
        <v>CL_MLP_PAO_IF_Ortho_26_04_11_Camino_Alternativo_Salamanca.tif</v>
      </c>
      <c r="D410" s="1" t="str">
        <f t="shared" si="80"/>
        <v>CL_MLP_PAO_IF_Ortho_26_04_11_Camino_Alternativo_Salamanca</v>
      </c>
      <c r="E410" s="1" t="s">
        <v>660</v>
      </c>
      <c r="F410" s="1" t="s">
        <v>460</v>
      </c>
      <c r="G410" s="1" t="s">
        <v>29</v>
      </c>
      <c r="H410" s="16">
        <v>46123</v>
      </c>
      <c r="I410" s="16">
        <v>46135</v>
      </c>
      <c r="J410" s="1" t="s">
        <v>30</v>
      </c>
      <c r="K410" s="2" t="str">
        <f t="shared" si="71"/>
        <v>https://sig.aminerals.cl/imgdyn/rest/services/CL_MLP_PAO/CL_MLP_PAO_IF_Ortho_Geosupport/ImageServer/file?id=.\El_Mauro_Drone\26_04\CL_MLP_PAO_IF_Ortho_26_04_11_Camino_Alternativo_Salamanca.tif&amp;rasterId=</v>
      </c>
      <c r="L410" s="1" t="s">
        <v>31</v>
      </c>
      <c r="M410" s="1" t="s">
        <v>32</v>
      </c>
      <c r="N410" s="1" t="s">
        <v>33</v>
      </c>
      <c r="O410" s="1" t="s">
        <v>34</v>
      </c>
      <c r="P410" s="3" t="str">
        <f t="shared" si="73"/>
        <v>11</v>
      </c>
      <c r="Q410" s="3" t="str">
        <f t="shared" si="74"/>
        <v>04</v>
      </c>
      <c r="R410" s="3" t="str">
        <f t="shared" si="75"/>
        <v>26</v>
      </c>
      <c r="S410" s="1" t="s">
        <v>87</v>
      </c>
      <c r="U410" s="1" t="s">
        <v>461</v>
      </c>
      <c r="V410" s="1" t="str">
        <f t="shared" si="76"/>
        <v>Camino_Alternativo_Salamanca</v>
      </c>
      <c r="W410" s="1" t="str">
        <f t="shared" si="79"/>
        <v>Camino_Alternativo_Salamanca</v>
      </c>
      <c r="X410" s="4" t="b">
        <f t="shared" si="77"/>
        <v>1</v>
      </c>
      <c r="Y410" s="1">
        <f>VLOOKUP(D410,'Orden de Imagen'!$A$1:D553,4,FALSE())</f>
        <v>379</v>
      </c>
      <c r="Z410" s="1" t="str">
        <f t="shared" si="78"/>
        <v>379_26_04_11_Camino_Alternativo_Salamanca</v>
      </c>
    </row>
    <row r="411" spans="1:26" x14ac:dyDescent="0.25">
      <c r="A411" s="1">
        <v>422</v>
      </c>
      <c r="B411" s="1" t="s">
        <v>746</v>
      </c>
      <c r="C411" s="1" t="str">
        <f t="shared" si="72"/>
        <v>CL_MLP_PAO_IF_Ortho_26_04_11_EDT.tif</v>
      </c>
      <c r="D411" s="1" t="str">
        <f t="shared" si="80"/>
        <v>CL_MLP_PAO_IF_Ortho_26_04_11_EDT</v>
      </c>
      <c r="E411" s="1" t="s">
        <v>140</v>
      </c>
      <c r="F411" s="1" t="s">
        <v>460</v>
      </c>
      <c r="G411" s="1" t="s">
        <v>29</v>
      </c>
      <c r="H411" s="16">
        <v>46123</v>
      </c>
      <c r="I411" s="16">
        <v>46135</v>
      </c>
      <c r="J411" s="1" t="s">
        <v>30</v>
      </c>
      <c r="K411" s="2" t="str">
        <f t="shared" si="71"/>
        <v>https://sig.aminerals.cl/imgdyn/rest/services/CL_MLP_PAO/CL_MLP_PAO_IF_Ortho_Geosupport/ImageServer/file?id=.\Puerto_Punta_Chungo_Drone\26_04\CL_MLP_PAO_IF_Ortho_26_04_11_EDT.tif&amp;rasterId=</v>
      </c>
      <c r="L411" s="1" t="s">
        <v>31</v>
      </c>
      <c r="M411" s="1" t="s">
        <v>32</v>
      </c>
      <c r="N411" s="1" t="s">
        <v>33</v>
      </c>
      <c r="O411" s="1" t="s">
        <v>34</v>
      </c>
      <c r="P411" s="3" t="str">
        <f t="shared" si="73"/>
        <v>11</v>
      </c>
      <c r="Q411" s="3" t="str">
        <f t="shared" si="74"/>
        <v>04</v>
      </c>
      <c r="R411" s="3" t="str">
        <f t="shared" si="75"/>
        <v>26</v>
      </c>
      <c r="S411" s="1" t="s">
        <v>35</v>
      </c>
      <c r="U411" s="1" t="s">
        <v>461</v>
      </c>
      <c r="V411" s="1" t="str">
        <f t="shared" si="76"/>
        <v>EDT</v>
      </c>
      <c r="W411" s="1" t="str">
        <f t="shared" si="79"/>
        <v>EDT</v>
      </c>
      <c r="X411" s="4" t="b">
        <f t="shared" si="77"/>
        <v>1</v>
      </c>
      <c r="Y411" s="1">
        <f>VLOOKUP(D411,'Orden de Imagen'!$A$1:D561,4,FALSE())</f>
        <v>380</v>
      </c>
      <c r="Z411" s="1" t="str">
        <f t="shared" si="78"/>
        <v>380_26_04_11_EDT</v>
      </c>
    </row>
    <row r="412" spans="1:26" x14ac:dyDescent="0.25">
      <c r="A412" s="1">
        <v>387</v>
      </c>
      <c r="B412" s="1" t="s">
        <v>747</v>
      </c>
      <c r="C412" s="1" t="str">
        <f t="shared" si="72"/>
        <v>CL_MLP_PAO_IF_Ortho_26_04_11_EM2_S2.tif</v>
      </c>
      <c r="D412" s="1" t="str">
        <f t="shared" si="80"/>
        <v>CL_MLP_PAO_IF_Ortho_26_04_11_EM2_S2</v>
      </c>
      <c r="E412" s="1" t="s">
        <v>649</v>
      </c>
      <c r="F412" s="1" t="s">
        <v>460</v>
      </c>
      <c r="G412" s="1" t="s">
        <v>29</v>
      </c>
      <c r="H412" s="16">
        <v>46123</v>
      </c>
      <c r="I412" s="16">
        <v>46135</v>
      </c>
      <c r="J412" s="1" t="s">
        <v>30</v>
      </c>
      <c r="K412" s="2" t="str">
        <f t="shared" si="71"/>
        <v>https://sig.aminerals.cl/imgdyn/rest/services/CL_MLP_PAO/CL_MLP_PAO_IF_Ortho_Geosupport/ImageServer/file?id=.\Chacay_El_Mauro_Drone\26_04\CL_MLP_PAO_IF_Ortho_26_04_11_EM2_S2.tif&amp;rasterId=</v>
      </c>
      <c r="L412" s="1" t="s">
        <v>31</v>
      </c>
      <c r="M412" s="1" t="s">
        <v>32</v>
      </c>
      <c r="N412" s="1" t="s">
        <v>33</v>
      </c>
      <c r="O412" s="1" t="s">
        <v>34</v>
      </c>
      <c r="P412" s="3" t="str">
        <f t="shared" si="73"/>
        <v>11</v>
      </c>
      <c r="Q412" s="3" t="str">
        <f t="shared" si="74"/>
        <v>04</v>
      </c>
      <c r="R412" s="3" t="str">
        <f t="shared" si="75"/>
        <v>26</v>
      </c>
      <c r="S412" s="1" t="s">
        <v>40</v>
      </c>
      <c r="U412" s="1" t="s">
        <v>461</v>
      </c>
      <c r="V412" s="1" t="str">
        <f t="shared" si="76"/>
        <v>EM2_S2</v>
      </c>
      <c r="W412" s="1" t="str">
        <f t="shared" si="79"/>
        <v>EM2_S2</v>
      </c>
      <c r="X412" s="4" t="b">
        <f t="shared" si="77"/>
        <v>1</v>
      </c>
      <c r="Y412" s="1">
        <f>VLOOKUP(D412,'Orden de Imagen'!$A$1:D526,4,FALSE())</f>
        <v>381</v>
      </c>
      <c r="Z412" s="1" t="str">
        <f t="shared" si="78"/>
        <v>381_26_04_11_EM2_S2</v>
      </c>
    </row>
    <row r="413" spans="1:26" x14ac:dyDescent="0.25">
      <c r="A413" s="1">
        <v>388</v>
      </c>
      <c r="B413" s="1" t="s">
        <v>748</v>
      </c>
      <c r="C413" s="1" t="str">
        <f t="shared" si="72"/>
        <v>CL_MLP_PAO_IF_Ortho_26_04_11_EM3.tif</v>
      </c>
      <c r="D413" s="1" t="str">
        <f t="shared" si="80"/>
        <v>CL_MLP_PAO_IF_Ortho_26_04_11_EM3</v>
      </c>
      <c r="E413" s="1" t="s">
        <v>203</v>
      </c>
      <c r="F413" s="1" t="s">
        <v>460</v>
      </c>
      <c r="G413" s="1" t="s">
        <v>29</v>
      </c>
      <c r="H413" s="16">
        <v>46123</v>
      </c>
      <c r="I413" s="16">
        <v>46135</v>
      </c>
      <c r="J413" s="1" t="s">
        <v>30</v>
      </c>
      <c r="K413" s="2" t="str">
        <f t="shared" si="71"/>
        <v>https://sig.aminerals.cl/imgdyn/rest/services/CL_MLP_PAO/CL_MLP_PAO_IF_Ortho_Geosupport/ImageServer/file?id=.\Chacay_El_Mauro_Drone\26_04\CL_MLP_PAO_IF_Ortho_26_04_11_EM3.tif&amp;rasterId=</v>
      </c>
      <c r="L413" s="1" t="s">
        <v>31</v>
      </c>
      <c r="M413" s="1" t="s">
        <v>32</v>
      </c>
      <c r="N413" s="1" t="s">
        <v>33</v>
      </c>
      <c r="O413" s="1" t="s">
        <v>34</v>
      </c>
      <c r="P413" s="3" t="str">
        <f t="shared" si="73"/>
        <v>11</v>
      </c>
      <c r="Q413" s="3" t="str">
        <f t="shared" si="74"/>
        <v>04</v>
      </c>
      <c r="R413" s="3" t="str">
        <f t="shared" si="75"/>
        <v>26</v>
      </c>
      <c r="S413" s="1" t="s">
        <v>40</v>
      </c>
      <c r="U413" s="1" t="s">
        <v>461</v>
      </c>
      <c r="V413" s="1" t="str">
        <f t="shared" si="76"/>
        <v>EM3</v>
      </c>
      <c r="W413" s="1" t="str">
        <f t="shared" si="79"/>
        <v>EM3</v>
      </c>
      <c r="X413" s="4" t="b">
        <f t="shared" si="77"/>
        <v>1</v>
      </c>
      <c r="Y413" s="1">
        <f>VLOOKUP(D413,'Orden de Imagen'!$A$1:D527,4,FALSE())</f>
        <v>382</v>
      </c>
      <c r="Z413" s="1" t="str">
        <f t="shared" si="78"/>
        <v>382_26_04_11_EM3</v>
      </c>
    </row>
    <row r="414" spans="1:26" x14ac:dyDescent="0.25">
      <c r="A414" s="1">
        <v>419</v>
      </c>
      <c r="B414" s="1" t="s">
        <v>749</v>
      </c>
      <c r="C414" s="1" t="str">
        <f t="shared" si="72"/>
        <v>CL_MLP_PAO_IF_Ortho_26_04_11_MonteAranda-NSTC-Km-84p2-a-82p3.tif</v>
      </c>
      <c r="D414" s="1" t="str">
        <f t="shared" si="80"/>
        <v>CL_MLP_PAO_IF_Ortho_26_04_11_MonteAranda-NSTC-Km-84p2-a-82p3</v>
      </c>
      <c r="E414" s="1" t="s">
        <v>488</v>
      </c>
      <c r="F414" s="1" t="s">
        <v>460</v>
      </c>
      <c r="G414" s="1" t="s">
        <v>29</v>
      </c>
      <c r="H414" s="16">
        <v>46123</v>
      </c>
      <c r="I414" s="16">
        <v>46135</v>
      </c>
      <c r="J414" s="1" t="s">
        <v>30</v>
      </c>
      <c r="K414" s="2" t="str">
        <f t="shared" si="71"/>
        <v>https://sig.aminerals.cl/imgdyn/rest/services/CL_MLP_PAO/CL_MLP_PAO_IF_Ortho_Geosupport/ImageServer/file?id=.\El_Mauro_Puerto_Punta_Chungo_Drone\26_04\CL_MLP_PAO_IF_Ortho_26_04_11_MonteAranda-NSTC-Km-84p2-a-82p3.tif&amp;rasterId=</v>
      </c>
      <c r="L414" s="1" t="s">
        <v>31</v>
      </c>
      <c r="M414" s="1" t="s">
        <v>32</v>
      </c>
      <c r="N414" s="1" t="s">
        <v>33</v>
      </c>
      <c r="O414" s="1" t="s">
        <v>34</v>
      </c>
      <c r="P414" s="3" t="str">
        <f t="shared" si="73"/>
        <v>11</v>
      </c>
      <c r="Q414" s="3" t="str">
        <f t="shared" si="74"/>
        <v>04</v>
      </c>
      <c r="R414" s="3" t="str">
        <f t="shared" si="75"/>
        <v>26</v>
      </c>
      <c r="S414" s="1" t="s">
        <v>50</v>
      </c>
      <c r="U414" s="1" t="s">
        <v>461</v>
      </c>
      <c r="V414" s="1" t="str">
        <f t="shared" si="76"/>
        <v>MonteAranda-NSTC-Km-84p2-a-82p3</v>
      </c>
      <c r="W414" s="1" t="str">
        <f t="shared" si="79"/>
        <v>MonteAranda-NSTC-Km-84p2-a-82p3</v>
      </c>
      <c r="X414" s="4" t="b">
        <f t="shared" si="77"/>
        <v>1</v>
      </c>
      <c r="Y414" s="1">
        <f>VLOOKUP(D414,'Orden de Imagen'!$A$1:D558,4,FALSE())</f>
        <v>383</v>
      </c>
      <c r="Z414" s="1" t="str">
        <f t="shared" si="78"/>
        <v>383_26_04_11_MonteAranda-NSTC-Km-84p2-a-82p3</v>
      </c>
    </row>
    <row r="415" spans="1:26" x14ac:dyDescent="0.25">
      <c r="A415" s="1">
        <v>415</v>
      </c>
      <c r="B415" s="1" t="s">
        <v>750</v>
      </c>
      <c r="C415" s="1" t="str">
        <f t="shared" si="72"/>
        <v>CL_MLP_PAO_IF_Ortho_26_04_11_Pozos_PRP.tif</v>
      </c>
      <c r="D415" s="1" t="str">
        <f t="shared" si="80"/>
        <v>CL_MLP_PAO_IF_Ortho_26_04_11_Pozos_PRP</v>
      </c>
      <c r="E415" s="1" t="s">
        <v>675</v>
      </c>
      <c r="F415" s="1" t="s">
        <v>460</v>
      </c>
      <c r="G415" s="1" t="s">
        <v>29</v>
      </c>
      <c r="H415" s="16">
        <v>46123</v>
      </c>
      <c r="I415" s="16">
        <v>46135</v>
      </c>
      <c r="J415" s="1" t="s">
        <v>30</v>
      </c>
      <c r="K415" s="2" t="str">
        <f t="shared" si="71"/>
        <v>https://sig.aminerals.cl/imgdyn/rest/services/CL_MLP_PAO/CL_MLP_PAO_IF_Ortho_Geosupport/ImageServer/file?id=.\El_Mauro_Drone\26_04\CL_MLP_PAO_IF_Ortho_26_04_11_Pozos_PRP.tif&amp;rasterId=</v>
      </c>
      <c r="L415" s="1" t="s">
        <v>31</v>
      </c>
      <c r="M415" s="1" t="s">
        <v>32</v>
      </c>
      <c r="N415" s="1" t="s">
        <v>33</v>
      </c>
      <c r="O415" s="1" t="s">
        <v>34</v>
      </c>
      <c r="P415" s="3" t="str">
        <f t="shared" si="73"/>
        <v>11</v>
      </c>
      <c r="Q415" s="3" t="str">
        <f t="shared" si="74"/>
        <v>04</v>
      </c>
      <c r="R415" s="3" t="str">
        <f t="shared" si="75"/>
        <v>26</v>
      </c>
      <c r="S415" s="1" t="s">
        <v>87</v>
      </c>
      <c r="U415" s="1" t="s">
        <v>461</v>
      </c>
      <c r="V415" s="1" t="str">
        <f t="shared" si="76"/>
        <v>Pozos_PRP</v>
      </c>
      <c r="W415" s="1" t="str">
        <f t="shared" si="79"/>
        <v>Pozos_PRP</v>
      </c>
      <c r="X415" s="4" t="b">
        <f t="shared" si="77"/>
        <v>1</v>
      </c>
      <c r="Y415" s="1">
        <f>VLOOKUP(D415,'Orden de Imagen'!$A$1:D554,4,FALSE())</f>
        <v>384</v>
      </c>
      <c r="Z415" s="1" t="str">
        <f t="shared" si="78"/>
        <v>384_26_04_11_Pozos_PRP</v>
      </c>
    </row>
    <row r="416" spans="1:26" x14ac:dyDescent="0.25">
      <c r="A416" s="1">
        <v>420</v>
      </c>
      <c r="B416" s="1" t="s">
        <v>751</v>
      </c>
      <c r="C416" s="1" t="str">
        <f t="shared" si="72"/>
        <v>CL_MLP_PAO_IF_Ortho_26_04_12_EV2.tif</v>
      </c>
      <c r="D416" s="1" t="str">
        <f t="shared" si="80"/>
        <v>CL_MLP_PAO_IF_Ortho_26_04_12_EV2</v>
      </c>
      <c r="E416" s="1" t="s">
        <v>74</v>
      </c>
      <c r="F416" s="1" t="s">
        <v>460</v>
      </c>
      <c r="G416" s="1" t="s">
        <v>29</v>
      </c>
      <c r="H416" s="16">
        <v>46124</v>
      </c>
      <c r="I416" s="16">
        <v>46135</v>
      </c>
      <c r="J416" s="1" t="s">
        <v>30</v>
      </c>
      <c r="K416" s="2" t="str">
        <f t="shared" si="71"/>
        <v>https://sig.aminerals.cl/imgdyn/rest/services/CL_MLP_PAO/CL_MLP_PAO_IF_Ortho_Geosupport/ImageServer/file?id=.\El_Mauro_Puerto_Punta_Chungo_Drone\26_04\CL_MLP_PAO_IF_Ortho_26_04_12_EV2.tif&amp;rasterId=</v>
      </c>
      <c r="L416" s="1" t="s">
        <v>31</v>
      </c>
      <c r="M416" s="1" t="s">
        <v>32</v>
      </c>
      <c r="N416" s="1" t="s">
        <v>33</v>
      </c>
      <c r="O416" s="1" t="s">
        <v>34</v>
      </c>
      <c r="P416" s="3" t="str">
        <f t="shared" si="73"/>
        <v>12</v>
      </c>
      <c r="Q416" s="3" t="str">
        <f t="shared" si="74"/>
        <v>04</v>
      </c>
      <c r="R416" s="3" t="str">
        <f t="shared" si="75"/>
        <v>26</v>
      </c>
      <c r="S416" s="1" t="s">
        <v>50</v>
      </c>
      <c r="U416" s="1" t="s">
        <v>461</v>
      </c>
      <c r="V416" s="1" t="str">
        <f t="shared" si="76"/>
        <v>EV2</v>
      </c>
      <c r="W416" s="1" t="str">
        <f t="shared" si="79"/>
        <v>EV2</v>
      </c>
      <c r="X416" s="4" t="b">
        <f t="shared" si="77"/>
        <v>1</v>
      </c>
      <c r="Y416" s="1">
        <f>VLOOKUP(D416,'Orden de Imagen'!$A$1:D559,4,FALSE())</f>
        <v>385</v>
      </c>
      <c r="Z416" s="1" t="str">
        <f t="shared" si="78"/>
        <v>385_26_04_12_EV2</v>
      </c>
    </row>
    <row r="417" spans="1:26" x14ac:dyDescent="0.25">
      <c r="A417" s="1">
        <v>421</v>
      </c>
      <c r="B417" s="1" t="s">
        <v>752</v>
      </c>
      <c r="C417" s="1" t="str">
        <f t="shared" si="72"/>
        <v>CL_MLP_PAO_IF_Ortho_26_04_12_TORRE_E85_A_E_125.tif</v>
      </c>
      <c r="D417" s="1" t="str">
        <f t="shared" si="80"/>
        <v>CL_MLP_PAO_IF_Ortho_26_04_12_TORRE_E85_A_E_125</v>
      </c>
      <c r="E417" s="1" t="s">
        <v>483</v>
      </c>
      <c r="F417" s="1" t="s">
        <v>460</v>
      </c>
      <c r="G417" s="1" t="s">
        <v>29</v>
      </c>
      <c r="H417" s="16">
        <v>46124</v>
      </c>
      <c r="I417" s="16">
        <v>46135</v>
      </c>
      <c r="J417" s="1" t="s">
        <v>30</v>
      </c>
      <c r="K417" s="2" t="str">
        <f t="shared" si="71"/>
        <v>https://sig.aminerals.cl/imgdyn/rest/services/CL_MLP_PAO/CL_MLP_PAO_IF_Ortho_Geosupport/ImageServer/file?id=.\El_Mauro_Puerto_Punta_Chungo_Drone\26_04\CL_MLP_PAO_IF_Ortho_26_04_12_TORRE_E85_A_E_125.tif&amp;rasterId=</v>
      </c>
      <c r="L417" s="1" t="s">
        <v>31</v>
      </c>
      <c r="M417" s="1" t="s">
        <v>32</v>
      </c>
      <c r="N417" s="1" t="s">
        <v>33</v>
      </c>
      <c r="O417" s="1" t="s">
        <v>34</v>
      </c>
      <c r="P417" s="3" t="str">
        <f t="shared" si="73"/>
        <v>12</v>
      </c>
      <c r="Q417" s="3" t="str">
        <f t="shared" si="74"/>
        <v>04</v>
      </c>
      <c r="R417" s="3" t="str">
        <f t="shared" si="75"/>
        <v>26</v>
      </c>
      <c r="S417" s="1" t="s">
        <v>50</v>
      </c>
      <c r="U417" s="1" t="s">
        <v>461</v>
      </c>
      <c r="V417" s="1" t="str">
        <f t="shared" si="76"/>
        <v>TORRE_E85_A_E_125</v>
      </c>
      <c r="W417" s="1" t="str">
        <f t="shared" si="79"/>
        <v>TORRE_E85_A_E_125</v>
      </c>
      <c r="X417" s="4" t="b">
        <f t="shared" si="77"/>
        <v>1</v>
      </c>
      <c r="Y417" s="1">
        <f>VLOOKUP(D417,'Orden de Imagen'!$A$1:D560,4,FALSE())</f>
        <v>386</v>
      </c>
      <c r="Z417" s="1" t="str">
        <f t="shared" si="78"/>
        <v>386_26_04_12_TORRE_E85_A_E_125</v>
      </c>
    </row>
    <row r="418" spans="1:26" x14ac:dyDescent="0.25">
      <c r="A418" s="1">
        <v>389</v>
      </c>
      <c r="B418" s="1" t="s">
        <v>753</v>
      </c>
      <c r="C418" s="1" t="str">
        <f t="shared" si="72"/>
        <v>CL_MLP_PAO_IF_Ortho_26_04_13_ED1-IIFF7-DME8.tif</v>
      </c>
      <c r="D418" s="1" t="str">
        <f t="shared" si="80"/>
        <v>CL_MLP_PAO_IF_Ortho_26_04_13_ED1-IIFF7-DME8</v>
      </c>
      <c r="E418" s="1" t="s">
        <v>485</v>
      </c>
      <c r="F418" s="1" t="s">
        <v>460</v>
      </c>
      <c r="G418" s="1" t="s">
        <v>29</v>
      </c>
      <c r="H418" s="16">
        <v>46125</v>
      </c>
      <c r="I418" s="16">
        <v>46135</v>
      </c>
      <c r="J418" s="1" t="s">
        <v>30</v>
      </c>
      <c r="K418" s="2" t="str">
        <f t="shared" si="71"/>
        <v>https://sig.aminerals.cl/imgdyn/rest/services/CL_MLP_PAO/CL_MLP_PAO_IF_Ortho_Geosupport/ImageServer/file?id=.\Chacay_El_Mauro_Drone\26_04\CL_MLP_PAO_IF_Ortho_26_04_13_ED1-IIFF7-DME8.tif&amp;rasterId=</v>
      </c>
      <c r="L418" s="1" t="s">
        <v>31</v>
      </c>
      <c r="M418" s="1" t="s">
        <v>32</v>
      </c>
      <c r="N418" s="1" t="s">
        <v>33</v>
      </c>
      <c r="O418" s="1" t="s">
        <v>34</v>
      </c>
      <c r="P418" s="3" t="str">
        <f t="shared" si="73"/>
        <v>13</v>
      </c>
      <c r="Q418" s="3" t="str">
        <f t="shared" si="74"/>
        <v>04</v>
      </c>
      <c r="R418" s="3" t="str">
        <f t="shared" si="75"/>
        <v>26</v>
      </c>
      <c r="S418" s="1" t="s">
        <v>40</v>
      </c>
      <c r="U418" s="1" t="s">
        <v>461</v>
      </c>
      <c r="V418" s="1" t="str">
        <f t="shared" si="76"/>
        <v>ED1-IIFF7-DME8</v>
      </c>
      <c r="W418" s="1" t="str">
        <f t="shared" si="79"/>
        <v>ED1-IIFF7-DME8</v>
      </c>
      <c r="X418" s="4" t="b">
        <f t="shared" si="77"/>
        <v>1</v>
      </c>
      <c r="Y418" s="1">
        <f>VLOOKUP(D418,'Orden de Imagen'!$A$1:D528,4,FALSE())</f>
        <v>387</v>
      </c>
      <c r="Z418" s="1" t="str">
        <f t="shared" si="78"/>
        <v>387_26_04_13_ED1-IIFF7-DME8</v>
      </c>
    </row>
    <row r="419" spans="1:26" x14ac:dyDescent="0.25">
      <c r="A419" s="1">
        <v>416</v>
      </c>
      <c r="B419" s="1" t="s">
        <v>754</v>
      </c>
      <c r="C419" s="1" t="str">
        <f t="shared" si="72"/>
        <v>CL_MLP_PAO_IF_Ortho_26_04_13_EM4.tif</v>
      </c>
      <c r="D419" s="1" t="str">
        <f t="shared" si="80"/>
        <v>CL_MLP_PAO_IF_Ortho_26_04_13_EM4</v>
      </c>
      <c r="E419" s="1" t="s">
        <v>540</v>
      </c>
      <c r="F419" s="1" t="s">
        <v>460</v>
      </c>
      <c r="G419" s="1" t="s">
        <v>29</v>
      </c>
      <c r="H419" s="16">
        <v>46125</v>
      </c>
      <c r="I419" s="16">
        <v>46135</v>
      </c>
      <c r="J419" s="1" t="s">
        <v>30</v>
      </c>
      <c r="K419" s="2" t="str">
        <f t="shared" si="71"/>
        <v>https://sig.aminerals.cl/imgdyn/rest/services/CL_MLP_PAO/CL_MLP_PAO_IF_Ortho_Geosupport/ImageServer/file?id=.\El_Mauro_Drone\26_04\CL_MLP_PAO_IF_Ortho_26_04_13_EM4.tif&amp;rasterId=</v>
      </c>
      <c r="L419" s="1" t="s">
        <v>31</v>
      </c>
      <c r="M419" s="1" t="s">
        <v>32</v>
      </c>
      <c r="N419" s="1" t="s">
        <v>33</v>
      </c>
      <c r="O419" s="1" t="s">
        <v>34</v>
      </c>
      <c r="P419" s="3" t="str">
        <f t="shared" si="73"/>
        <v>13</v>
      </c>
      <c r="Q419" s="3" t="str">
        <f t="shared" si="74"/>
        <v>04</v>
      </c>
      <c r="R419" s="3" t="str">
        <f t="shared" si="75"/>
        <v>26</v>
      </c>
      <c r="S419" s="1" t="s">
        <v>87</v>
      </c>
      <c r="U419" s="1" t="s">
        <v>461</v>
      </c>
      <c r="V419" s="1" t="str">
        <f t="shared" si="76"/>
        <v>EM4</v>
      </c>
      <c r="W419" s="1" t="str">
        <f t="shared" ref="W419:W450" si="81">E419</f>
        <v>EM4</v>
      </c>
      <c r="X419" s="4" t="b">
        <f t="shared" si="77"/>
        <v>1</v>
      </c>
      <c r="Y419" s="1">
        <f>VLOOKUP(D419,'Orden de Imagen'!$A$1:D555,4,FALSE())</f>
        <v>388</v>
      </c>
      <c r="Z419" s="1" t="str">
        <f t="shared" si="78"/>
        <v>388_26_04_13_EM4</v>
      </c>
    </row>
    <row r="420" spans="1:26" x14ac:dyDescent="0.25">
      <c r="A420" s="1">
        <v>425</v>
      </c>
      <c r="B420" s="1" t="s">
        <v>755</v>
      </c>
      <c r="C420" s="1" t="str">
        <f t="shared" si="72"/>
        <v>CL_MLP_PAO_IF_Ortho_26_04_25_EM1.tif</v>
      </c>
      <c r="D420" s="1" t="str">
        <f t="shared" si="80"/>
        <v>CL_MLP_PAO_IF_Ortho_26_04_25_EM1</v>
      </c>
      <c r="E420" s="1" t="s">
        <v>375</v>
      </c>
      <c r="F420" s="1" t="s">
        <v>460</v>
      </c>
      <c r="G420" s="1" t="s">
        <v>29</v>
      </c>
      <c r="H420" s="16">
        <v>46137</v>
      </c>
      <c r="I420" s="16">
        <v>46141</v>
      </c>
      <c r="J420" s="1" t="s">
        <v>30</v>
      </c>
      <c r="K420" s="2" t="str">
        <f t="shared" ref="K420:K451" si="82">CONCATENATE("https://sig.aminerals.cl/imgdyn/rest/services/CL_MLP_PAO/",U420,"/","ImageServer/file?id=.\",S420,"\",R420,"_",Q420,"_",P420,"\",C420,"&amp;rasterId=")</f>
        <v>https://sig.aminerals.cl/imgdyn/rest/services/CL_MLP_PAO/CL_MLP_PAO_IF_Ortho_Geosupport/ImageServer/file?id=.\Chacay_Drone\26_04_25\CL_MLP_PAO_IF_Ortho_26_04_25_EM1.tif&amp;rasterId=</v>
      </c>
      <c r="L420" s="1" t="s">
        <v>31</v>
      </c>
      <c r="M420" s="1" t="s">
        <v>32</v>
      </c>
      <c r="N420" s="1" t="s">
        <v>33</v>
      </c>
      <c r="O420" s="1" t="s">
        <v>34</v>
      </c>
      <c r="P420" s="3" t="str">
        <f t="shared" si="73"/>
        <v>25</v>
      </c>
      <c r="Q420" s="3" t="str">
        <f t="shared" si="74"/>
        <v>04</v>
      </c>
      <c r="R420" s="3" t="str">
        <f t="shared" si="75"/>
        <v>26</v>
      </c>
      <c r="S420" s="1" t="s">
        <v>56</v>
      </c>
      <c r="U420" s="1" t="s">
        <v>461</v>
      </c>
      <c r="V420" s="1" t="str">
        <f t="shared" si="76"/>
        <v>EM1</v>
      </c>
      <c r="W420" s="1" t="str">
        <f t="shared" si="81"/>
        <v>EM1</v>
      </c>
      <c r="X420" s="4" t="b">
        <f t="shared" si="77"/>
        <v>1</v>
      </c>
      <c r="Y420" s="1">
        <f>VLOOKUP(D420,'Orden de Imagen'!$A$1:D564,4,FALSE())</f>
        <v>419</v>
      </c>
      <c r="Z420" s="1" t="str">
        <f t="shared" si="78"/>
        <v>419_26_04_25_EM1</v>
      </c>
    </row>
    <row r="421" spans="1:26" x14ac:dyDescent="0.25">
      <c r="A421" s="1">
        <v>426</v>
      </c>
      <c r="B421" s="1" t="s">
        <v>756</v>
      </c>
      <c r="C421" s="1" t="str">
        <f t="shared" si="72"/>
        <v>CL_MLP_PAO_IF_Ortho_26_04_01_EM2.tif</v>
      </c>
      <c r="D421" s="1" t="str">
        <f t="shared" si="80"/>
        <v>CL_MLP_PAO_IF_Ortho_26_04_01_EM2</v>
      </c>
      <c r="E421" s="1" t="s">
        <v>590</v>
      </c>
      <c r="F421" s="1" t="s">
        <v>460</v>
      </c>
      <c r="G421" s="1" t="s">
        <v>29</v>
      </c>
      <c r="H421" s="16">
        <v>46113</v>
      </c>
      <c r="I421" s="16">
        <v>46141</v>
      </c>
      <c r="J421" s="1" t="s">
        <v>30</v>
      </c>
      <c r="K421" s="2" t="str">
        <f t="shared" si="82"/>
        <v>https://sig.aminerals.cl/imgdyn/rest/services/CL_MLP_PAO/CL_MLP_PAO_IF_Ortho_Geosupport/ImageServer/file?id=.\Chacay_El_Mauro_Drone\26_04_01\CL_MLP_PAO_IF_Ortho_26_04_01_EM2.tif&amp;rasterId=</v>
      </c>
      <c r="L421" s="1" t="s">
        <v>31</v>
      </c>
      <c r="M421" s="1" t="s">
        <v>32</v>
      </c>
      <c r="N421" s="1" t="s">
        <v>33</v>
      </c>
      <c r="O421" s="1" t="s">
        <v>34</v>
      </c>
      <c r="P421" s="3" t="str">
        <f t="shared" si="73"/>
        <v>01</v>
      </c>
      <c r="Q421" s="3" t="str">
        <f t="shared" si="74"/>
        <v>04</v>
      </c>
      <c r="R421" s="3" t="str">
        <f t="shared" si="75"/>
        <v>26</v>
      </c>
      <c r="S421" s="1" t="s">
        <v>40</v>
      </c>
      <c r="U421" s="1" t="s">
        <v>461</v>
      </c>
      <c r="V421" s="1" t="str">
        <f t="shared" si="76"/>
        <v>EM2</v>
      </c>
      <c r="W421" s="1" t="str">
        <f t="shared" si="81"/>
        <v>EM2</v>
      </c>
      <c r="X421" s="4" t="b">
        <f t="shared" si="77"/>
        <v>1</v>
      </c>
      <c r="Y421" s="1">
        <f>VLOOKUP(D421,'Orden de Imagen'!$A$1:D603,4,FALSE())</f>
        <v>393</v>
      </c>
      <c r="Z421" s="1" t="str">
        <f t="shared" si="78"/>
        <v>393_26_04_01_EM2</v>
      </c>
    </row>
    <row r="422" spans="1:26" x14ac:dyDescent="0.25">
      <c r="A422" s="1">
        <v>427</v>
      </c>
      <c r="B422" s="1" t="s">
        <v>757</v>
      </c>
      <c r="C422" s="1" t="str">
        <f t="shared" si="72"/>
        <v>CL_MLP_PAO_IF_Ortho_26_04_15_EM2.tif</v>
      </c>
      <c r="D422" s="1" t="str">
        <f t="shared" si="80"/>
        <v>CL_MLP_PAO_IF_Ortho_26_04_15_EM2</v>
      </c>
      <c r="E422" s="1" t="s">
        <v>590</v>
      </c>
      <c r="F422" s="1" t="s">
        <v>460</v>
      </c>
      <c r="G422" s="1" t="s">
        <v>29</v>
      </c>
      <c r="H422" s="16">
        <v>46127</v>
      </c>
      <c r="I422" s="16">
        <v>46141</v>
      </c>
      <c r="J422" s="1" t="s">
        <v>30</v>
      </c>
      <c r="K422" s="2" t="str">
        <f t="shared" si="82"/>
        <v>https://sig.aminerals.cl/imgdyn/rest/services/CL_MLP_PAO/CL_MLP_PAO_IF_Ortho_Geosupport/ImageServer/file?id=.\Chacay_El_Mauro_Drone\26_04_15\CL_MLP_PAO_IF_Ortho_26_04_15_EM2.tif&amp;rasterId=</v>
      </c>
      <c r="L422" s="1" t="s">
        <v>31</v>
      </c>
      <c r="M422" s="1" t="s">
        <v>32</v>
      </c>
      <c r="N422" s="1" t="s">
        <v>33</v>
      </c>
      <c r="O422" s="1" t="s">
        <v>34</v>
      </c>
      <c r="P422" s="3" t="str">
        <f t="shared" si="73"/>
        <v>15</v>
      </c>
      <c r="Q422" s="3" t="str">
        <f t="shared" si="74"/>
        <v>04</v>
      </c>
      <c r="R422" s="3" t="str">
        <f t="shared" si="75"/>
        <v>26</v>
      </c>
      <c r="S422" s="1" t="s">
        <v>40</v>
      </c>
      <c r="U422" s="1" t="s">
        <v>461</v>
      </c>
      <c r="V422" s="1" t="str">
        <f t="shared" si="76"/>
        <v>EM2</v>
      </c>
      <c r="W422" s="1" t="str">
        <f t="shared" si="81"/>
        <v>EM2</v>
      </c>
      <c r="X422" s="4" t="b">
        <f t="shared" si="77"/>
        <v>1</v>
      </c>
      <c r="Y422" s="1">
        <f>VLOOKUP(D422,'Orden de Imagen'!$A$1:D592,4,FALSE())</f>
        <v>389</v>
      </c>
      <c r="Z422" s="1" t="str">
        <f t="shared" si="78"/>
        <v>389_26_04_15_EM2</v>
      </c>
    </row>
    <row r="423" spans="1:26" x14ac:dyDescent="0.25">
      <c r="A423" s="1">
        <v>428</v>
      </c>
      <c r="B423" s="1" t="s">
        <v>758</v>
      </c>
      <c r="C423" s="1" t="str">
        <f t="shared" si="72"/>
        <v>CL_MLP_PAO_IF_Ortho_26_04_15_EM2_S2.tif</v>
      </c>
      <c r="D423" s="1" t="str">
        <f t="shared" si="80"/>
        <v>CL_MLP_PAO_IF_Ortho_26_04_15_EM2_S2</v>
      </c>
      <c r="E423" s="1" t="s">
        <v>649</v>
      </c>
      <c r="F423" s="1" t="s">
        <v>460</v>
      </c>
      <c r="G423" s="1" t="s">
        <v>29</v>
      </c>
      <c r="H423" s="16">
        <v>46127</v>
      </c>
      <c r="I423" s="16">
        <v>46141</v>
      </c>
      <c r="J423" s="1" t="s">
        <v>30</v>
      </c>
      <c r="K423" s="2" t="str">
        <f t="shared" si="82"/>
        <v>https://sig.aminerals.cl/imgdyn/rest/services/CL_MLP_PAO/CL_MLP_PAO_IF_Ortho_Geosupport/ImageServer/file?id=.\Chacay_El_Mauro_Drone\26_04_15\CL_MLP_PAO_IF_Ortho_26_04_15_EM2_S2.tif&amp;rasterId=</v>
      </c>
      <c r="L423" s="1" t="s">
        <v>31</v>
      </c>
      <c r="M423" s="1" t="s">
        <v>32</v>
      </c>
      <c r="N423" s="1" t="s">
        <v>33</v>
      </c>
      <c r="O423" s="1" t="s">
        <v>34</v>
      </c>
      <c r="P423" s="3" t="str">
        <f t="shared" si="73"/>
        <v>15</v>
      </c>
      <c r="Q423" s="3" t="str">
        <f t="shared" si="74"/>
        <v>04</v>
      </c>
      <c r="R423" s="3" t="str">
        <f t="shared" si="75"/>
        <v>26</v>
      </c>
      <c r="S423" s="1" t="s">
        <v>40</v>
      </c>
      <c r="U423" s="1" t="s">
        <v>461</v>
      </c>
      <c r="V423" s="1" t="str">
        <f t="shared" si="76"/>
        <v>EM2_S2</v>
      </c>
      <c r="W423" s="1" t="str">
        <f t="shared" si="81"/>
        <v>EM2_S2</v>
      </c>
      <c r="X423" s="4" t="b">
        <f t="shared" si="77"/>
        <v>1</v>
      </c>
      <c r="Y423" s="1">
        <f>VLOOKUP(D423,'Orden de Imagen'!$A$1:D591,4,FALSE())</f>
        <v>390</v>
      </c>
      <c r="Z423" s="1" t="str">
        <f t="shared" si="78"/>
        <v>390_26_04_15_EM2_S2</v>
      </c>
    </row>
    <row r="424" spans="1:26" x14ac:dyDescent="0.25">
      <c r="A424" s="1">
        <v>429</v>
      </c>
      <c r="B424" s="1" t="s">
        <v>759</v>
      </c>
      <c r="C424" s="1" t="str">
        <f t="shared" si="72"/>
        <v>CL_MLP_PAO_IF_Ortho_26_04_15_EV1.tif</v>
      </c>
      <c r="D424" s="1" t="str">
        <f t="shared" si="80"/>
        <v>CL_MLP_PAO_IF_Ortho_26_04_15_EV1</v>
      </c>
      <c r="E424" s="1" t="s">
        <v>258</v>
      </c>
      <c r="F424" s="1" t="s">
        <v>460</v>
      </c>
      <c r="G424" s="1" t="s">
        <v>29</v>
      </c>
      <c r="H424" s="16">
        <v>46127</v>
      </c>
      <c r="I424" s="16">
        <v>46141</v>
      </c>
      <c r="J424" s="1" t="s">
        <v>30</v>
      </c>
      <c r="K424" s="2" t="str">
        <f t="shared" si="82"/>
        <v>https://sig.aminerals.cl/imgdyn/rest/services/CL_MLP_PAO/CL_MLP_PAO_IF_Ortho_Geosupport/ImageServer/file?id=.\Chacay_El_Mauro_Drone\26_04_15\CL_MLP_PAO_IF_Ortho_26_04_15_EV1.tif&amp;rasterId=</v>
      </c>
      <c r="L424" s="1" t="s">
        <v>31</v>
      </c>
      <c r="M424" s="1" t="s">
        <v>32</v>
      </c>
      <c r="N424" s="1" t="s">
        <v>33</v>
      </c>
      <c r="O424" s="1" t="s">
        <v>34</v>
      </c>
      <c r="P424" s="3" t="str">
        <f t="shared" si="73"/>
        <v>15</v>
      </c>
      <c r="Q424" s="3" t="str">
        <f t="shared" si="74"/>
        <v>04</v>
      </c>
      <c r="R424" s="3" t="str">
        <f t="shared" si="75"/>
        <v>26</v>
      </c>
      <c r="S424" s="1" t="s">
        <v>40</v>
      </c>
      <c r="U424" s="1" t="s">
        <v>461</v>
      </c>
      <c r="V424" s="1" t="str">
        <f t="shared" si="76"/>
        <v>EV1</v>
      </c>
      <c r="W424" s="1" t="str">
        <f t="shared" si="81"/>
        <v>EV1</v>
      </c>
      <c r="X424" s="4" t="b">
        <f t="shared" si="77"/>
        <v>1</v>
      </c>
      <c r="Y424" s="1">
        <f>VLOOKUP(D424,'Orden de Imagen'!$A$1:D593,4,FALSE())</f>
        <v>391</v>
      </c>
      <c r="Z424" s="1" t="str">
        <f t="shared" si="78"/>
        <v>391_26_04_15_EV1</v>
      </c>
    </row>
    <row r="425" spans="1:26" x14ac:dyDescent="0.25">
      <c r="A425" s="1">
        <v>430</v>
      </c>
      <c r="B425" s="1" t="s">
        <v>760</v>
      </c>
      <c r="C425" s="1" t="str">
        <f t="shared" si="72"/>
        <v>CL_MLP_PAO_IF_Ortho_26_04_16_ED2.tif</v>
      </c>
      <c r="D425" s="1" t="str">
        <f t="shared" si="80"/>
        <v>CL_MLP_PAO_IF_Ortho_26_04_16_ED2</v>
      </c>
      <c r="E425" s="1" t="s">
        <v>468</v>
      </c>
      <c r="F425" s="1" t="s">
        <v>460</v>
      </c>
      <c r="G425" s="1" t="s">
        <v>29</v>
      </c>
      <c r="H425" s="16">
        <v>46128</v>
      </c>
      <c r="I425" s="16">
        <v>46141</v>
      </c>
      <c r="J425" s="1" t="s">
        <v>30</v>
      </c>
      <c r="K425" s="2" t="str">
        <f t="shared" si="82"/>
        <v>https://sig.aminerals.cl/imgdyn/rest/services/CL_MLP_PAO/CL_MLP_PAO_IF_Ortho_Geosupport/ImageServer/file?id=.\Chacay_El_Mauro_Drone\26_04_16\CL_MLP_PAO_IF_Ortho_26_04_16_ED2.tif&amp;rasterId=</v>
      </c>
      <c r="L425" s="1" t="s">
        <v>31</v>
      </c>
      <c r="M425" s="1" t="s">
        <v>32</v>
      </c>
      <c r="N425" s="1" t="s">
        <v>33</v>
      </c>
      <c r="O425" s="1" t="s">
        <v>34</v>
      </c>
      <c r="P425" s="3" t="str">
        <f t="shared" si="73"/>
        <v>16</v>
      </c>
      <c r="Q425" s="3" t="str">
        <f t="shared" si="74"/>
        <v>04</v>
      </c>
      <c r="R425" s="3" t="str">
        <f t="shared" si="75"/>
        <v>26</v>
      </c>
      <c r="S425" s="1" t="s">
        <v>40</v>
      </c>
      <c r="U425" s="1" t="s">
        <v>461</v>
      </c>
      <c r="V425" s="1" t="str">
        <f t="shared" si="76"/>
        <v>ED2</v>
      </c>
      <c r="W425" s="1" t="str">
        <f t="shared" si="81"/>
        <v>ED2</v>
      </c>
      <c r="X425" s="4" t="b">
        <f t="shared" si="77"/>
        <v>1</v>
      </c>
      <c r="Y425" s="1">
        <f>VLOOKUP(D425,'Orden de Imagen'!$A$1:D581,4,FALSE())</f>
        <v>396</v>
      </c>
      <c r="Z425" s="1" t="str">
        <f t="shared" si="78"/>
        <v>396_26_04_16_ED2</v>
      </c>
    </row>
    <row r="426" spans="1:26" x14ac:dyDescent="0.25">
      <c r="A426" s="1">
        <v>431</v>
      </c>
      <c r="B426" s="1" t="s">
        <v>761</v>
      </c>
      <c r="C426" s="1" t="str">
        <f t="shared" si="72"/>
        <v>CL_MLP_PAO_IF_Ortho_26_04_16_EM3.tif</v>
      </c>
      <c r="D426" s="1" t="str">
        <f t="shared" si="80"/>
        <v>CL_MLP_PAO_IF_Ortho_26_04_16_EM3</v>
      </c>
      <c r="E426" s="1" t="s">
        <v>203</v>
      </c>
      <c r="F426" s="1" t="s">
        <v>460</v>
      </c>
      <c r="G426" s="1" t="s">
        <v>29</v>
      </c>
      <c r="H426" s="16">
        <v>46128</v>
      </c>
      <c r="I426" s="16">
        <v>46141</v>
      </c>
      <c r="J426" s="1" t="s">
        <v>30</v>
      </c>
      <c r="K426" s="2" t="str">
        <f t="shared" si="82"/>
        <v>https://sig.aminerals.cl/imgdyn/rest/services/CL_MLP_PAO/CL_MLP_PAO_IF_Ortho_Geosupport/ImageServer/file?id=.\Chacay_El_Mauro_Drone\26_04_16\CL_MLP_PAO_IF_Ortho_26_04_16_EM3.tif&amp;rasterId=</v>
      </c>
      <c r="L426" s="1" t="s">
        <v>31</v>
      </c>
      <c r="M426" s="1" t="s">
        <v>32</v>
      </c>
      <c r="N426" s="1" t="s">
        <v>33</v>
      </c>
      <c r="O426" s="1" t="s">
        <v>34</v>
      </c>
      <c r="P426" s="3" t="str">
        <f t="shared" si="73"/>
        <v>16</v>
      </c>
      <c r="Q426" s="3" t="str">
        <f t="shared" si="74"/>
        <v>04</v>
      </c>
      <c r="R426" s="3" t="str">
        <f t="shared" si="75"/>
        <v>26</v>
      </c>
      <c r="S426" s="1" t="s">
        <v>40</v>
      </c>
      <c r="U426" s="1" t="s">
        <v>461</v>
      </c>
      <c r="V426" s="1" t="str">
        <f t="shared" si="76"/>
        <v>EM3</v>
      </c>
      <c r="W426" s="1" t="str">
        <f t="shared" si="81"/>
        <v>EM3</v>
      </c>
      <c r="X426" s="4" t="b">
        <f t="shared" si="77"/>
        <v>1</v>
      </c>
      <c r="Y426" s="1">
        <f>VLOOKUP(D426,'Orden de Imagen'!$A$1:D583,4,FALSE())</f>
        <v>397</v>
      </c>
      <c r="Z426" s="1" t="str">
        <f t="shared" si="78"/>
        <v>397_26_04_16_EM3</v>
      </c>
    </row>
    <row r="427" spans="1:26" x14ac:dyDescent="0.25">
      <c r="A427" s="1">
        <v>432</v>
      </c>
      <c r="B427" s="1" t="s">
        <v>762</v>
      </c>
      <c r="C427" s="1" t="str">
        <f t="shared" si="72"/>
        <v>CL_MLP_PAO_IF_Ortho_26_04_01_EBD.tif</v>
      </c>
      <c r="D427" s="1" t="str">
        <f t="shared" si="80"/>
        <v>CL_MLP_PAO_IF_Ortho_26_04_01_EBD</v>
      </c>
      <c r="E427" s="1" t="s">
        <v>608</v>
      </c>
      <c r="F427" s="1" t="s">
        <v>460</v>
      </c>
      <c r="G427" s="1" t="s">
        <v>29</v>
      </c>
      <c r="H427" s="16">
        <v>46113</v>
      </c>
      <c r="I427" s="16">
        <v>46141</v>
      </c>
      <c r="J427" s="1" t="s">
        <v>30</v>
      </c>
      <c r="K427" s="2" t="str">
        <f t="shared" si="82"/>
        <v>https://sig.aminerals.cl/imgdyn/rest/services/CL_MLP_PAO/CL_MLP_PAO_IF_Ortho_Geosupport/ImageServer/file?id=.\El_Mauro_Drone\26_04_01\CL_MLP_PAO_IF_Ortho_26_04_01_EBD.tif&amp;rasterId=</v>
      </c>
      <c r="L427" s="1" t="s">
        <v>31</v>
      </c>
      <c r="M427" s="1" t="s">
        <v>32</v>
      </c>
      <c r="N427" s="1" t="s">
        <v>33</v>
      </c>
      <c r="O427" s="1" t="s">
        <v>34</v>
      </c>
      <c r="P427" s="3" t="str">
        <f t="shared" si="73"/>
        <v>01</v>
      </c>
      <c r="Q427" s="3" t="str">
        <f t="shared" si="74"/>
        <v>04</v>
      </c>
      <c r="R427" s="3" t="str">
        <f t="shared" si="75"/>
        <v>26</v>
      </c>
      <c r="S427" s="1" t="s">
        <v>87</v>
      </c>
      <c r="U427" s="1" t="s">
        <v>461</v>
      </c>
      <c r="V427" s="1" t="str">
        <f t="shared" si="76"/>
        <v>EBD</v>
      </c>
      <c r="W427" s="1" t="str">
        <f t="shared" si="81"/>
        <v>EBD</v>
      </c>
      <c r="X427" s="4" t="b">
        <f t="shared" si="77"/>
        <v>1</v>
      </c>
      <c r="Y427" s="1">
        <f>VLOOKUP(D427,'Orden de Imagen'!$A$1:D604,4,FALSE())</f>
        <v>399</v>
      </c>
      <c r="Z427" s="1" t="str">
        <f t="shared" si="78"/>
        <v>399_26_04_01_EBD</v>
      </c>
    </row>
    <row r="428" spans="1:26" x14ac:dyDescent="0.25">
      <c r="A428" s="1">
        <v>433</v>
      </c>
      <c r="B428" s="1" t="s">
        <v>763</v>
      </c>
      <c r="C428" s="1" t="str">
        <f t="shared" si="72"/>
        <v>CL_MLP_PAO_IF_Ortho_26_04_15_TORRES_E35_A_E48.tif</v>
      </c>
      <c r="D428" s="1" t="str">
        <f t="shared" si="80"/>
        <v>CL_MLP_PAO_IF_Ortho_26_04_15_TORRES_E35_A_E48</v>
      </c>
      <c r="E428" s="1" t="s">
        <v>600</v>
      </c>
      <c r="F428" s="1" t="s">
        <v>460</v>
      </c>
      <c r="G428" s="1" t="s">
        <v>29</v>
      </c>
      <c r="H428" s="16">
        <v>46127</v>
      </c>
      <c r="I428" s="16">
        <v>46141</v>
      </c>
      <c r="J428" s="1" t="s">
        <v>30</v>
      </c>
      <c r="K428" s="2" t="str">
        <f t="shared" si="82"/>
        <v>https://sig.aminerals.cl/imgdyn/rest/services/CL_MLP_PAO/CL_MLP_PAO_IF_Ortho_Geosupport/ImageServer/file?id=.\El_Mauro_Drone\26_04_15\CL_MLP_PAO_IF_Ortho_26_04_15_TORRES_E35_A_E48.tif&amp;rasterId=</v>
      </c>
      <c r="L428" s="1" t="s">
        <v>31</v>
      </c>
      <c r="M428" s="1" t="s">
        <v>32</v>
      </c>
      <c r="N428" s="1" t="s">
        <v>33</v>
      </c>
      <c r="O428" s="1" t="s">
        <v>34</v>
      </c>
      <c r="P428" s="3" t="str">
        <f t="shared" si="73"/>
        <v>15</v>
      </c>
      <c r="Q428" s="3" t="str">
        <f t="shared" si="74"/>
        <v>04</v>
      </c>
      <c r="R428" s="3" t="str">
        <f t="shared" si="75"/>
        <v>26</v>
      </c>
      <c r="S428" s="1" t="s">
        <v>87</v>
      </c>
      <c r="U428" s="1" t="s">
        <v>461</v>
      </c>
      <c r="V428" s="1" t="str">
        <f t="shared" si="76"/>
        <v>TORRES_E35_A_E48</v>
      </c>
      <c r="W428" s="1" t="str">
        <f t="shared" si="81"/>
        <v>TORRES_E35_A_E48</v>
      </c>
      <c r="X428" s="4" t="b">
        <f t="shared" si="77"/>
        <v>1</v>
      </c>
      <c r="Y428" s="1">
        <f>VLOOKUP(D428,'Orden de Imagen'!$A$1:D597,4,FALSE())</f>
        <v>392</v>
      </c>
      <c r="Z428" s="1" t="str">
        <f t="shared" si="78"/>
        <v>392_26_04_15_TORRES_E35_A_E48</v>
      </c>
    </row>
    <row r="429" spans="1:26" x14ac:dyDescent="0.25">
      <c r="A429" s="1">
        <v>434</v>
      </c>
      <c r="B429" s="1" t="s">
        <v>764</v>
      </c>
      <c r="C429" s="1" t="str">
        <f t="shared" si="72"/>
        <v>CL_MLP_PAO_IF_Ortho_26_04_16_Acceso_a_pozos.tif</v>
      </c>
      <c r="D429" s="1" t="str">
        <f t="shared" si="80"/>
        <v>CL_MLP_PAO_IF_Ortho_26_04_16_Acceso_a_pozos</v>
      </c>
      <c r="E429" s="1" t="s">
        <v>693</v>
      </c>
      <c r="F429" s="1" t="s">
        <v>460</v>
      </c>
      <c r="G429" s="1" t="s">
        <v>29</v>
      </c>
      <c r="H429" s="16">
        <v>46128</v>
      </c>
      <c r="I429" s="16">
        <v>46141</v>
      </c>
      <c r="J429" s="1" t="s">
        <v>30</v>
      </c>
      <c r="K429" s="2" t="str">
        <f t="shared" si="82"/>
        <v>https://sig.aminerals.cl/imgdyn/rest/services/CL_MLP_PAO/CL_MLP_PAO_IF_Ortho_Geosupport/ImageServer/file?id=.\El_Mauro_Drone\26_04_16\CL_MLP_PAO_IF_Ortho_26_04_16_Acceso_a_pozos.tif&amp;rasterId=</v>
      </c>
      <c r="L429" s="1" t="s">
        <v>31</v>
      </c>
      <c r="M429" s="1" t="s">
        <v>32</v>
      </c>
      <c r="N429" s="1" t="s">
        <v>33</v>
      </c>
      <c r="O429" s="1" t="s">
        <v>34</v>
      </c>
      <c r="P429" s="3" t="str">
        <f t="shared" si="73"/>
        <v>16</v>
      </c>
      <c r="Q429" s="3" t="str">
        <f t="shared" si="74"/>
        <v>04</v>
      </c>
      <c r="R429" s="3" t="str">
        <f t="shared" si="75"/>
        <v>26</v>
      </c>
      <c r="S429" s="1" t="s">
        <v>87</v>
      </c>
      <c r="U429" s="1" t="s">
        <v>461</v>
      </c>
      <c r="V429" s="1" t="str">
        <f t="shared" si="76"/>
        <v>Acceso_a_pozos</v>
      </c>
      <c r="W429" s="1" t="str">
        <f t="shared" si="81"/>
        <v>Acceso_a_pozos</v>
      </c>
      <c r="X429" s="4" t="b">
        <f t="shared" si="77"/>
        <v>1</v>
      </c>
      <c r="Y429" s="1">
        <f>VLOOKUP(D429,'Orden de Imagen'!$A$1:D586,4,FALSE())</f>
        <v>393</v>
      </c>
      <c r="Z429" s="1" t="str">
        <f t="shared" si="78"/>
        <v>393_26_04_16_Acceso_a_pozos</v>
      </c>
    </row>
    <row r="430" spans="1:26" x14ac:dyDescent="0.25">
      <c r="A430" s="1">
        <v>435</v>
      </c>
      <c r="B430" s="1" t="s">
        <v>765</v>
      </c>
      <c r="C430" s="1" t="str">
        <f t="shared" si="72"/>
        <v>CL_MLP_PAO_IF_Ortho_26_04_16_Camino_Alternativo_Salamanca.tif</v>
      </c>
      <c r="D430" s="1" t="str">
        <f t="shared" si="80"/>
        <v>CL_MLP_PAO_IF_Ortho_26_04_16_Camino_Alternativo_Salamanca</v>
      </c>
      <c r="E430" s="1" t="s">
        <v>660</v>
      </c>
      <c r="F430" s="1" t="s">
        <v>460</v>
      </c>
      <c r="G430" s="1" t="s">
        <v>29</v>
      </c>
      <c r="H430" s="16">
        <v>46128</v>
      </c>
      <c r="I430" s="16">
        <v>46141</v>
      </c>
      <c r="J430" s="1" t="s">
        <v>30</v>
      </c>
      <c r="K430" s="2" t="str">
        <f t="shared" si="82"/>
        <v>https://sig.aminerals.cl/imgdyn/rest/services/CL_MLP_PAO/CL_MLP_PAO_IF_Ortho_Geosupport/ImageServer/file?id=.\El_Mauro_Drone\26_04_16\CL_MLP_PAO_IF_Ortho_26_04_16_Camino_Alternativo_Salamanca.tif&amp;rasterId=</v>
      </c>
      <c r="L430" s="1" t="s">
        <v>31</v>
      </c>
      <c r="M430" s="1" t="s">
        <v>32</v>
      </c>
      <c r="N430" s="1" t="s">
        <v>33</v>
      </c>
      <c r="O430" s="1" t="s">
        <v>34</v>
      </c>
      <c r="P430" s="3" t="str">
        <f t="shared" si="73"/>
        <v>16</v>
      </c>
      <c r="Q430" s="3" t="str">
        <f t="shared" si="74"/>
        <v>04</v>
      </c>
      <c r="R430" s="3" t="str">
        <f t="shared" si="75"/>
        <v>26</v>
      </c>
      <c r="S430" s="1" t="s">
        <v>87</v>
      </c>
      <c r="U430" s="1" t="s">
        <v>461</v>
      </c>
      <c r="V430" s="1" t="str">
        <f t="shared" si="76"/>
        <v>Camino_Alternativo_Salamanca</v>
      </c>
      <c r="W430" s="1" t="str">
        <f t="shared" si="81"/>
        <v>Camino_Alternativo_Salamanca</v>
      </c>
      <c r="X430" s="4" t="b">
        <f t="shared" si="77"/>
        <v>1</v>
      </c>
      <c r="Y430" s="1">
        <f>VLOOKUP(D430,'Orden de Imagen'!$A$1:D589,4,FALSE())</f>
        <v>394</v>
      </c>
      <c r="Z430" s="1" t="str">
        <f t="shared" si="78"/>
        <v>394_26_04_16_Camino_Alternativo_Salamanca</v>
      </c>
    </row>
    <row r="431" spans="1:26" x14ac:dyDescent="0.25">
      <c r="A431" s="1">
        <v>436</v>
      </c>
      <c r="B431" s="1" t="s">
        <v>766</v>
      </c>
      <c r="C431" s="1" t="str">
        <f t="shared" si="72"/>
        <v>CL_MLP_PAO_IF_Ortho_26_04_16_EBD.tif</v>
      </c>
      <c r="D431" s="1" t="str">
        <f t="shared" si="80"/>
        <v>CL_MLP_PAO_IF_Ortho_26_04_16_EBD</v>
      </c>
      <c r="E431" s="1" t="s">
        <v>608</v>
      </c>
      <c r="F431" s="1" t="s">
        <v>460</v>
      </c>
      <c r="G431" s="1" t="s">
        <v>29</v>
      </c>
      <c r="H431" s="16">
        <v>46128</v>
      </c>
      <c r="I431" s="16">
        <v>46141</v>
      </c>
      <c r="J431" s="1" t="s">
        <v>30</v>
      </c>
      <c r="K431" s="2" t="str">
        <f t="shared" si="82"/>
        <v>https://sig.aminerals.cl/imgdyn/rest/services/CL_MLP_PAO/CL_MLP_PAO_IF_Ortho_Geosupport/ImageServer/file?id=.\El_Mauro_Drone\26_04_16\CL_MLP_PAO_IF_Ortho_26_04_16_EBD.tif&amp;rasterId=</v>
      </c>
      <c r="L431" s="1" t="s">
        <v>31</v>
      </c>
      <c r="M431" s="1" t="s">
        <v>32</v>
      </c>
      <c r="N431" s="1" t="s">
        <v>33</v>
      </c>
      <c r="O431" s="1" t="s">
        <v>34</v>
      </c>
      <c r="P431" s="3" t="str">
        <f t="shared" si="73"/>
        <v>16</v>
      </c>
      <c r="Q431" s="3" t="str">
        <f t="shared" si="74"/>
        <v>04</v>
      </c>
      <c r="R431" s="3" t="str">
        <f t="shared" si="75"/>
        <v>26</v>
      </c>
      <c r="S431" s="1" t="s">
        <v>87</v>
      </c>
      <c r="U431" s="1" t="s">
        <v>461</v>
      </c>
      <c r="V431" s="1" t="str">
        <f t="shared" si="76"/>
        <v>EBD</v>
      </c>
      <c r="W431" s="1" t="str">
        <f t="shared" si="81"/>
        <v>EBD</v>
      </c>
      <c r="X431" s="4" t="b">
        <f t="shared" si="77"/>
        <v>1</v>
      </c>
      <c r="Y431" s="1">
        <f>VLOOKUP(D431,'Orden de Imagen'!$A$1:D587,4,FALSE())</f>
        <v>395</v>
      </c>
      <c r="Z431" s="1" t="str">
        <f t="shared" si="78"/>
        <v>395_26_04_16_EBD</v>
      </c>
    </row>
    <row r="432" spans="1:26" x14ac:dyDescent="0.25">
      <c r="A432" s="1">
        <v>437</v>
      </c>
      <c r="B432" s="1" t="s">
        <v>767</v>
      </c>
      <c r="C432" s="1" t="str">
        <f t="shared" si="72"/>
        <v>CL_MLP_PAO_IF_Ortho_26_04_16_EM4.tif</v>
      </c>
      <c r="D432" s="1" t="str">
        <f t="shared" si="80"/>
        <v>CL_MLP_PAO_IF_Ortho_26_04_16_EM4</v>
      </c>
      <c r="E432" s="1" t="s">
        <v>540</v>
      </c>
      <c r="F432" s="1" t="s">
        <v>460</v>
      </c>
      <c r="G432" s="1" t="s">
        <v>29</v>
      </c>
      <c r="H432" s="16">
        <v>46128</v>
      </c>
      <c r="I432" s="16">
        <v>46141</v>
      </c>
      <c r="J432" s="1" t="s">
        <v>30</v>
      </c>
      <c r="K432" s="2" t="str">
        <f t="shared" si="82"/>
        <v>https://sig.aminerals.cl/imgdyn/rest/services/CL_MLP_PAO/CL_MLP_PAO_IF_Ortho_Geosupport/ImageServer/file?id=.\El_Mauro_Drone\26_04_16\CL_MLP_PAO_IF_Ortho_26_04_16_EM4.tif&amp;rasterId=</v>
      </c>
      <c r="L432" s="1" t="s">
        <v>31</v>
      </c>
      <c r="M432" s="1" t="s">
        <v>32</v>
      </c>
      <c r="N432" s="1" t="s">
        <v>33</v>
      </c>
      <c r="O432" s="1" t="s">
        <v>34</v>
      </c>
      <c r="P432" s="3" t="str">
        <f t="shared" si="73"/>
        <v>16</v>
      </c>
      <c r="Q432" s="3" t="str">
        <f t="shared" si="74"/>
        <v>04</v>
      </c>
      <c r="R432" s="3" t="str">
        <f t="shared" si="75"/>
        <v>26</v>
      </c>
      <c r="S432" s="1" t="s">
        <v>87</v>
      </c>
      <c r="U432" s="1" t="s">
        <v>461</v>
      </c>
      <c r="V432" s="1" t="str">
        <f t="shared" si="76"/>
        <v>EM4</v>
      </c>
      <c r="W432" s="1" t="str">
        <f t="shared" si="81"/>
        <v>EM4</v>
      </c>
      <c r="X432" s="4" t="b">
        <f t="shared" si="77"/>
        <v>1</v>
      </c>
      <c r="Y432" s="1">
        <f>VLOOKUP(D432,'Orden de Imagen'!$A$1:D588,4,FALSE())</f>
        <v>398</v>
      </c>
      <c r="Z432" s="1" t="str">
        <f t="shared" si="78"/>
        <v>398_26_04_16_EM4</v>
      </c>
    </row>
    <row r="433" spans="1:26" x14ac:dyDescent="0.25">
      <c r="A433" s="1">
        <v>438</v>
      </c>
      <c r="B433" s="1" t="s">
        <v>768</v>
      </c>
      <c r="C433" s="1" t="str">
        <f t="shared" si="72"/>
        <v>CL_MLP_PAO_IF_Ortho_26_04_16_Pozos_PRP.tif</v>
      </c>
      <c r="D433" s="1" t="str">
        <f t="shared" si="80"/>
        <v>CL_MLP_PAO_IF_Ortho_26_04_16_Pozos_PRP</v>
      </c>
      <c r="E433" s="1" t="s">
        <v>675</v>
      </c>
      <c r="F433" s="1" t="s">
        <v>460</v>
      </c>
      <c r="G433" s="1" t="s">
        <v>29</v>
      </c>
      <c r="H433" s="16">
        <v>46128</v>
      </c>
      <c r="I433" s="16">
        <v>46141</v>
      </c>
      <c r="J433" s="1" t="s">
        <v>30</v>
      </c>
      <c r="K433" s="2" t="str">
        <f t="shared" si="82"/>
        <v>https://sig.aminerals.cl/imgdyn/rest/services/CL_MLP_PAO/CL_MLP_PAO_IF_Ortho_Geosupport/ImageServer/file?id=.\El_Mauro_Drone\26_04_16\CL_MLP_PAO_IF_Ortho_26_04_16_Pozos_PRP.tif&amp;rasterId=</v>
      </c>
      <c r="L433" s="1" t="s">
        <v>31</v>
      </c>
      <c r="M433" s="1" t="s">
        <v>32</v>
      </c>
      <c r="N433" s="1" t="s">
        <v>33</v>
      </c>
      <c r="O433" s="1" t="s">
        <v>34</v>
      </c>
      <c r="P433" s="3" t="str">
        <f t="shared" si="73"/>
        <v>16</v>
      </c>
      <c r="Q433" s="3" t="str">
        <f t="shared" si="74"/>
        <v>04</v>
      </c>
      <c r="R433" s="3" t="str">
        <f t="shared" si="75"/>
        <v>26</v>
      </c>
      <c r="S433" s="1" t="s">
        <v>87</v>
      </c>
      <c r="U433" s="1" t="s">
        <v>461</v>
      </c>
      <c r="V433" s="1" t="str">
        <f t="shared" si="76"/>
        <v>Pozos_PRP</v>
      </c>
      <c r="W433" s="1" t="str">
        <f t="shared" si="81"/>
        <v>Pozos_PRP</v>
      </c>
      <c r="X433" s="4" t="b">
        <f t="shared" si="77"/>
        <v>1</v>
      </c>
      <c r="Y433" s="1">
        <f>VLOOKUP(D433,'Orden de Imagen'!$A$1:D590,4,FALSE())</f>
        <v>399</v>
      </c>
      <c r="Z433" s="1" t="str">
        <f t="shared" si="78"/>
        <v>399_26_04_16_Pozos_PRP</v>
      </c>
    </row>
    <row r="434" spans="1:26" x14ac:dyDescent="0.25">
      <c r="A434" s="1">
        <v>439</v>
      </c>
      <c r="B434" s="1" t="s">
        <v>769</v>
      </c>
      <c r="C434" s="1" t="str">
        <f t="shared" si="72"/>
        <v>CL_MLP_PAO_IF_Ortho_26_04_17_EB3.tif</v>
      </c>
      <c r="D434" s="1" t="str">
        <f t="shared" si="80"/>
        <v>CL_MLP_PAO_IF_Ortho_26_04_17_EB3</v>
      </c>
      <c r="E434" s="1" t="s">
        <v>588</v>
      </c>
      <c r="F434" s="1" t="s">
        <v>460</v>
      </c>
      <c r="G434" s="1" t="s">
        <v>29</v>
      </c>
      <c r="H434" s="16">
        <v>46129</v>
      </c>
      <c r="I434" s="16">
        <v>46141</v>
      </c>
      <c r="J434" s="1" t="s">
        <v>30</v>
      </c>
      <c r="K434" s="2" t="str">
        <f t="shared" si="82"/>
        <v>https://sig.aminerals.cl/imgdyn/rest/services/CL_MLP_PAO/CL_MLP_PAO_IF_Ortho_Geosupport/ImageServer/file?id=.\El_Mauro_Drone\26_04_17\CL_MLP_PAO_IF_Ortho_26_04_17_EB3.tif&amp;rasterId=</v>
      </c>
      <c r="L434" s="1" t="s">
        <v>31</v>
      </c>
      <c r="M434" s="1" t="s">
        <v>32</v>
      </c>
      <c r="N434" s="1" t="s">
        <v>33</v>
      </c>
      <c r="O434" s="1" t="s">
        <v>34</v>
      </c>
      <c r="P434" s="3" t="str">
        <f t="shared" si="73"/>
        <v>17</v>
      </c>
      <c r="Q434" s="3" t="str">
        <f t="shared" si="74"/>
        <v>04</v>
      </c>
      <c r="R434" s="3" t="str">
        <f t="shared" si="75"/>
        <v>26</v>
      </c>
      <c r="S434" s="1" t="s">
        <v>87</v>
      </c>
      <c r="U434" s="1" t="s">
        <v>461</v>
      </c>
      <c r="V434" s="1" t="str">
        <f t="shared" si="76"/>
        <v>EB3</v>
      </c>
      <c r="W434" s="1" t="str">
        <f t="shared" si="81"/>
        <v>EB3</v>
      </c>
      <c r="X434" s="4" t="b">
        <f t="shared" si="77"/>
        <v>1</v>
      </c>
      <c r="Y434" s="1">
        <f>VLOOKUP(D434,'Orden de Imagen'!$A$1:D584,4,FALSE())</f>
        <v>401</v>
      </c>
      <c r="Z434" s="1" t="str">
        <f t="shared" si="78"/>
        <v>401_26_04_17_EB3</v>
      </c>
    </row>
    <row r="435" spans="1:26" x14ac:dyDescent="0.25">
      <c r="A435" s="1">
        <v>440</v>
      </c>
      <c r="B435" s="1" t="s">
        <v>770</v>
      </c>
      <c r="C435" s="1" t="str">
        <f t="shared" si="72"/>
        <v>CL_MLP_PAO_IF_Ortho_26_04_17_Estacion_Intermedia.tif</v>
      </c>
      <c r="D435" s="1" t="str">
        <f t="shared" si="80"/>
        <v>CL_MLP_PAO_IF_Ortho_26_04_17_Estacion_Intermedia</v>
      </c>
      <c r="E435" s="1" t="s">
        <v>682</v>
      </c>
      <c r="F435" s="1" t="s">
        <v>460</v>
      </c>
      <c r="G435" s="1" t="s">
        <v>29</v>
      </c>
      <c r="H435" s="16">
        <v>46129</v>
      </c>
      <c r="I435" s="16">
        <v>46141</v>
      </c>
      <c r="J435" s="1" t="s">
        <v>30</v>
      </c>
      <c r="K435" s="2" t="str">
        <f t="shared" si="82"/>
        <v>https://sig.aminerals.cl/imgdyn/rest/services/CL_MLP_PAO/CL_MLP_PAO_IF_Ortho_Geosupport/ImageServer/file?id=.\El_Mauro_Drone\26_04_17\CL_MLP_PAO_IF_Ortho_26_04_17_Estacion_Intermedia.tif&amp;rasterId=</v>
      </c>
      <c r="L435" s="1" t="s">
        <v>31</v>
      </c>
      <c r="M435" s="1" t="s">
        <v>32</v>
      </c>
      <c r="N435" s="1" t="s">
        <v>33</v>
      </c>
      <c r="O435" s="1" t="s">
        <v>34</v>
      </c>
      <c r="P435" s="3" t="str">
        <f t="shared" si="73"/>
        <v>17</v>
      </c>
      <c r="Q435" s="3" t="str">
        <f t="shared" si="74"/>
        <v>04</v>
      </c>
      <c r="R435" s="3" t="str">
        <f t="shared" si="75"/>
        <v>26</v>
      </c>
      <c r="S435" s="1" t="s">
        <v>87</v>
      </c>
      <c r="U435" s="1" t="s">
        <v>461</v>
      </c>
      <c r="V435" s="1" t="str">
        <f t="shared" si="76"/>
        <v>Estacion_Intermedia</v>
      </c>
      <c r="W435" s="1" t="str">
        <f t="shared" si="81"/>
        <v>Estacion_Intermedia</v>
      </c>
      <c r="X435" s="4" t="b">
        <f t="shared" si="77"/>
        <v>1</v>
      </c>
      <c r="Y435" s="1">
        <f>VLOOKUP(D435,'Orden de Imagen'!$A$1:D582,4,FALSE())</f>
        <v>402</v>
      </c>
      <c r="Z435" s="1" t="str">
        <f t="shared" si="78"/>
        <v>402_26_04_17_Estacion_Intermedia</v>
      </c>
    </row>
    <row r="436" spans="1:26" x14ac:dyDescent="0.25">
      <c r="A436" s="1">
        <v>417</v>
      </c>
      <c r="B436" s="1" t="s">
        <v>771</v>
      </c>
      <c r="C436" s="1" t="str">
        <f t="shared" si="72"/>
        <v>CL_MLP_PAO_IF_Ortho_26_04_18_EBR.tif</v>
      </c>
      <c r="D436" s="1" t="str">
        <f t="shared" si="80"/>
        <v>CL_MLP_PAO_IF_Ortho_26_04_18_EBR</v>
      </c>
      <c r="E436" s="1" t="s">
        <v>695</v>
      </c>
      <c r="F436" s="1" t="s">
        <v>460</v>
      </c>
      <c r="G436" s="1" t="s">
        <v>29</v>
      </c>
      <c r="H436" s="16">
        <v>46130</v>
      </c>
      <c r="I436" s="16">
        <v>46135</v>
      </c>
      <c r="J436" s="1" t="s">
        <v>30</v>
      </c>
      <c r="K436" s="2" t="str">
        <f t="shared" si="82"/>
        <v>https://sig.aminerals.cl/imgdyn/rest/services/CL_MLP_PAO/CL_MLP_PAO_IF_Ortho_Geosupport/ImageServer/file?id=.\El_Mauro_Drone\26_04_18\CL_MLP_PAO_IF_Ortho_26_04_18_EBR.tif&amp;rasterId=</v>
      </c>
      <c r="L436" s="1" t="s">
        <v>31</v>
      </c>
      <c r="M436" s="1" t="s">
        <v>32</v>
      </c>
      <c r="N436" s="1" t="s">
        <v>33</v>
      </c>
      <c r="O436" s="1" t="s">
        <v>34</v>
      </c>
      <c r="P436" s="3" t="str">
        <f t="shared" si="73"/>
        <v>18</v>
      </c>
      <c r="Q436" s="3" t="str">
        <f t="shared" si="74"/>
        <v>04</v>
      </c>
      <c r="R436" s="3" t="str">
        <f t="shared" si="75"/>
        <v>26</v>
      </c>
      <c r="S436" s="1" t="s">
        <v>87</v>
      </c>
      <c r="U436" s="1" t="s">
        <v>461</v>
      </c>
      <c r="V436" s="1" t="str">
        <f t="shared" si="76"/>
        <v>EBR</v>
      </c>
      <c r="W436" s="1" t="str">
        <f t="shared" si="81"/>
        <v>EBR</v>
      </c>
      <c r="X436" s="4" t="b">
        <f t="shared" si="77"/>
        <v>1</v>
      </c>
      <c r="Y436" s="1">
        <f>VLOOKUP(D436,'Orden de Imagen'!$A$1:D556,4,FALSE())</f>
        <v>405</v>
      </c>
      <c r="Z436" s="1" t="str">
        <f t="shared" si="78"/>
        <v>405_26_04_18_EBR</v>
      </c>
    </row>
    <row r="437" spans="1:26" x14ac:dyDescent="0.25">
      <c r="A437" s="1">
        <v>441</v>
      </c>
      <c r="B437" s="1" t="s">
        <v>772</v>
      </c>
      <c r="C437" s="1" t="str">
        <f t="shared" si="72"/>
        <v>CL_MLP_PAO_IF_Ortho_26_04_17_Subestacion-El-Mauro.tif</v>
      </c>
      <c r="D437" s="1" t="str">
        <f t="shared" si="80"/>
        <v>CL_MLP_PAO_IF_Ortho_26_04_17_Subestacion-El-Mauro</v>
      </c>
      <c r="E437" s="1" t="s">
        <v>90</v>
      </c>
      <c r="F437" s="1" t="s">
        <v>460</v>
      </c>
      <c r="G437" s="1" t="s">
        <v>29</v>
      </c>
      <c r="H437" s="16">
        <v>46129</v>
      </c>
      <c r="I437" s="16">
        <v>46141</v>
      </c>
      <c r="J437" s="1" t="s">
        <v>30</v>
      </c>
      <c r="K437" s="2" t="str">
        <f t="shared" si="82"/>
        <v>https://sig.aminerals.cl/imgdyn/rest/services/CL_MLP_PAO/CL_MLP_PAO_IF_Ortho_Geosupport/ImageServer/file?id=.\El_Mauro_Drone\26_04_17\CL_MLP_PAO_IF_Ortho_26_04_17_Subestacion-El-Mauro.tif&amp;rasterId=</v>
      </c>
      <c r="L437" s="1" t="s">
        <v>31</v>
      </c>
      <c r="M437" s="1" t="s">
        <v>32</v>
      </c>
      <c r="N437" s="1" t="s">
        <v>33</v>
      </c>
      <c r="O437" s="1" t="s">
        <v>34</v>
      </c>
      <c r="P437" s="3" t="str">
        <f t="shared" si="73"/>
        <v>17</v>
      </c>
      <c r="Q437" s="3" t="str">
        <f t="shared" si="74"/>
        <v>04</v>
      </c>
      <c r="R437" s="3" t="str">
        <f t="shared" si="75"/>
        <v>26</v>
      </c>
      <c r="S437" s="1" t="s">
        <v>87</v>
      </c>
      <c r="U437" s="1" t="s">
        <v>461</v>
      </c>
      <c r="V437" s="1" t="str">
        <f t="shared" si="76"/>
        <v>Subestacion-El-Mauro</v>
      </c>
      <c r="W437" s="1" t="str">
        <f t="shared" si="81"/>
        <v>Subestacion-El-Mauro</v>
      </c>
      <c r="X437" s="4" t="b">
        <f t="shared" si="77"/>
        <v>1</v>
      </c>
      <c r="Y437" s="1">
        <f>VLOOKUP(D437,'Orden de Imagen'!$A$1:D585,4,FALSE())</f>
        <v>403</v>
      </c>
      <c r="Z437" s="1" t="str">
        <f t="shared" si="78"/>
        <v>403_26_04_17_Subestacion-El-Mauro</v>
      </c>
    </row>
    <row r="438" spans="1:26" x14ac:dyDescent="0.25">
      <c r="A438" s="1">
        <v>442</v>
      </c>
      <c r="B438" s="1" t="s">
        <v>773</v>
      </c>
      <c r="C438" s="1" t="str">
        <f t="shared" si="72"/>
        <v>CL_MLP_PAO_IF_Ortho_26_04_18_Helipuerto.tif</v>
      </c>
      <c r="D438" s="1" t="str">
        <f t="shared" si="80"/>
        <v>CL_MLP_PAO_IF_Ortho_26_04_18_Helipuerto</v>
      </c>
      <c r="E438" s="1" t="s">
        <v>685</v>
      </c>
      <c r="F438" s="1" t="s">
        <v>460</v>
      </c>
      <c r="G438" s="1" t="s">
        <v>29</v>
      </c>
      <c r="H438" s="16">
        <v>46130</v>
      </c>
      <c r="I438" s="16">
        <v>46141</v>
      </c>
      <c r="J438" s="1" t="s">
        <v>30</v>
      </c>
      <c r="K438" s="2" t="str">
        <f t="shared" si="82"/>
        <v>https://sig.aminerals.cl/imgdyn/rest/services/CL_MLP_PAO/CL_MLP_PAO_IF_Ortho_Geosupport/ImageServer/file?id=.\El_Mauro_Drone\26_04_18\CL_MLP_PAO_IF_Ortho_26_04_18_Helipuerto.tif&amp;rasterId=</v>
      </c>
      <c r="L438" s="1" t="s">
        <v>31</v>
      </c>
      <c r="M438" s="1" t="s">
        <v>32</v>
      </c>
      <c r="N438" s="1" t="s">
        <v>33</v>
      </c>
      <c r="O438" s="1" t="s">
        <v>34</v>
      </c>
      <c r="P438" s="3" t="str">
        <f t="shared" si="73"/>
        <v>18</v>
      </c>
      <c r="Q438" s="3" t="str">
        <f t="shared" si="74"/>
        <v>04</v>
      </c>
      <c r="R438" s="3" t="str">
        <f t="shared" si="75"/>
        <v>26</v>
      </c>
      <c r="S438" s="1" t="s">
        <v>87</v>
      </c>
      <c r="U438" s="1" t="s">
        <v>461</v>
      </c>
      <c r="V438" s="1" t="str">
        <f t="shared" si="76"/>
        <v>Helipuerto</v>
      </c>
      <c r="W438" s="1" t="str">
        <f t="shared" si="81"/>
        <v>Helipuerto</v>
      </c>
      <c r="X438" s="4" t="b">
        <f t="shared" si="77"/>
        <v>1</v>
      </c>
      <c r="Y438" s="1">
        <f>VLOOKUP(D438,'Orden de Imagen'!$A$1:D577,4,FALSE())</f>
        <v>409</v>
      </c>
      <c r="Z438" s="1" t="str">
        <f t="shared" si="78"/>
        <v>409_26_04_18_Helipuerto</v>
      </c>
    </row>
    <row r="439" spans="1:26" x14ac:dyDescent="0.25">
      <c r="A439" s="1">
        <v>443</v>
      </c>
      <c r="B439" s="1" t="s">
        <v>774</v>
      </c>
      <c r="C439" s="1" t="str">
        <f t="shared" si="72"/>
        <v>CL_MLP_PAO_IF_Ortho_26_04_18_Patio-19B-y-Armado.tif</v>
      </c>
      <c r="D439" s="1" t="str">
        <f t="shared" si="80"/>
        <v>CL_MLP_PAO_IF_Ortho_26_04_18_Patio-19B-y-Armado</v>
      </c>
      <c r="E439" s="1" t="s">
        <v>472</v>
      </c>
      <c r="F439" s="1" t="s">
        <v>460</v>
      </c>
      <c r="G439" s="1" t="s">
        <v>29</v>
      </c>
      <c r="H439" s="16">
        <v>46130</v>
      </c>
      <c r="I439" s="16">
        <v>46141</v>
      </c>
      <c r="J439" s="1" t="s">
        <v>30</v>
      </c>
      <c r="K439" s="2" t="str">
        <f t="shared" si="82"/>
        <v>https://sig.aminerals.cl/imgdyn/rest/services/CL_MLP_PAO/CL_MLP_PAO_IF_Ortho_Geosupport/ImageServer/file?id=.\El_Mauro_Drone\26_04_18\CL_MLP_PAO_IF_Ortho_26_04_18_Patio-19B-y-Armado.tif&amp;rasterId=</v>
      </c>
      <c r="L439" s="1" t="s">
        <v>31</v>
      </c>
      <c r="M439" s="1" t="s">
        <v>32</v>
      </c>
      <c r="N439" s="1" t="s">
        <v>33</v>
      </c>
      <c r="O439" s="1" t="s">
        <v>34</v>
      </c>
      <c r="P439" s="3" t="str">
        <f t="shared" si="73"/>
        <v>18</v>
      </c>
      <c r="Q439" s="3" t="str">
        <f t="shared" si="74"/>
        <v>04</v>
      </c>
      <c r="R439" s="3" t="str">
        <f t="shared" si="75"/>
        <v>26</v>
      </c>
      <c r="S439" s="1" t="s">
        <v>87</v>
      </c>
      <c r="U439" s="1" t="s">
        <v>461</v>
      </c>
      <c r="V439" s="1" t="str">
        <f t="shared" si="76"/>
        <v>Patio-19B-y-Armado</v>
      </c>
      <c r="W439" s="1" t="str">
        <f t="shared" si="81"/>
        <v>Patio-19B-y-Armado</v>
      </c>
      <c r="X439" s="4" t="b">
        <f t="shared" si="77"/>
        <v>1</v>
      </c>
      <c r="Y439" s="1">
        <f>VLOOKUP(D439,'Orden de Imagen'!$A$1:D575,4,FALSE())</f>
        <v>411</v>
      </c>
      <c r="Z439" s="1" t="str">
        <f t="shared" si="78"/>
        <v>411_26_04_18_Patio-19B-y-Armado</v>
      </c>
    </row>
    <row r="440" spans="1:26" x14ac:dyDescent="0.25">
      <c r="A440" s="1">
        <v>444</v>
      </c>
      <c r="B440" s="1" t="s">
        <v>775</v>
      </c>
      <c r="C440" s="1" t="str">
        <f t="shared" si="72"/>
        <v>CL_MLP_PAO_IF_Ortho_26_04_22_EB3.tif</v>
      </c>
      <c r="D440" s="1" t="str">
        <f t="shared" si="80"/>
        <v>CL_MLP_PAO_IF_Ortho_26_04_22_EB3</v>
      </c>
      <c r="E440" s="1" t="s">
        <v>588</v>
      </c>
      <c r="F440" s="1" t="s">
        <v>460</v>
      </c>
      <c r="G440" s="1" t="s">
        <v>29</v>
      </c>
      <c r="H440" s="16">
        <v>46134</v>
      </c>
      <c r="I440" s="16">
        <v>46141</v>
      </c>
      <c r="J440" s="1" t="s">
        <v>30</v>
      </c>
      <c r="K440" s="2" t="str">
        <f t="shared" si="82"/>
        <v>https://sig.aminerals.cl/imgdyn/rest/services/CL_MLP_PAO/CL_MLP_PAO_IF_Ortho_Geosupport/ImageServer/file?id=.\El_Mauro_Drone\26_04_22\CL_MLP_PAO_IF_Ortho_26_04_22_EB3.tif&amp;rasterId=</v>
      </c>
      <c r="L440" s="1" t="s">
        <v>31</v>
      </c>
      <c r="M440" s="1" t="s">
        <v>32</v>
      </c>
      <c r="N440" s="1" t="s">
        <v>33</v>
      </c>
      <c r="O440" s="1" t="s">
        <v>34</v>
      </c>
      <c r="P440" s="3" t="str">
        <f t="shared" si="73"/>
        <v>22</v>
      </c>
      <c r="Q440" s="3" t="str">
        <f t="shared" si="74"/>
        <v>04</v>
      </c>
      <c r="R440" s="3" t="str">
        <f t="shared" si="75"/>
        <v>26</v>
      </c>
      <c r="S440" s="1" t="s">
        <v>87</v>
      </c>
      <c r="U440" s="1" t="s">
        <v>461</v>
      </c>
      <c r="V440" s="1" t="str">
        <f t="shared" si="76"/>
        <v>EB3</v>
      </c>
      <c r="W440" s="1" t="str">
        <f t="shared" si="81"/>
        <v>EB3</v>
      </c>
      <c r="X440" s="4" t="b">
        <f t="shared" si="77"/>
        <v>1</v>
      </c>
      <c r="Y440" s="1">
        <f>VLOOKUP(D440,'Orden de Imagen'!$A$1:D570,4,FALSE())</f>
        <v>413</v>
      </c>
      <c r="Z440" s="1" t="str">
        <f t="shared" si="78"/>
        <v>413_26_04_22_EB3</v>
      </c>
    </row>
    <row r="441" spans="1:26" x14ac:dyDescent="0.25">
      <c r="A441" s="1">
        <v>445</v>
      </c>
      <c r="B441" s="1" t="s">
        <v>776</v>
      </c>
      <c r="C441" s="1" t="str">
        <f t="shared" si="72"/>
        <v>CL_MLP_PAO_IF_Ortho_26_04_22_Estacion_Intermedia.tif</v>
      </c>
      <c r="D441" s="1" t="str">
        <f t="shared" si="80"/>
        <v>CL_MLP_PAO_IF_Ortho_26_04_22_Estacion_Intermedia</v>
      </c>
      <c r="E441" s="1" t="s">
        <v>682</v>
      </c>
      <c r="F441" s="1" t="s">
        <v>460</v>
      </c>
      <c r="G441" s="1" t="s">
        <v>29</v>
      </c>
      <c r="H441" s="16">
        <v>46134</v>
      </c>
      <c r="I441" s="16">
        <v>46141</v>
      </c>
      <c r="J441" s="1" t="s">
        <v>30</v>
      </c>
      <c r="K441" s="2" t="str">
        <f t="shared" si="82"/>
        <v>https://sig.aminerals.cl/imgdyn/rest/services/CL_MLP_PAO/CL_MLP_PAO_IF_Ortho_Geosupport/ImageServer/file?id=.\El_Mauro_Drone\26_04_22\CL_MLP_PAO_IF_Ortho_26_04_22_Estacion_Intermedia.tif&amp;rasterId=</v>
      </c>
      <c r="L441" s="1" t="s">
        <v>31</v>
      </c>
      <c r="M441" s="1" t="s">
        <v>32</v>
      </c>
      <c r="N441" s="1" t="s">
        <v>33</v>
      </c>
      <c r="O441" s="1" t="s">
        <v>34</v>
      </c>
      <c r="P441" s="3" t="str">
        <f t="shared" si="73"/>
        <v>22</v>
      </c>
      <c r="Q441" s="3" t="str">
        <f t="shared" si="74"/>
        <v>04</v>
      </c>
      <c r="R441" s="3" t="str">
        <f t="shared" si="75"/>
        <v>26</v>
      </c>
      <c r="S441" s="1" t="s">
        <v>87</v>
      </c>
      <c r="U441" s="1" t="s">
        <v>461</v>
      </c>
      <c r="V441" s="1" t="str">
        <f t="shared" si="76"/>
        <v>Estacion_Intermedia</v>
      </c>
      <c r="W441" s="1" t="str">
        <f t="shared" si="81"/>
        <v>Estacion_Intermedia</v>
      </c>
      <c r="X441" s="4" t="b">
        <f t="shared" si="77"/>
        <v>1</v>
      </c>
      <c r="Y441" s="1">
        <f>VLOOKUP(D441,'Orden de Imagen'!$A$1:D569,4,FALSE())</f>
        <v>414</v>
      </c>
      <c r="Z441" s="1" t="str">
        <f t="shared" si="78"/>
        <v>414_26_04_22_Estacion_Intermedia</v>
      </c>
    </row>
    <row r="442" spans="1:26" x14ac:dyDescent="0.25">
      <c r="A442" s="1">
        <v>446</v>
      </c>
      <c r="B442" s="1" t="s">
        <v>777</v>
      </c>
      <c r="C442" s="1" t="str">
        <f t="shared" si="72"/>
        <v>CL_MLP_PAO_IF_Ortho_26_04_22_Subestacion-El-Mauro.tif</v>
      </c>
      <c r="D442" s="1" t="str">
        <f t="shared" si="80"/>
        <v>CL_MLP_PAO_IF_Ortho_26_04_22_Subestacion-El-Mauro</v>
      </c>
      <c r="E442" s="1" t="s">
        <v>90</v>
      </c>
      <c r="F442" s="1" t="s">
        <v>460</v>
      </c>
      <c r="G442" s="1" t="s">
        <v>29</v>
      </c>
      <c r="H442" s="16">
        <v>46134</v>
      </c>
      <c r="I442" s="16">
        <v>46141</v>
      </c>
      <c r="J442" s="1" t="s">
        <v>30</v>
      </c>
      <c r="K442" s="2" t="str">
        <f t="shared" si="82"/>
        <v>https://sig.aminerals.cl/imgdyn/rest/services/CL_MLP_PAO/CL_MLP_PAO_IF_Ortho_Geosupport/ImageServer/file?id=.\El_Mauro_Drone\26_04_22\CL_MLP_PAO_IF_Ortho_26_04_22_Subestacion-El-Mauro.tif&amp;rasterId=</v>
      </c>
      <c r="L442" s="1" t="s">
        <v>31</v>
      </c>
      <c r="M442" s="1" t="s">
        <v>32</v>
      </c>
      <c r="N442" s="1" t="s">
        <v>33</v>
      </c>
      <c r="O442" s="1" t="s">
        <v>34</v>
      </c>
      <c r="P442" s="3" t="str">
        <f t="shared" si="73"/>
        <v>22</v>
      </c>
      <c r="Q442" s="3" t="str">
        <f t="shared" si="74"/>
        <v>04</v>
      </c>
      <c r="R442" s="3" t="str">
        <f t="shared" si="75"/>
        <v>26</v>
      </c>
      <c r="S442" s="1" t="s">
        <v>87</v>
      </c>
      <c r="U442" s="1" t="s">
        <v>461</v>
      </c>
      <c r="V442" s="1" t="str">
        <f t="shared" si="76"/>
        <v>Subestacion-El-Mauro</v>
      </c>
      <c r="W442" s="1" t="str">
        <f t="shared" si="81"/>
        <v>Subestacion-El-Mauro</v>
      </c>
      <c r="X442" s="4" t="b">
        <f t="shared" si="77"/>
        <v>1</v>
      </c>
      <c r="Y442" s="1">
        <f>VLOOKUP(D442,'Orden de Imagen'!$A$1:D571,4,FALSE())</f>
        <v>415</v>
      </c>
      <c r="Z442" s="1" t="str">
        <f t="shared" si="78"/>
        <v>415_26_04_22_Subestacion-El-Mauro</v>
      </c>
    </row>
    <row r="443" spans="1:26" x14ac:dyDescent="0.25">
      <c r="A443" s="1">
        <v>447</v>
      </c>
      <c r="B443" s="1" t="s">
        <v>778</v>
      </c>
      <c r="C443" s="1" t="str">
        <f t="shared" si="72"/>
        <v>CL_MLP_PAO_IF_Ortho_26_04_23_TORRES_E35_A_E48.tif</v>
      </c>
      <c r="D443" s="1" t="str">
        <f t="shared" si="80"/>
        <v>CL_MLP_PAO_IF_Ortho_26_04_23_TORRES_E35_A_E48</v>
      </c>
      <c r="E443" s="1" t="s">
        <v>600</v>
      </c>
      <c r="F443" s="1" t="s">
        <v>460</v>
      </c>
      <c r="G443" s="1" t="s">
        <v>29</v>
      </c>
      <c r="H443" s="16">
        <v>46135</v>
      </c>
      <c r="I443" s="16">
        <v>46141</v>
      </c>
      <c r="J443" s="1" t="s">
        <v>30</v>
      </c>
      <c r="K443" s="2" t="str">
        <f t="shared" si="82"/>
        <v>https://sig.aminerals.cl/imgdyn/rest/services/CL_MLP_PAO/CL_MLP_PAO_IF_Ortho_Geosupport/ImageServer/file?id=.\El_Mauro_Drone\26_04_23\CL_MLP_PAO_IF_Ortho_26_04_23_TORRES_E35_A_E48.tif&amp;rasterId=</v>
      </c>
      <c r="L443" s="1" t="s">
        <v>31</v>
      </c>
      <c r="M443" s="1" t="s">
        <v>32</v>
      </c>
      <c r="N443" s="1" t="s">
        <v>33</v>
      </c>
      <c r="O443" s="1" t="s">
        <v>34</v>
      </c>
      <c r="P443" s="3" t="str">
        <f t="shared" si="73"/>
        <v>23</v>
      </c>
      <c r="Q443" s="3" t="str">
        <f t="shared" si="74"/>
        <v>04</v>
      </c>
      <c r="R443" s="3" t="str">
        <f t="shared" si="75"/>
        <v>26</v>
      </c>
      <c r="S443" s="1" t="s">
        <v>87</v>
      </c>
      <c r="U443" s="1" t="s">
        <v>461</v>
      </c>
      <c r="V443" s="1" t="str">
        <f t="shared" si="76"/>
        <v>TORRES_E35_A_E48</v>
      </c>
      <c r="W443" s="1" t="str">
        <f t="shared" si="81"/>
        <v>TORRES_E35_A_E48</v>
      </c>
      <c r="X443" s="4" t="b">
        <f t="shared" si="77"/>
        <v>1</v>
      </c>
      <c r="Y443" s="1">
        <f>VLOOKUP(D443,'Orden de Imagen'!$A$1:D568,4,FALSE())</f>
        <v>416</v>
      </c>
      <c r="Z443" s="1" t="str">
        <f t="shared" si="78"/>
        <v>416_26_04_23_TORRES_E35_A_E48</v>
      </c>
    </row>
    <row r="444" spans="1:26" x14ac:dyDescent="0.25">
      <c r="A444" s="1">
        <v>448</v>
      </c>
      <c r="B444" s="1" t="s">
        <v>779</v>
      </c>
      <c r="C444" s="1" t="str">
        <f t="shared" si="72"/>
        <v>CL_MLP_PAO_IF_Ortho_26_04_24_Patio-19B-y-Armado.tif</v>
      </c>
      <c r="D444" s="1" t="str">
        <f t="shared" si="80"/>
        <v>CL_MLP_PAO_IF_Ortho_26_04_24_Patio-19B-y-Armado</v>
      </c>
      <c r="E444" s="1" t="s">
        <v>472</v>
      </c>
      <c r="F444" s="1" t="s">
        <v>460</v>
      </c>
      <c r="G444" s="1" t="s">
        <v>29</v>
      </c>
      <c r="H444" s="16">
        <v>46136</v>
      </c>
      <c r="I444" s="16">
        <v>46141</v>
      </c>
      <c r="J444" s="1" t="s">
        <v>30</v>
      </c>
      <c r="K444" s="2" t="str">
        <f t="shared" si="82"/>
        <v>https://sig.aminerals.cl/imgdyn/rest/services/CL_MLP_PAO/CL_MLP_PAO_IF_Ortho_Geosupport/ImageServer/file?id=.\El_Mauro_Drone\26_04_24\CL_MLP_PAO_IF_Ortho_26_04_24_Patio-19B-y-Armado.tif&amp;rasterId=</v>
      </c>
      <c r="L444" s="1" t="s">
        <v>31</v>
      </c>
      <c r="M444" s="1" t="s">
        <v>32</v>
      </c>
      <c r="N444" s="1" t="s">
        <v>33</v>
      </c>
      <c r="O444" s="1" t="s">
        <v>34</v>
      </c>
      <c r="P444" s="3" t="str">
        <f t="shared" si="73"/>
        <v>24</v>
      </c>
      <c r="Q444" s="3" t="str">
        <f t="shared" si="74"/>
        <v>04</v>
      </c>
      <c r="R444" s="3" t="str">
        <f t="shared" si="75"/>
        <v>26</v>
      </c>
      <c r="S444" s="1" t="s">
        <v>87</v>
      </c>
      <c r="U444" s="1" t="s">
        <v>461</v>
      </c>
      <c r="V444" s="1" t="str">
        <f t="shared" si="76"/>
        <v>Patio-19B-y-Armado</v>
      </c>
      <c r="W444" s="1" t="str">
        <f t="shared" si="81"/>
        <v>Patio-19B-y-Armado</v>
      </c>
      <c r="X444" s="4" t="b">
        <f t="shared" si="77"/>
        <v>1</v>
      </c>
      <c r="Y444" s="1">
        <f>VLOOKUP(D444,'Orden de Imagen'!$A$1:D567,4,FALSE())</f>
        <v>417</v>
      </c>
      <c r="Z444" s="1" t="str">
        <f t="shared" si="78"/>
        <v>417_26_04_24_Patio-19B-y-Armado</v>
      </c>
    </row>
    <row r="445" spans="1:26" x14ac:dyDescent="0.25">
      <c r="A445" s="1">
        <v>449</v>
      </c>
      <c r="B445" s="1" t="s">
        <v>780</v>
      </c>
      <c r="C445" s="1" t="str">
        <f t="shared" si="72"/>
        <v>CL_MLP_PAO_IF_Ortho_26_04_25_EBD.tif</v>
      </c>
      <c r="D445" s="1" t="str">
        <f t="shared" si="80"/>
        <v>CL_MLP_PAO_IF_Ortho_26_04_25_EBD</v>
      </c>
      <c r="E445" s="1" t="s">
        <v>608</v>
      </c>
      <c r="F445" s="1" t="s">
        <v>460</v>
      </c>
      <c r="G445" s="1" t="s">
        <v>29</v>
      </c>
      <c r="H445" s="16">
        <v>46137</v>
      </c>
      <c r="I445" s="16">
        <v>46141</v>
      </c>
      <c r="J445" s="1" t="s">
        <v>30</v>
      </c>
      <c r="K445" s="2" t="str">
        <f t="shared" si="82"/>
        <v>https://sig.aminerals.cl/imgdyn/rest/services/CL_MLP_PAO/CL_MLP_PAO_IF_Ortho_Geosupport/ImageServer/file?id=.\El_Mauro_Drone\26_04_25\CL_MLP_PAO_IF_Ortho_26_04_25_EBD.tif&amp;rasterId=</v>
      </c>
      <c r="L445" s="1" t="s">
        <v>31</v>
      </c>
      <c r="M445" s="1" t="s">
        <v>32</v>
      </c>
      <c r="N445" s="1" t="s">
        <v>33</v>
      </c>
      <c r="O445" s="1" t="s">
        <v>34</v>
      </c>
      <c r="P445" s="3" t="str">
        <f t="shared" si="73"/>
        <v>25</v>
      </c>
      <c r="Q445" s="3" t="str">
        <f t="shared" si="74"/>
        <v>04</v>
      </c>
      <c r="R445" s="3" t="str">
        <f t="shared" si="75"/>
        <v>26</v>
      </c>
      <c r="S445" s="1" t="s">
        <v>87</v>
      </c>
      <c r="U445" s="1" t="s">
        <v>461</v>
      </c>
      <c r="V445" s="1" t="str">
        <f t="shared" si="76"/>
        <v>EBD</v>
      </c>
      <c r="W445" s="1" t="str">
        <f t="shared" si="81"/>
        <v>EBD</v>
      </c>
      <c r="X445" s="4" t="b">
        <f t="shared" si="77"/>
        <v>1</v>
      </c>
      <c r="Y445" s="1">
        <f>VLOOKUP(D445,'Orden de Imagen'!$A$1:D565,4,FALSE())</f>
        <v>418</v>
      </c>
      <c r="Z445" s="1" t="str">
        <f t="shared" si="78"/>
        <v>418_26_04_25_EBD</v>
      </c>
    </row>
    <row r="446" spans="1:26" x14ac:dyDescent="0.25">
      <c r="A446" s="1">
        <v>450</v>
      </c>
      <c r="B446" s="1" t="s">
        <v>781</v>
      </c>
      <c r="C446" s="1" t="str">
        <f t="shared" si="72"/>
        <v>CL_MLP_PAO_IF_Ortho_26_04_25_Pozos_PRP.tif</v>
      </c>
      <c r="D446" s="1" t="str">
        <f t="shared" si="80"/>
        <v>CL_MLP_PAO_IF_Ortho_26_04_25_Pozos_PRP</v>
      </c>
      <c r="E446" s="1" t="s">
        <v>675</v>
      </c>
      <c r="F446" s="1" t="s">
        <v>460</v>
      </c>
      <c r="G446" s="1" t="s">
        <v>29</v>
      </c>
      <c r="H446" s="16">
        <v>46137</v>
      </c>
      <c r="I446" s="16">
        <v>46141</v>
      </c>
      <c r="J446" s="1" t="s">
        <v>30</v>
      </c>
      <c r="K446" s="2" t="str">
        <f t="shared" si="82"/>
        <v>https://sig.aminerals.cl/imgdyn/rest/services/CL_MLP_PAO/CL_MLP_PAO_IF_Ortho_Geosupport/ImageServer/file?id=.\El_Mauro_Drone\26_04_25\CL_MLP_PAO_IF_Ortho_26_04_25_Pozos_PRP.tif&amp;rasterId=</v>
      </c>
      <c r="L446" s="1" t="s">
        <v>31</v>
      </c>
      <c r="M446" s="1" t="s">
        <v>32</v>
      </c>
      <c r="N446" s="1" t="s">
        <v>33</v>
      </c>
      <c r="O446" s="1" t="s">
        <v>34</v>
      </c>
      <c r="P446" s="3" t="str">
        <f t="shared" si="73"/>
        <v>25</v>
      </c>
      <c r="Q446" s="3" t="str">
        <f t="shared" si="74"/>
        <v>04</v>
      </c>
      <c r="R446" s="3" t="str">
        <f t="shared" si="75"/>
        <v>26</v>
      </c>
      <c r="S446" s="1" t="s">
        <v>87</v>
      </c>
      <c r="U446" s="1" t="s">
        <v>461</v>
      </c>
      <c r="V446" s="1" t="str">
        <f t="shared" si="76"/>
        <v>Pozos_PRP</v>
      </c>
      <c r="W446" s="1" t="str">
        <f t="shared" si="81"/>
        <v>Pozos_PRP</v>
      </c>
      <c r="X446" s="4" t="b">
        <f t="shared" si="77"/>
        <v>1</v>
      </c>
      <c r="Y446" s="1">
        <f>VLOOKUP(D446,'Orden de Imagen'!$A$1:D566,4,FALSE())</f>
        <v>420</v>
      </c>
      <c r="Z446" s="1" t="str">
        <f t="shared" si="78"/>
        <v>420_26_04_25_Pozos_PRP</v>
      </c>
    </row>
    <row r="447" spans="1:26" x14ac:dyDescent="0.25">
      <c r="A447" s="1">
        <v>451</v>
      </c>
      <c r="B447" s="1" t="s">
        <v>782</v>
      </c>
      <c r="C447" s="1" t="str">
        <f t="shared" ref="C447:C488" si="83">CONCATENATE(L447,"_",M447,"_",G447,"_",N447,"_",O447,"_",R447,"_",Q447,"_",P447,"_",E447,".tif")</f>
        <v>CL_MLP_PAO_IF_Ortho_26_04_16_TORRES_E48_A_E84_PV4.tif</v>
      </c>
      <c r="D447" s="1" t="str">
        <f t="shared" si="80"/>
        <v>CL_MLP_PAO_IF_Ortho_26_04_16_TORRES_E48_A_E84_PV4</v>
      </c>
      <c r="E447" s="1" t="s">
        <v>566</v>
      </c>
      <c r="F447" s="1" t="s">
        <v>460</v>
      </c>
      <c r="G447" s="1" t="s">
        <v>29</v>
      </c>
      <c r="H447" s="16">
        <v>46128</v>
      </c>
      <c r="I447" s="16">
        <v>46141</v>
      </c>
      <c r="J447" s="1" t="s">
        <v>30</v>
      </c>
      <c r="K447" s="2" t="str">
        <f t="shared" si="82"/>
        <v>https://sig.aminerals.cl/imgdyn/rest/services/CL_MLP_PAO/CL_MLP_PAO_IF_Ortho_Geosupport/ImageServer/file?id=.\El_Mauro_Puerto_Punta_Chungo_Drone\26_04_16\CL_MLP_PAO_IF_Ortho_26_04_16_TORRES_E48_A_E84_PV4.tif&amp;rasterId=</v>
      </c>
      <c r="L447" s="1" t="s">
        <v>31</v>
      </c>
      <c r="M447" s="1" t="s">
        <v>32</v>
      </c>
      <c r="N447" s="1" t="s">
        <v>33</v>
      </c>
      <c r="O447" s="1" t="s">
        <v>34</v>
      </c>
      <c r="P447" s="3" t="str">
        <f t="shared" si="73"/>
        <v>16</v>
      </c>
      <c r="Q447" s="3" t="str">
        <f t="shared" si="74"/>
        <v>04</v>
      </c>
      <c r="R447" s="3" t="str">
        <f t="shared" si="75"/>
        <v>26</v>
      </c>
      <c r="S447" s="1" t="s">
        <v>50</v>
      </c>
      <c r="U447" s="1" t="s">
        <v>461</v>
      </c>
      <c r="V447" s="1" t="str">
        <f t="shared" si="76"/>
        <v>TORRES_E48_A_E84_PV4</v>
      </c>
      <c r="W447" s="1" t="str">
        <f t="shared" si="81"/>
        <v>TORRES_E48_A_E84_PV4</v>
      </c>
      <c r="X447" s="4" t="b">
        <f t="shared" si="77"/>
        <v>1</v>
      </c>
      <c r="Y447" s="1">
        <f>VLOOKUP(D447,'Orden de Imagen'!$A$1:D579,4,FALSE())</f>
        <v>400</v>
      </c>
      <c r="Z447" s="1" t="str">
        <f t="shared" si="78"/>
        <v>400_26_04_16_TORRES_E48_A_E84_PV4</v>
      </c>
    </row>
    <row r="448" spans="1:26" x14ac:dyDescent="0.25">
      <c r="A448" s="1">
        <v>452</v>
      </c>
      <c r="B448" s="1" t="s">
        <v>783</v>
      </c>
      <c r="C448" s="1" t="str">
        <f t="shared" si="83"/>
        <v>CL_MLP_PAO_IF_Ortho_26_04_17_TORRE_E85_A_E_125.tif</v>
      </c>
      <c r="D448" s="1" t="str">
        <f t="shared" si="80"/>
        <v>CL_MLP_PAO_IF_Ortho_26_04_17_TORRE_E85_A_E_125</v>
      </c>
      <c r="E448" s="1" t="s">
        <v>483</v>
      </c>
      <c r="F448" s="1" t="s">
        <v>460</v>
      </c>
      <c r="G448" s="1" t="s">
        <v>29</v>
      </c>
      <c r="H448" s="16">
        <v>46129</v>
      </c>
      <c r="I448" s="16">
        <v>46141</v>
      </c>
      <c r="J448" s="1" t="s">
        <v>30</v>
      </c>
      <c r="K448" s="2" t="str">
        <f t="shared" si="82"/>
        <v>https://sig.aminerals.cl/imgdyn/rest/services/CL_MLP_PAO/CL_MLP_PAO_IF_Ortho_Geosupport/ImageServer/file?id=.\El_Mauro_Puerto_Punta_Chungo_Drone\26_04_17\CL_MLP_PAO_IF_Ortho_26_04_17_TORRE_E85_A_E_125.tif&amp;rasterId=</v>
      </c>
      <c r="L448" s="1" t="s">
        <v>31</v>
      </c>
      <c r="M448" s="1" t="s">
        <v>32</v>
      </c>
      <c r="N448" s="1" t="s">
        <v>33</v>
      </c>
      <c r="O448" s="1" t="s">
        <v>34</v>
      </c>
      <c r="P448" s="3" t="str">
        <f t="shared" si="73"/>
        <v>17</v>
      </c>
      <c r="Q448" s="3" t="str">
        <f t="shared" si="74"/>
        <v>04</v>
      </c>
      <c r="R448" s="3" t="str">
        <f t="shared" si="75"/>
        <v>26</v>
      </c>
      <c r="S448" s="1" t="s">
        <v>50</v>
      </c>
      <c r="U448" s="1" t="s">
        <v>461</v>
      </c>
      <c r="V448" s="1" t="str">
        <f t="shared" si="76"/>
        <v>TORRE_E85_A_E_125</v>
      </c>
      <c r="W448" s="1" t="str">
        <f t="shared" si="81"/>
        <v>TORRE_E85_A_E_125</v>
      </c>
      <c r="X448" s="4" t="b">
        <f t="shared" si="77"/>
        <v>1</v>
      </c>
      <c r="Y448" s="1">
        <f>VLOOKUP(D448,'Orden de Imagen'!$A$1:D578,4,FALSE())</f>
        <v>404</v>
      </c>
      <c r="Z448" s="1" t="str">
        <f t="shared" si="78"/>
        <v>404_26_04_17_TORRE_E85_A_E_125</v>
      </c>
    </row>
    <row r="449" spans="1:26" x14ac:dyDescent="0.25">
      <c r="A449" s="1">
        <v>453</v>
      </c>
      <c r="B449" s="1" t="s">
        <v>784</v>
      </c>
      <c r="C449" s="1" t="str">
        <f t="shared" si="83"/>
        <v>CL_MLP_PAO_IF_Ortho_26_04_18_ED1.tif</v>
      </c>
      <c r="D449" s="1" t="str">
        <f t="shared" si="80"/>
        <v>CL_MLP_PAO_IF_Ortho_26_04_18_ED1</v>
      </c>
      <c r="E449" s="1" t="s">
        <v>697</v>
      </c>
      <c r="F449" s="1" t="s">
        <v>460</v>
      </c>
      <c r="G449" s="1" t="s">
        <v>29</v>
      </c>
      <c r="H449" s="16">
        <v>46130</v>
      </c>
      <c r="I449" s="16">
        <v>46141</v>
      </c>
      <c r="J449" s="1" t="s">
        <v>30</v>
      </c>
      <c r="K449" s="2" t="str">
        <f t="shared" si="82"/>
        <v>https://sig.aminerals.cl/imgdyn/rest/services/CL_MLP_PAO/CL_MLP_PAO_IF_Ortho_Geosupport/ImageServer/file?id=.\El_Mauro_Puerto_Punta_Chungo_Drone\26_04_18\CL_MLP_PAO_IF_Ortho_26_04_18_ED1.tif&amp;rasterId=</v>
      </c>
      <c r="L449" s="1" t="s">
        <v>31</v>
      </c>
      <c r="M449" s="1" t="s">
        <v>32</v>
      </c>
      <c r="N449" s="1" t="s">
        <v>33</v>
      </c>
      <c r="O449" s="1" t="s">
        <v>34</v>
      </c>
      <c r="P449" s="3" t="str">
        <f t="shared" si="73"/>
        <v>18</v>
      </c>
      <c r="Q449" s="3" t="str">
        <f t="shared" si="74"/>
        <v>04</v>
      </c>
      <c r="R449" s="3" t="str">
        <f t="shared" si="75"/>
        <v>26</v>
      </c>
      <c r="S449" s="1" t="s">
        <v>50</v>
      </c>
      <c r="U449" s="1" t="s">
        <v>461</v>
      </c>
      <c r="V449" s="1" t="str">
        <f t="shared" si="76"/>
        <v>ED1</v>
      </c>
      <c r="W449" s="1" t="str">
        <f t="shared" si="81"/>
        <v>ED1</v>
      </c>
      <c r="X449" s="4" t="b">
        <f t="shared" si="77"/>
        <v>1</v>
      </c>
      <c r="Y449" s="1">
        <f>VLOOKUP(D449,'Orden de Imagen'!$A$1:D573,4,FALSE())</f>
        <v>406</v>
      </c>
      <c r="Z449" s="1" t="str">
        <f t="shared" si="78"/>
        <v>406_26_04_18_ED1</v>
      </c>
    </row>
    <row r="450" spans="1:26" x14ac:dyDescent="0.25">
      <c r="A450" s="1">
        <v>454</v>
      </c>
      <c r="B450" s="1" t="s">
        <v>785</v>
      </c>
      <c r="C450" s="1" t="str">
        <f t="shared" si="83"/>
        <v>CL_MLP_PAO_IF_Ortho_26_04_18_MonteAranda-NSTC-Km-84p2-a-82p3.tif</v>
      </c>
      <c r="D450" s="1" t="str">
        <f t="shared" si="80"/>
        <v>CL_MLP_PAO_IF_Ortho_26_04_18_MonteAranda-NSTC-Km-84p2-a-82p3</v>
      </c>
      <c r="E450" s="1" t="s">
        <v>488</v>
      </c>
      <c r="F450" s="1" t="s">
        <v>460</v>
      </c>
      <c r="G450" s="1" t="s">
        <v>29</v>
      </c>
      <c r="H450" s="16">
        <v>46130</v>
      </c>
      <c r="I450" s="16">
        <v>46141</v>
      </c>
      <c r="J450" s="1" t="s">
        <v>30</v>
      </c>
      <c r="K450" s="2" t="str">
        <f t="shared" si="82"/>
        <v>https://sig.aminerals.cl/imgdyn/rest/services/CL_MLP_PAO/CL_MLP_PAO_IF_Ortho_Geosupport/ImageServer/file?id=.\El_Mauro_Puerto_Punta_Chungo_Drone\26_04_18\CL_MLP_PAO_IF_Ortho_26_04_18_MonteAranda-NSTC-Km-84p2-a-82p3.tif&amp;rasterId=</v>
      </c>
      <c r="L450" s="1" t="s">
        <v>31</v>
      </c>
      <c r="M450" s="1" t="s">
        <v>32</v>
      </c>
      <c r="N450" s="1" t="s">
        <v>33</v>
      </c>
      <c r="O450" s="1" t="s">
        <v>34</v>
      </c>
      <c r="P450" s="3" t="str">
        <f t="shared" ref="P450:P513" si="84">TEXT(H450,"dd")</f>
        <v>18</v>
      </c>
      <c r="Q450" s="3" t="str">
        <f t="shared" ref="Q450:Q513" si="85">TEXT(H450,"MM")</f>
        <v>04</v>
      </c>
      <c r="R450" s="3" t="str">
        <f t="shared" ref="R450:R513" si="86">TEXT(H450,"YY")</f>
        <v>26</v>
      </c>
      <c r="S450" s="1" t="s">
        <v>50</v>
      </c>
      <c r="U450" s="1" t="s">
        <v>461</v>
      </c>
      <c r="V450" s="1" t="str">
        <f t="shared" ref="V450:V513" si="87">RIGHT(D450,LEN(D450)-29)</f>
        <v>MonteAranda-NSTC-Km-84p2-a-82p3</v>
      </c>
      <c r="W450" s="1" t="str">
        <f t="shared" si="81"/>
        <v>MonteAranda-NSTC-Km-84p2-a-82p3</v>
      </c>
      <c r="X450" s="4" t="b">
        <f t="shared" ref="X450:X488" si="88">V450=W450</f>
        <v>1</v>
      </c>
      <c r="Y450" s="1">
        <f>VLOOKUP(D450,'Orden de Imagen'!$A$1:D574,4,FALSE())</f>
        <v>410</v>
      </c>
      <c r="Z450" s="1" t="str">
        <f t="shared" ref="Z450:Z488" si="89">CONCATENATE(Y450,"_",R450,"_",Q450,"_",P450,"_",E450)</f>
        <v>410_26_04_18_MonteAranda-NSTC-Km-84p2-a-82p3</v>
      </c>
    </row>
    <row r="451" spans="1:26" x14ac:dyDescent="0.25">
      <c r="A451" s="1">
        <v>455</v>
      </c>
      <c r="B451" s="1" t="s">
        <v>786</v>
      </c>
      <c r="C451" s="1" t="str">
        <f t="shared" si="83"/>
        <v>CL_MLP_PAO_IF_Ortho_26_04_19_EV2.tif</v>
      </c>
      <c r="D451" s="1" t="str">
        <f t="shared" si="80"/>
        <v>CL_MLP_PAO_IF_Ortho_26_04_19_EV2</v>
      </c>
      <c r="E451" s="1" t="s">
        <v>74</v>
      </c>
      <c r="F451" s="1" t="s">
        <v>460</v>
      </c>
      <c r="G451" s="1" t="s">
        <v>29</v>
      </c>
      <c r="H451" s="16">
        <v>46131</v>
      </c>
      <c r="I451" s="16">
        <v>46141</v>
      </c>
      <c r="J451" s="1" t="s">
        <v>30</v>
      </c>
      <c r="K451" s="2" t="str">
        <f t="shared" si="82"/>
        <v>https://sig.aminerals.cl/imgdyn/rest/services/CL_MLP_PAO/CL_MLP_PAO_IF_Ortho_Geosupport/ImageServer/file?id=.\El_Mauro_Puerto_Punta_Chungo_Drone\26_04_19\CL_MLP_PAO_IF_Ortho_26_04_19_EV2.tif&amp;rasterId=</v>
      </c>
      <c r="L451" s="1" t="s">
        <v>31</v>
      </c>
      <c r="M451" s="1" t="s">
        <v>32</v>
      </c>
      <c r="N451" s="1" t="s">
        <v>33</v>
      </c>
      <c r="O451" s="1" t="s">
        <v>34</v>
      </c>
      <c r="P451" s="3" t="str">
        <f t="shared" si="84"/>
        <v>19</v>
      </c>
      <c r="Q451" s="3" t="str">
        <f t="shared" si="85"/>
        <v>04</v>
      </c>
      <c r="R451" s="3" t="str">
        <f t="shared" si="86"/>
        <v>26</v>
      </c>
      <c r="S451" s="1" t="s">
        <v>50</v>
      </c>
      <c r="U451" s="1" t="s">
        <v>461</v>
      </c>
      <c r="V451" s="1" t="str">
        <f t="shared" si="87"/>
        <v>EV2</v>
      </c>
      <c r="W451" s="1" t="str">
        <f t="shared" ref="W451:W482" si="90">E451</f>
        <v>EV2</v>
      </c>
      <c r="X451" s="4" t="b">
        <f t="shared" si="88"/>
        <v>1</v>
      </c>
      <c r="Y451" s="1">
        <f>VLOOKUP(D451,'Orden de Imagen'!$A$1:D572,4,FALSE())</f>
        <v>412</v>
      </c>
      <c r="Z451" s="1" t="str">
        <f t="shared" si="89"/>
        <v>412_26_04_19_EV2</v>
      </c>
    </row>
    <row r="452" spans="1:26" x14ac:dyDescent="0.25">
      <c r="A452" s="1">
        <v>456</v>
      </c>
      <c r="B452" s="1" t="s">
        <v>787</v>
      </c>
      <c r="C452" s="1" t="str">
        <f t="shared" si="83"/>
        <v>CL_MLP_PAO_IF_Ortho_26_04_25_TORRE_E85_A_E_125.tif</v>
      </c>
      <c r="D452" s="1" t="str">
        <f t="shared" si="80"/>
        <v>CL_MLP_PAO_IF_Ortho_26_04_25_TORRE_E85_A_E_125</v>
      </c>
      <c r="E452" s="1" t="s">
        <v>483</v>
      </c>
      <c r="F452" s="1" t="s">
        <v>460</v>
      </c>
      <c r="G452" s="1" t="s">
        <v>29</v>
      </c>
      <c r="H452" s="16">
        <v>46137</v>
      </c>
      <c r="I452" s="16">
        <v>46141</v>
      </c>
      <c r="J452" s="1" t="s">
        <v>30</v>
      </c>
      <c r="K452" s="2" t="str">
        <f t="shared" ref="K452:K488" si="91">CONCATENATE("https://sig.aminerals.cl/imgdyn/rest/services/CL_MLP_PAO/",U452,"/","ImageServer/file?id=.\",S452,"\",R452,"_",Q452,"_",P452,"\",C452,"&amp;rasterId=")</f>
        <v>https://sig.aminerals.cl/imgdyn/rest/services/CL_MLP_PAO/CL_MLP_PAO_IF_Ortho_Geosupport/ImageServer/file?id=.\El_Mauro_Puerto_Punta_Chungo_Drone\26_04_25\CL_MLP_PAO_IF_Ortho_26_04_25_TORRE_E85_A_E_125.tif&amp;rasterId=</v>
      </c>
      <c r="L452" s="1" t="s">
        <v>31</v>
      </c>
      <c r="M452" s="1" t="s">
        <v>32</v>
      </c>
      <c r="N452" s="1" t="s">
        <v>33</v>
      </c>
      <c r="O452" s="1" t="s">
        <v>34</v>
      </c>
      <c r="P452" s="3" t="str">
        <f t="shared" si="84"/>
        <v>25</v>
      </c>
      <c r="Q452" s="3" t="str">
        <f t="shared" si="85"/>
        <v>04</v>
      </c>
      <c r="R452" s="3" t="str">
        <f t="shared" si="86"/>
        <v>26</v>
      </c>
      <c r="S452" s="1" t="s">
        <v>50</v>
      </c>
      <c r="U452" s="1" t="s">
        <v>461</v>
      </c>
      <c r="V452" s="1" t="str">
        <f t="shared" si="87"/>
        <v>TORRE_E85_A_E_125</v>
      </c>
      <c r="W452" s="1" t="str">
        <f t="shared" si="90"/>
        <v>TORRE_E85_A_E_125</v>
      </c>
      <c r="X452" s="4" t="b">
        <f t="shared" si="88"/>
        <v>1</v>
      </c>
      <c r="Y452" s="1">
        <f>VLOOKUP(D452,'Orden de Imagen'!$A$1:D563,4,FALSE())</f>
        <v>421</v>
      </c>
      <c r="Z452" s="1" t="str">
        <f t="shared" si="89"/>
        <v>421_26_04_25_TORRE_E85_A_E_125</v>
      </c>
    </row>
    <row r="453" spans="1:26" x14ac:dyDescent="0.25">
      <c r="A453" s="1">
        <v>457</v>
      </c>
      <c r="B453" s="1" t="s">
        <v>788</v>
      </c>
      <c r="C453" s="1" t="str">
        <f t="shared" si="83"/>
        <v>CL_MLP_PAO_IF_Ortho_26_04_26_EDT.tif</v>
      </c>
      <c r="D453" s="1" t="str">
        <f t="shared" si="80"/>
        <v>CL_MLP_PAO_IF_Ortho_26_04_26_EDT</v>
      </c>
      <c r="E453" s="15" t="s">
        <v>140</v>
      </c>
      <c r="F453" s="15" t="s">
        <v>460</v>
      </c>
      <c r="G453" s="15" t="s">
        <v>29</v>
      </c>
      <c r="H453" s="17">
        <v>46138</v>
      </c>
      <c r="I453" s="17">
        <v>46141</v>
      </c>
      <c r="J453" s="15" t="s">
        <v>30</v>
      </c>
      <c r="K453" s="2" t="str">
        <f t="shared" si="91"/>
        <v>https://sig.aminerals.cl/imgdyn/rest/services/CL_MLP_PAO/CL_MLP_PAO_IF_Ortho_Geosupport/ImageServer/file?id=.\Puerto_Punta_Chungo_Drone\26_04_26\CL_MLP_PAO_IF_Ortho_26_04_26_EDT.tif&amp;rasterId=</v>
      </c>
      <c r="L453" s="1" t="s">
        <v>31</v>
      </c>
      <c r="M453" s="1" t="s">
        <v>32</v>
      </c>
      <c r="N453" s="1" t="s">
        <v>33</v>
      </c>
      <c r="O453" s="1" t="s">
        <v>34</v>
      </c>
      <c r="P453" s="3" t="str">
        <f t="shared" si="84"/>
        <v>26</v>
      </c>
      <c r="Q453" s="3" t="str">
        <f t="shared" si="85"/>
        <v>04</v>
      </c>
      <c r="R453" s="3" t="str">
        <f t="shared" si="86"/>
        <v>26</v>
      </c>
      <c r="S453" s="1" t="s">
        <v>35</v>
      </c>
      <c r="U453" s="1" t="s">
        <v>461</v>
      </c>
      <c r="V453" s="1" t="str">
        <f t="shared" si="87"/>
        <v>EDT</v>
      </c>
      <c r="W453" s="1" t="str">
        <f t="shared" si="90"/>
        <v>EDT</v>
      </c>
      <c r="X453" s="4" t="b">
        <f t="shared" si="88"/>
        <v>1</v>
      </c>
      <c r="Y453" s="1">
        <f>VLOOKUP(D453,'Orden de Imagen'!$A$1:D562,4,FALSE())</f>
        <v>422</v>
      </c>
      <c r="Z453" s="1" t="str">
        <f t="shared" si="89"/>
        <v>422_26_04_26_EDT</v>
      </c>
    </row>
    <row r="454" spans="1:26" x14ac:dyDescent="0.25">
      <c r="B454" s="1" t="s">
        <v>789</v>
      </c>
      <c r="C454" s="4" t="str">
        <f t="shared" si="83"/>
        <v>CL_MLP_PAO_IF_Ortho_26_05_01_EM1.tif</v>
      </c>
      <c r="D454" s="1" t="str">
        <f t="shared" si="80"/>
        <v>CL_MLP_PAO_IF_Ortho_26_05_01_EM1</v>
      </c>
      <c r="E454" s="15" t="s">
        <v>375</v>
      </c>
      <c r="F454" s="15" t="s">
        <v>460</v>
      </c>
      <c r="G454" s="15" t="s">
        <v>29</v>
      </c>
      <c r="H454" s="17">
        <v>46143</v>
      </c>
      <c r="I454" s="17">
        <v>46155</v>
      </c>
      <c r="J454" s="15" t="s">
        <v>30</v>
      </c>
      <c r="K454" s="2" t="str">
        <f t="shared" si="91"/>
        <v>https://sig.aminerals.cl/imgdyn/rest/services/CL_MLP_PAO/CL_MLP_PAO_IF_Ortho_Geosupport/ImageServer/file?id=.\Chacay_Drone\26_05_01\CL_MLP_PAO_IF_Ortho_26_05_01_EM1.tif&amp;rasterId=</v>
      </c>
      <c r="L454" s="1" t="s">
        <v>31</v>
      </c>
      <c r="M454" s="1" t="s">
        <v>32</v>
      </c>
      <c r="N454" s="1" t="s">
        <v>33</v>
      </c>
      <c r="O454" s="1" t="s">
        <v>34</v>
      </c>
      <c r="P454" s="3" t="str">
        <f t="shared" si="84"/>
        <v>01</v>
      </c>
      <c r="Q454" s="3" t="str">
        <f t="shared" si="85"/>
        <v>05</v>
      </c>
      <c r="R454" s="3" t="str">
        <f t="shared" si="86"/>
        <v>26</v>
      </c>
      <c r="S454" s="8" t="s">
        <v>56</v>
      </c>
      <c r="U454" s="1" t="s">
        <v>461</v>
      </c>
      <c r="V454" s="1" t="str">
        <f t="shared" si="87"/>
        <v>EM1</v>
      </c>
      <c r="W454" s="1" t="str">
        <f t="shared" si="90"/>
        <v>EM1</v>
      </c>
      <c r="X454" s="4" t="b">
        <f t="shared" si="88"/>
        <v>1</v>
      </c>
      <c r="Y454" s="1">
        <f>VLOOKUP(D454,'Orden de Imagen'!$A$1:D580,4,FALSE())</f>
        <v>427</v>
      </c>
      <c r="Z454" s="1" t="str">
        <f t="shared" si="89"/>
        <v>427_26_05_01_EM1</v>
      </c>
    </row>
    <row r="455" spans="1:26" x14ac:dyDescent="0.25">
      <c r="B455" s="1" t="s">
        <v>790</v>
      </c>
      <c r="C455" s="4" t="str">
        <f t="shared" si="83"/>
        <v>CL_MLP_PAO_IF_Ortho_26_05_09_EM1.tif</v>
      </c>
      <c r="D455" s="1" t="str">
        <f t="shared" si="80"/>
        <v>CL_MLP_PAO_IF_Ortho_26_05_09_EM1</v>
      </c>
      <c r="E455" s="15" t="s">
        <v>375</v>
      </c>
      <c r="F455" s="15" t="s">
        <v>460</v>
      </c>
      <c r="G455" s="15" t="s">
        <v>29</v>
      </c>
      <c r="H455" s="17">
        <v>46151</v>
      </c>
      <c r="I455" s="17">
        <v>46155</v>
      </c>
      <c r="J455" s="15" t="s">
        <v>30</v>
      </c>
      <c r="K455" s="2" t="str">
        <f t="shared" si="91"/>
        <v>https://sig.aminerals.cl/imgdyn/rest/services/CL_MLP_PAO/CL_MLP_PAO_IF_Ortho_Geosupport/ImageServer/file?id=.\Chacay_Drone\26_05_09\CL_MLP_PAO_IF_Ortho_26_05_09_EM1.tif&amp;rasterId=</v>
      </c>
      <c r="L455" s="1" t="s">
        <v>31</v>
      </c>
      <c r="M455" s="1" t="s">
        <v>32</v>
      </c>
      <c r="N455" s="1" t="s">
        <v>33</v>
      </c>
      <c r="O455" s="1" t="s">
        <v>34</v>
      </c>
      <c r="P455" s="3" t="str">
        <f t="shared" si="84"/>
        <v>09</v>
      </c>
      <c r="Q455" s="3" t="str">
        <f t="shared" si="85"/>
        <v>05</v>
      </c>
      <c r="R455" s="3" t="str">
        <f t="shared" si="86"/>
        <v>26</v>
      </c>
      <c r="S455" s="8" t="s">
        <v>56</v>
      </c>
      <c r="U455" s="1" t="s">
        <v>461</v>
      </c>
      <c r="V455" s="1" t="str">
        <f t="shared" si="87"/>
        <v>EM1</v>
      </c>
      <c r="W455" s="1" t="str">
        <f t="shared" si="90"/>
        <v>EM1</v>
      </c>
      <c r="X455" s="4" t="b">
        <f t="shared" si="88"/>
        <v>1</v>
      </c>
      <c r="Y455" s="1">
        <f>VLOOKUP(D455,'Orden de Imagen'!$A$1:D566,4,FALSE())</f>
        <v>454</v>
      </c>
      <c r="Z455" s="1" t="str">
        <f t="shared" si="89"/>
        <v>454_26_05_09_EM1</v>
      </c>
    </row>
    <row r="456" spans="1:26" x14ac:dyDescent="0.25">
      <c r="B456" s="1" t="s">
        <v>791</v>
      </c>
      <c r="C456" s="4" t="str">
        <f t="shared" si="83"/>
        <v>CL_MLP_PAO_IF_Ortho_26_05_09_Estacion_Cabecera.tif</v>
      </c>
      <c r="D456" s="1" t="str">
        <f t="shared" si="80"/>
        <v>CL_MLP_PAO_IF_Ortho_26_05_09_Estacion_Cabecera</v>
      </c>
      <c r="E456" s="15" t="s">
        <v>680</v>
      </c>
      <c r="F456" s="15" t="s">
        <v>460</v>
      </c>
      <c r="G456" s="15" t="s">
        <v>29</v>
      </c>
      <c r="H456" s="17">
        <v>46151</v>
      </c>
      <c r="I456" s="17">
        <v>46155</v>
      </c>
      <c r="J456" s="15" t="s">
        <v>30</v>
      </c>
      <c r="K456" s="2" t="str">
        <f t="shared" si="91"/>
        <v>https://sig.aminerals.cl/imgdyn/rest/services/CL_MLP_PAO/CL_MLP_PAO_IF_Ortho_Geosupport/ImageServer/file?id=.\Chacay_Drone\26_05_09\CL_MLP_PAO_IF_Ortho_26_05_09_Estacion_Cabecera.tif&amp;rasterId=</v>
      </c>
      <c r="L456" s="1" t="s">
        <v>31</v>
      </c>
      <c r="M456" s="1" t="s">
        <v>32</v>
      </c>
      <c r="N456" s="1" t="s">
        <v>33</v>
      </c>
      <c r="O456" s="1" t="s">
        <v>34</v>
      </c>
      <c r="P456" s="3" t="str">
        <f t="shared" si="84"/>
        <v>09</v>
      </c>
      <c r="Q456" s="3" t="str">
        <f t="shared" si="85"/>
        <v>05</v>
      </c>
      <c r="R456" s="3" t="str">
        <f t="shared" si="86"/>
        <v>26</v>
      </c>
      <c r="S456" s="8" t="s">
        <v>56</v>
      </c>
      <c r="U456" s="1" t="s">
        <v>461</v>
      </c>
      <c r="V456" s="1" t="str">
        <f t="shared" si="87"/>
        <v>Estacion_Cabecera</v>
      </c>
      <c r="W456" s="1" t="str">
        <f t="shared" si="90"/>
        <v>Estacion_Cabecera</v>
      </c>
      <c r="X456" s="4" t="b">
        <f t="shared" si="88"/>
        <v>1</v>
      </c>
      <c r="Y456" s="1">
        <f>VLOOKUP(D456,'Orden de Imagen'!$A$1:D567,4,FALSE())</f>
        <v>455</v>
      </c>
      <c r="Z456" s="1" t="str">
        <f t="shared" si="89"/>
        <v>455_26_05_09_Estacion_Cabecera</v>
      </c>
    </row>
    <row r="457" spans="1:26" x14ac:dyDescent="0.25">
      <c r="B457" s="1" t="s">
        <v>792</v>
      </c>
      <c r="C457" s="4" t="str">
        <f t="shared" si="83"/>
        <v>CL_MLP_PAO_IF_Ortho_26_05_01_EV1.tif</v>
      </c>
      <c r="D457" s="1" t="str">
        <f t="shared" si="80"/>
        <v>CL_MLP_PAO_IF_Ortho_26_05_01_EV1</v>
      </c>
      <c r="E457" s="15" t="s">
        <v>258</v>
      </c>
      <c r="F457" s="15" t="s">
        <v>460</v>
      </c>
      <c r="G457" s="15" t="s">
        <v>29</v>
      </c>
      <c r="H457" s="17">
        <v>46143</v>
      </c>
      <c r="I457" s="17">
        <v>46155</v>
      </c>
      <c r="J457" s="15" t="s">
        <v>30</v>
      </c>
      <c r="K457" s="2" t="str">
        <f t="shared" si="91"/>
        <v>https://sig.aminerals.cl/imgdyn/rest/services/CL_MLP_PAO/CL_MLP_PAO_IF_Ortho_Geosupport/ImageServer/file?id=.\Chacay_El_Mauro_Drone\26_05_01\CL_MLP_PAO_IF_Ortho_26_05_01_EV1.tif&amp;rasterId=</v>
      </c>
      <c r="L457" s="1" t="s">
        <v>31</v>
      </c>
      <c r="M457" s="1" t="s">
        <v>32</v>
      </c>
      <c r="N457" s="1" t="s">
        <v>33</v>
      </c>
      <c r="O457" s="1" t="s">
        <v>34</v>
      </c>
      <c r="P457" s="3" t="str">
        <f t="shared" si="84"/>
        <v>01</v>
      </c>
      <c r="Q457" s="3" t="str">
        <f t="shared" si="85"/>
        <v>05</v>
      </c>
      <c r="R457" s="3" t="str">
        <f t="shared" si="86"/>
        <v>26</v>
      </c>
      <c r="S457" s="1" t="s">
        <v>40</v>
      </c>
      <c r="U457" s="1" t="s">
        <v>461</v>
      </c>
      <c r="V457" s="1" t="str">
        <f t="shared" si="87"/>
        <v>EV1</v>
      </c>
      <c r="W457" s="1" t="str">
        <f t="shared" si="90"/>
        <v>EV1</v>
      </c>
      <c r="X457" s="4" t="b">
        <f t="shared" si="88"/>
        <v>1</v>
      </c>
      <c r="Y457" s="1">
        <f>VLOOKUP(D457,'Orden de Imagen'!$A$1:D589,4,FALSE())</f>
        <v>428</v>
      </c>
      <c r="Z457" s="1" t="str">
        <f t="shared" si="89"/>
        <v>428_26_05_01_EV1</v>
      </c>
    </row>
    <row r="458" spans="1:26" x14ac:dyDescent="0.25">
      <c r="B458" s="1" t="s">
        <v>793</v>
      </c>
      <c r="C458" s="4" t="str">
        <f t="shared" si="83"/>
        <v>CL_MLP_PAO_IF_Ortho_26_05_02_ED1.tif</v>
      </c>
      <c r="D458" s="1" t="str">
        <f t="shared" si="80"/>
        <v>CL_MLP_PAO_IF_Ortho_26_05_02_ED1</v>
      </c>
      <c r="E458" s="15" t="s">
        <v>697</v>
      </c>
      <c r="F458" s="15" t="s">
        <v>460</v>
      </c>
      <c r="G458" s="15" t="s">
        <v>29</v>
      </c>
      <c r="H458" s="17">
        <v>46144</v>
      </c>
      <c r="I458" s="17">
        <v>46155</v>
      </c>
      <c r="J458" s="15" t="s">
        <v>30</v>
      </c>
      <c r="K458" s="2" t="str">
        <f t="shared" si="91"/>
        <v>https://sig.aminerals.cl/imgdyn/rest/services/CL_MLP_PAO/CL_MLP_PAO_IF_Ortho_Geosupport/ImageServer/file?id=.\Chacay_El_Mauro_Drone\26_05_02\CL_MLP_PAO_IF_Ortho_26_05_02_ED1.tif&amp;rasterId=</v>
      </c>
      <c r="L458" s="1" t="s">
        <v>31</v>
      </c>
      <c r="M458" s="1" t="s">
        <v>32</v>
      </c>
      <c r="N458" s="1" t="s">
        <v>33</v>
      </c>
      <c r="O458" s="1" t="s">
        <v>34</v>
      </c>
      <c r="P458" s="3" t="str">
        <f t="shared" si="84"/>
        <v>02</v>
      </c>
      <c r="Q458" s="3" t="str">
        <f t="shared" si="85"/>
        <v>05</v>
      </c>
      <c r="R458" s="3" t="str">
        <f t="shared" si="86"/>
        <v>26</v>
      </c>
      <c r="S458" s="8" t="s">
        <v>40</v>
      </c>
      <c r="U458" s="1" t="s">
        <v>461</v>
      </c>
      <c r="V458" s="1" t="str">
        <f t="shared" si="87"/>
        <v>ED1</v>
      </c>
      <c r="W458" s="1" t="str">
        <f t="shared" si="90"/>
        <v>ED1</v>
      </c>
      <c r="X458" s="4" t="b">
        <f t="shared" si="88"/>
        <v>1</v>
      </c>
      <c r="Y458" s="1">
        <f>VLOOKUP(D458,'Orden de Imagen'!$A$1:D578,4,FALSE())</f>
        <v>430</v>
      </c>
      <c r="Z458" s="1" t="str">
        <f t="shared" si="89"/>
        <v>430_26_05_02_ED1</v>
      </c>
    </row>
    <row r="459" spans="1:26" x14ac:dyDescent="0.25">
      <c r="B459" s="1" t="s">
        <v>794</v>
      </c>
      <c r="C459" s="4" t="str">
        <f t="shared" si="83"/>
        <v>CL_MLP_PAO_IF_Ortho_26_05_02_EM2.tif</v>
      </c>
      <c r="D459" s="1" t="str">
        <f t="shared" si="80"/>
        <v>CL_MLP_PAO_IF_Ortho_26_05_02_EM2</v>
      </c>
      <c r="E459" s="15" t="s">
        <v>590</v>
      </c>
      <c r="F459" s="15" t="s">
        <v>460</v>
      </c>
      <c r="G459" s="15" t="s">
        <v>29</v>
      </c>
      <c r="H459" s="17">
        <v>46144</v>
      </c>
      <c r="I459" s="17">
        <v>46155</v>
      </c>
      <c r="J459" s="15" t="s">
        <v>30</v>
      </c>
      <c r="K459" s="2" t="str">
        <f t="shared" si="91"/>
        <v>https://sig.aminerals.cl/imgdyn/rest/services/CL_MLP_PAO/CL_MLP_PAO_IF_Ortho_Geosupport/ImageServer/file?id=.\Chacay_El_Mauro_Drone\26_05_02\CL_MLP_PAO_IF_Ortho_26_05_02_EM2.tif&amp;rasterId=</v>
      </c>
      <c r="L459" s="1" t="s">
        <v>31</v>
      </c>
      <c r="M459" s="1" t="s">
        <v>32</v>
      </c>
      <c r="N459" s="1" t="s">
        <v>33</v>
      </c>
      <c r="O459" s="1" t="s">
        <v>34</v>
      </c>
      <c r="P459" s="3" t="str">
        <f t="shared" si="84"/>
        <v>02</v>
      </c>
      <c r="Q459" s="3" t="str">
        <f t="shared" si="85"/>
        <v>05</v>
      </c>
      <c r="R459" s="3" t="str">
        <f t="shared" si="86"/>
        <v>26</v>
      </c>
      <c r="S459" s="1" t="s">
        <v>40</v>
      </c>
      <c r="U459" s="1" t="s">
        <v>461</v>
      </c>
      <c r="V459" s="1" t="str">
        <f t="shared" si="87"/>
        <v>EM2</v>
      </c>
      <c r="W459" s="1" t="str">
        <f t="shared" si="90"/>
        <v>EM2</v>
      </c>
      <c r="X459" s="4" t="b">
        <f t="shared" si="88"/>
        <v>1</v>
      </c>
      <c r="Y459" s="1">
        <f>VLOOKUP(D459,'Orden de Imagen'!$A$1:D597,4,FALSE())</f>
        <v>431</v>
      </c>
      <c r="Z459" s="1" t="str">
        <f t="shared" si="89"/>
        <v>431_26_05_02_EM2</v>
      </c>
    </row>
    <row r="460" spans="1:26" x14ac:dyDescent="0.25">
      <c r="B460" s="1" t="s">
        <v>795</v>
      </c>
      <c r="C460" s="4" t="str">
        <f t="shared" si="83"/>
        <v>CL_MLP_PAO_IF_Ortho_26_05_02_EM2_S2.tif</v>
      </c>
      <c r="D460" s="1" t="str">
        <f t="shared" si="80"/>
        <v>CL_MLP_PAO_IF_Ortho_26_05_02_EM2_S2</v>
      </c>
      <c r="E460" s="15" t="s">
        <v>649</v>
      </c>
      <c r="F460" s="15" t="s">
        <v>460</v>
      </c>
      <c r="G460" s="15" t="s">
        <v>29</v>
      </c>
      <c r="H460" s="17">
        <v>46144</v>
      </c>
      <c r="I460" s="17">
        <v>46155</v>
      </c>
      <c r="J460" s="15" t="s">
        <v>30</v>
      </c>
      <c r="K460" s="2" t="str">
        <f t="shared" si="91"/>
        <v>https://sig.aminerals.cl/imgdyn/rest/services/CL_MLP_PAO/CL_MLP_PAO_IF_Ortho_Geosupport/ImageServer/file?id=.\Chacay_El_Mauro_Drone\26_05_02\CL_MLP_PAO_IF_Ortho_26_05_02_EM2_S2.tif&amp;rasterId=</v>
      </c>
      <c r="L460" s="1" t="s">
        <v>31</v>
      </c>
      <c r="M460" s="1" t="s">
        <v>32</v>
      </c>
      <c r="N460" s="1" t="s">
        <v>33</v>
      </c>
      <c r="O460" s="1" t="s">
        <v>34</v>
      </c>
      <c r="P460" s="3" t="str">
        <f t="shared" si="84"/>
        <v>02</v>
      </c>
      <c r="Q460" s="3" t="str">
        <f t="shared" si="85"/>
        <v>05</v>
      </c>
      <c r="R460" s="3" t="str">
        <f t="shared" si="86"/>
        <v>26</v>
      </c>
      <c r="S460" s="8" t="s">
        <v>40</v>
      </c>
      <c r="U460" s="1" t="s">
        <v>461</v>
      </c>
      <c r="V460" s="1" t="str">
        <f t="shared" si="87"/>
        <v>EM2_S2</v>
      </c>
      <c r="W460" s="1" t="str">
        <f t="shared" si="90"/>
        <v>EM2_S2</v>
      </c>
      <c r="X460" s="4" t="b">
        <f t="shared" si="88"/>
        <v>1</v>
      </c>
      <c r="Y460" s="1">
        <f>VLOOKUP(D460,'Orden de Imagen'!$A$1:D577,4,FALSE())</f>
        <v>432</v>
      </c>
      <c r="Z460" s="1" t="str">
        <f t="shared" si="89"/>
        <v>432_26_05_02_EM2_S2</v>
      </c>
    </row>
    <row r="461" spans="1:26" x14ac:dyDescent="0.25">
      <c r="B461" s="1" t="s">
        <v>796</v>
      </c>
      <c r="C461" s="4" t="str">
        <f t="shared" si="83"/>
        <v>CL_MLP_PAO_IF_Ortho_26_05_03_ED2.tif</v>
      </c>
      <c r="D461" s="1" t="str">
        <f t="shared" si="80"/>
        <v>CL_MLP_PAO_IF_Ortho_26_05_03_ED2</v>
      </c>
      <c r="E461" s="15" t="s">
        <v>468</v>
      </c>
      <c r="F461" s="15" t="s">
        <v>460</v>
      </c>
      <c r="G461" s="15" t="s">
        <v>29</v>
      </c>
      <c r="H461" s="17">
        <v>46145</v>
      </c>
      <c r="I461" s="17">
        <v>46155</v>
      </c>
      <c r="J461" s="15" t="s">
        <v>30</v>
      </c>
      <c r="K461" s="2" t="str">
        <f t="shared" si="91"/>
        <v>https://sig.aminerals.cl/imgdyn/rest/services/CL_MLP_PAO/CL_MLP_PAO_IF_Ortho_Geosupport/ImageServer/file?id=.\Chacay_El_Mauro_Drone\26_05_03\CL_MLP_PAO_IF_Ortho_26_05_03_ED2.tif&amp;rasterId=</v>
      </c>
      <c r="L461" s="1" t="s">
        <v>31</v>
      </c>
      <c r="M461" s="1" t="s">
        <v>32</v>
      </c>
      <c r="N461" s="1" t="s">
        <v>33</v>
      </c>
      <c r="O461" s="1" t="s">
        <v>34</v>
      </c>
      <c r="P461" s="3" t="str">
        <f t="shared" si="84"/>
        <v>03</v>
      </c>
      <c r="Q461" s="3" t="str">
        <f t="shared" si="85"/>
        <v>05</v>
      </c>
      <c r="R461" s="3" t="str">
        <f t="shared" si="86"/>
        <v>26</v>
      </c>
      <c r="S461" s="8" t="s">
        <v>40</v>
      </c>
      <c r="U461" s="1" t="s">
        <v>461</v>
      </c>
      <c r="V461" s="1" t="str">
        <f t="shared" si="87"/>
        <v>ED2</v>
      </c>
      <c r="W461" s="1" t="str">
        <f t="shared" si="90"/>
        <v>ED2</v>
      </c>
      <c r="X461" s="4" t="b">
        <f t="shared" si="88"/>
        <v>1</v>
      </c>
      <c r="Y461" s="1">
        <f>VLOOKUP(D461,'Orden de Imagen'!$A$1:D575,4,FALSE())</f>
        <v>438</v>
      </c>
      <c r="Z461" s="1" t="str">
        <f t="shared" si="89"/>
        <v>438_26_05_03_ED2</v>
      </c>
    </row>
    <row r="462" spans="1:26" x14ac:dyDescent="0.25">
      <c r="B462" s="1" t="s">
        <v>797</v>
      </c>
      <c r="C462" s="4" t="str">
        <f t="shared" si="83"/>
        <v>CL_MLP_PAO_IF_Ortho_26_05_03_EM3.tif</v>
      </c>
      <c r="D462" s="1" t="str">
        <f t="shared" si="80"/>
        <v>CL_MLP_PAO_IF_Ortho_26_05_03_EM3</v>
      </c>
      <c r="E462" s="15" t="s">
        <v>203</v>
      </c>
      <c r="F462" s="15" t="s">
        <v>460</v>
      </c>
      <c r="G462" s="15" t="s">
        <v>29</v>
      </c>
      <c r="H462" s="17">
        <v>46145</v>
      </c>
      <c r="I462" s="17">
        <v>46155</v>
      </c>
      <c r="J462" s="15" t="s">
        <v>30</v>
      </c>
      <c r="K462" s="2" t="str">
        <f t="shared" si="91"/>
        <v>https://sig.aminerals.cl/imgdyn/rest/services/CL_MLP_PAO/CL_MLP_PAO_IF_Ortho_Geosupport/ImageServer/file?id=.\Chacay_El_Mauro_Drone\26_05_03\CL_MLP_PAO_IF_Ortho_26_05_03_EM3.tif&amp;rasterId=</v>
      </c>
      <c r="L462" s="1" t="s">
        <v>31</v>
      </c>
      <c r="M462" s="1" t="s">
        <v>32</v>
      </c>
      <c r="N462" s="1" t="s">
        <v>33</v>
      </c>
      <c r="O462" s="1" t="s">
        <v>34</v>
      </c>
      <c r="P462" s="3" t="str">
        <f t="shared" si="84"/>
        <v>03</v>
      </c>
      <c r="Q462" s="3" t="str">
        <f t="shared" si="85"/>
        <v>05</v>
      </c>
      <c r="R462" s="3" t="str">
        <f t="shared" si="86"/>
        <v>26</v>
      </c>
      <c r="S462" s="8" t="s">
        <v>40</v>
      </c>
      <c r="U462" s="1" t="s">
        <v>461</v>
      </c>
      <c r="V462" s="1" t="str">
        <f t="shared" si="87"/>
        <v>EM3</v>
      </c>
      <c r="W462" s="1" t="str">
        <f t="shared" si="90"/>
        <v>EM3</v>
      </c>
      <c r="X462" s="4" t="b">
        <f t="shared" si="88"/>
        <v>1</v>
      </c>
      <c r="Y462" s="1">
        <f>VLOOKUP(D462,'Orden de Imagen'!$A$1:D572,4,FALSE())</f>
        <v>440</v>
      </c>
      <c r="Z462" s="1" t="str">
        <f t="shared" si="89"/>
        <v>440_26_05_03_EM3</v>
      </c>
    </row>
    <row r="463" spans="1:26" x14ac:dyDescent="0.25">
      <c r="B463" s="1" t="s">
        <v>798</v>
      </c>
      <c r="C463" s="4" t="str">
        <f t="shared" si="83"/>
        <v>CL_MLP_PAO_IF_Ortho_26_05_07_ED2.tif</v>
      </c>
      <c r="D463" s="1" t="str">
        <f t="shared" ref="D463:D488" si="92">CONCATENATE(L463,"_",M463,"_",G463,"_",N463,"_",O463,"_",R463,"_",Q463,"_",P463,"_",E463)</f>
        <v>CL_MLP_PAO_IF_Ortho_26_05_07_ED2</v>
      </c>
      <c r="E463" s="15" t="s">
        <v>468</v>
      </c>
      <c r="F463" s="15" t="s">
        <v>460</v>
      </c>
      <c r="G463" s="15" t="s">
        <v>29</v>
      </c>
      <c r="H463" s="17">
        <v>46149</v>
      </c>
      <c r="I463" s="17">
        <v>46155</v>
      </c>
      <c r="J463" s="15" t="s">
        <v>30</v>
      </c>
      <c r="K463" s="2" t="str">
        <f t="shared" si="91"/>
        <v>https://sig.aminerals.cl/imgdyn/rest/services/CL_MLP_PAO/CL_MLP_PAO_IF_Ortho_Geosupport/ImageServer/file?id=.\Chacay_El_Mauro_Drone\26_05_07\CL_MLP_PAO_IF_Ortho_26_05_07_ED2.tif&amp;rasterId=</v>
      </c>
      <c r="L463" s="1" t="s">
        <v>31</v>
      </c>
      <c r="M463" s="1" t="s">
        <v>32</v>
      </c>
      <c r="N463" s="1" t="s">
        <v>33</v>
      </c>
      <c r="O463" s="1" t="s">
        <v>34</v>
      </c>
      <c r="P463" s="3" t="str">
        <f t="shared" si="84"/>
        <v>07</v>
      </c>
      <c r="Q463" s="3" t="str">
        <f t="shared" si="85"/>
        <v>05</v>
      </c>
      <c r="R463" s="3" t="str">
        <f t="shared" si="86"/>
        <v>26</v>
      </c>
      <c r="S463" s="8" t="s">
        <v>40</v>
      </c>
      <c r="U463" s="1" t="s">
        <v>461</v>
      </c>
      <c r="V463" s="1" t="str">
        <f t="shared" si="87"/>
        <v>ED2</v>
      </c>
      <c r="W463" s="1" t="str">
        <f t="shared" si="90"/>
        <v>ED2</v>
      </c>
      <c r="X463" s="4" t="b">
        <f t="shared" si="88"/>
        <v>1</v>
      </c>
      <c r="Y463" s="1">
        <f>VLOOKUP(D463,'Orden de Imagen'!$A$1:D570,4,FALSE())</f>
        <v>444</v>
      </c>
      <c r="Z463" s="1" t="str">
        <f t="shared" si="89"/>
        <v>444_26_05_07_ED2</v>
      </c>
    </row>
    <row r="464" spans="1:26" x14ac:dyDescent="0.25">
      <c r="B464" s="1" t="s">
        <v>799</v>
      </c>
      <c r="C464" s="4" t="str">
        <f t="shared" si="83"/>
        <v>CL_MLP_PAO_IF_Ortho_26_05_07_EM2_S2.tif</v>
      </c>
      <c r="D464" s="1" t="str">
        <f t="shared" si="92"/>
        <v>CL_MLP_PAO_IF_Ortho_26_05_07_EM2_S2</v>
      </c>
      <c r="E464" s="15" t="s">
        <v>649</v>
      </c>
      <c r="F464" s="15" t="s">
        <v>460</v>
      </c>
      <c r="G464" s="15" t="s">
        <v>29</v>
      </c>
      <c r="H464" s="17">
        <v>46149</v>
      </c>
      <c r="I464" s="17">
        <v>46155</v>
      </c>
      <c r="J464" s="15" t="s">
        <v>30</v>
      </c>
      <c r="K464" s="2" t="str">
        <f t="shared" si="91"/>
        <v>https://sig.aminerals.cl/imgdyn/rest/services/CL_MLP_PAO/CL_MLP_PAO_IF_Ortho_Geosupport/ImageServer/file?id=.\Chacay_El_Mauro_Drone\26_05_07\CL_MLP_PAO_IF_Ortho_26_05_07_EM2_S2.tif&amp;rasterId=</v>
      </c>
      <c r="L464" s="1" t="s">
        <v>31</v>
      </c>
      <c r="M464" s="1" t="s">
        <v>32</v>
      </c>
      <c r="N464" s="1" t="s">
        <v>33</v>
      </c>
      <c r="O464" s="1" t="s">
        <v>34</v>
      </c>
      <c r="P464" s="3" t="str">
        <f t="shared" si="84"/>
        <v>07</v>
      </c>
      <c r="Q464" s="3" t="str">
        <f t="shared" si="85"/>
        <v>05</v>
      </c>
      <c r="R464" s="3" t="str">
        <f t="shared" si="86"/>
        <v>26</v>
      </c>
      <c r="S464" s="8" t="s">
        <v>40</v>
      </c>
      <c r="U464" s="1" t="s">
        <v>461</v>
      </c>
      <c r="V464" s="1" t="str">
        <f t="shared" si="87"/>
        <v>EM2_S2</v>
      </c>
      <c r="W464" s="1" t="str">
        <f t="shared" si="90"/>
        <v>EM2_S2</v>
      </c>
      <c r="X464" s="4" t="b">
        <f t="shared" si="88"/>
        <v>1</v>
      </c>
      <c r="Y464" s="1">
        <f>VLOOKUP(D464,'Orden de Imagen'!$A$1:D571,4,FALSE())</f>
        <v>445</v>
      </c>
      <c r="Z464" s="1" t="str">
        <f t="shared" si="89"/>
        <v>445_26_05_07_EM2_S2</v>
      </c>
    </row>
    <row r="465" spans="1:26" x14ac:dyDescent="0.25">
      <c r="B465" s="1" t="s">
        <v>800</v>
      </c>
      <c r="C465" s="4" t="str">
        <f t="shared" si="83"/>
        <v>CL_MLP_PAO_IF_Ortho_26_05_07_EM3.tif</v>
      </c>
      <c r="D465" s="1" t="str">
        <f t="shared" si="92"/>
        <v>CL_MLP_PAO_IF_Ortho_26_05_07_EM3</v>
      </c>
      <c r="E465" s="15" t="s">
        <v>203</v>
      </c>
      <c r="F465" s="15" t="s">
        <v>460</v>
      </c>
      <c r="G465" s="15" t="s">
        <v>29</v>
      </c>
      <c r="H465" s="17">
        <v>46149</v>
      </c>
      <c r="I465" s="17">
        <v>46155</v>
      </c>
      <c r="J465" s="15" t="s">
        <v>30</v>
      </c>
      <c r="K465" s="2" t="str">
        <f t="shared" si="91"/>
        <v>https://sig.aminerals.cl/imgdyn/rest/services/CL_MLP_PAO/CL_MLP_PAO_IF_Ortho_Geosupport/ImageServer/file?id=.\Chacay_El_Mauro_Drone\26_05_07\CL_MLP_PAO_IF_Ortho_26_05_07_EM3.tif&amp;rasterId=</v>
      </c>
      <c r="L465" s="1" t="s">
        <v>31</v>
      </c>
      <c r="M465" s="1" t="s">
        <v>32</v>
      </c>
      <c r="N465" s="1" t="s">
        <v>33</v>
      </c>
      <c r="O465" s="1" t="s">
        <v>34</v>
      </c>
      <c r="P465" s="3" t="str">
        <f t="shared" si="84"/>
        <v>07</v>
      </c>
      <c r="Q465" s="3" t="str">
        <f t="shared" si="85"/>
        <v>05</v>
      </c>
      <c r="R465" s="3" t="str">
        <f t="shared" si="86"/>
        <v>26</v>
      </c>
      <c r="S465" s="1" t="s">
        <v>40</v>
      </c>
      <c r="U465" s="1" t="s">
        <v>461</v>
      </c>
      <c r="V465" s="1" t="str">
        <f t="shared" si="87"/>
        <v>EM3</v>
      </c>
      <c r="W465" s="1" t="str">
        <f t="shared" si="90"/>
        <v>EM3</v>
      </c>
      <c r="X465" s="4" t="b">
        <f t="shared" si="88"/>
        <v>1</v>
      </c>
      <c r="Y465" s="1">
        <f>VLOOKUP(D465,'Orden de Imagen'!$A$1:D586,4,FALSE())</f>
        <v>446</v>
      </c>
      <c r="Z465" s="1" t="str">
        <f t="shared" si="89"/>
        <v>446_26_05_07_EM3</v>
      </c>
    </row>
    <row r="466" spans="1:26" x14ac:dyDescent="0.25">
      <c r="A466" s="1">
        <v>458</v>
      </c>
      <c r="B466" s="1" t="s">
        <v>801</v>
      </c>
      <c r="C466" s="4" t="str">
        <f t="shared" si="83"/>
        <v>CL_MLP_PAO_IF_Ortho_26_05_09_EV1.tif</v>
      </c>
      <c r="D466" s="1" t="str">
        <f t="shared" si="92"/>
        <v>CL_MLP_PAO_IF_Ortho_26_05_09_EV1</v>
      </c>
      <c r="E466" s="15" t="s">
        <v>258</v>
      </c>
      <c r="F466" s="15" t="s">
        <v>460</v>
      </c>
      <c r="G466" s="15" t="s">
        <v>29</v>
      </c>
      <c r="H466" s="17">
        <v>46151</v>
      </c>
      <c r="I466" s="17">
        <v>46155</v>
      </c>
      <c r="J466" s="15" t="s">
        <v>30</v>
      </c>
      <c r="K466" s="2" t="str">
        <f t="shared" si="91"/>
        <v>https://sig.aminerals.cl/imgdyn/rest/services/CL_MLP_PAO/CL_MLP_PAO_IF_Ortho_Geosupport/ImageServer/file?id=.\Chacay_El_Mauro_Drone\26_05_09\CL_MLP_PAO_IF_Ortho_26_05_09_EV1.tif&amp;rasterId=</v>
      </c>
      <c r="L466" s="1" t="s">
        <v>31</v>
      </c>
      <c r="M466" s="1" t="s">
        <v>32</v>
      </c>
      <c r="N466" s="1" t="s">
        <v>33</v>
      </c>
      <c r="O466" s="1" t="s">
        <v>34</v>
      </c>
      <c r="P466" s="3" t="str">
        <f t="shared" si="84"/>
        <v>09</v>
      </c>
      <c r="Q466" s="3" t="str">
        <f t="shared" si="85"/>
        <v>05</v>
      </c>
      <c r="R466" s="3" t="str">
        <f t="shared" si="86"/>
        <v>26</v>
      </c>
      <c r="S466" s="8" t="s">
        <v>40</v>
      </c>
      <c r="U466" s="1" t="s">
        <v>461</v>
      </c>
      <c r="V466" s="1" t="str">
        <f t="shared" si="87"/>
        <v>EV1</v>
      </c>
      <c r="W466" s="1" t="str">
        <f t="shared" si="90"/>
        <v>EV1</v>
      </c>
      <c r="X466" s="4" t="b">
        <f t="shared" si="88"/>
        <v>1</v>
      </c>
      <c r="Y466" s="1">
        <f>VLOOKUP(D466,'Orden de Imagen'!$A$1:D563,4,FALSE())</f>
        <v>456</v>
      </c>
      <c r="Z466" s="1" t="str">
        <f t="shared" si="89"/>
        <v>456_26_05_09_EV1</v>
      </c>
    </row>
    <row r="467" spans="1:26" x14ac:dyDescent="0.25">
      <c r="B467" s="1" t="s">
        <v>802</v>
      </c>
      <c r="C467" s="4" t="str">
        <f t="shared" si="83"/>
        <v>CL_MLP_PAO_IF_Ortho_26_04_30_EM4.tif</v>
      </c>
      <c r="D467" s="1" t="str">
        <f t="shared" si="92"/>
        <v>CL_MLP_PAO_IF_Ortho_26_04_30_EM4</v>
      </c>
      <c r="E467" s="15" t="s">
        <v>540</v>
      </c>
      <c r="F467" s="15" t="s">
        <v>460</v>
      </c>
      <c r="G467" s="15" t="s">
        <v>29</v>
      </c>
      <c r="H467" s="17">
        <v>46142</v>
      </c>
      <c r="I467" s="17">
        <v>46155</v>
      </c>
      <c r="J467" s="15" t="s">
        <v>30</v>
      </c>
      <c r="K467" s="2" t="str">
        <f t="shared" si="91"/>
        <v>https://sig.aminerals.cl/imgdyn/rest/services/CL_MLP_PAO/CL_MLP_PAO_IF_Ortho_Geosupport/ImageServer/file?id=.\El_Mauro_Drone\26_04_30\CL_MLP_PAO_IF_Ortho_26_04_30_EM4.tif&amp;rasterId=</v>
      </c>
      <c r="L467" s="1" t="s">
        <v>31</v>
      </c>
      <c r="M467" s="1" t="s">
        <v>32</v>
      </c>
      <c r="N467" s="1" t="s">
        <v>33</v>
      </c>
      <c r="O467" s="1" t="s">
        <v>34</v>
      </c>
      <c r="P467" s="3" t="str">
        <f t="shared" si="84"/>
        <v>30</v>
      </c>
      <c r="Q467" s="3" t="str">
        <f t="shared" si="85"/>
        <v>04</v>
      </c>
      <c r="R467" s="3" t="str">
        <f t="shared" si="86"/>
        <v>26</v>
      </c>
      <c r="S467" s="1" t="s">
        <v>87</v>
      </c>
      <c r="U467" s="1" t="s">
        <v>461</v>
      </c>
      <c r="V467" s="1" t="str">
        <f t="shared" si="87"/>
        <v>EM4</v>
      </c>
      <c r="W467" s="1" t="str">
        <f t="shared" si="90"/>
        <v>EM4</v>
      </c>
      <c r="X467" s="4" t="b">
        <f t="shared" si="88"/>
        <v>1</v>
      </c>
      <c r="Y467" s="1">
        <f>VLOOKUP(D467,'Orden de Imagen'!$A$1:D588,4,FALSE())</f>
        <v>424</v>
      </c>
      <c r="Z467" s="1" t="str">
        <f t="shared" si="89"/>
        <v>424_26_04_30_EM4</v>
      </c>
    </row>
    <row r="468" spans="1:26" x14ac:dyDescent="0.25">
      <c r="B468" s="1" t="s">
        <v>803</v>
      </c>
      <c r="C468" s="4" t="str">
        <f t="shared" si="83"/>
        <v>CL_MLP_PAO_IF_Ortho_26_04_30_TORRES_E35_A_E48.tif</v>
      </c>
      <c r="D468" s="1" t="str">
        <f t="shared" si="92"/>
        <v>CL_MLP_PAO_IF_Ortho_26_04_30_TORRES_E35_A_E48</v>
      </c>
      <c r="E468" s="15" t="s">
        <v>600</v>
      </c>
      <c r="F468" s="15" t="s">
        <v>460</v>
      </c>
      <c r="G468" s="15" t="s">
        <v>29</v>
      </c>
      <c r="H468" s="17">
        <v>46142</v>
      </c>
      <c r="I468" s="17">
        <v>46155</v>
      </c>
      <c r="J468" s="15" t="s">
        <v>30</v>
      </c>
      <c r="K468" s="2" t="str">
        <f t="shared" si="91"/>
        <v>https://sig.aminerals.cl/imgdyn/rest/services/CL_MLP_PAO/CL_MLP_PAO_IF_Ortho_Geosupport/ImageServer/file?id=.\El_Mauro_Drone\26_04_30\CL_MLP_PAO_IF_Ortho_26_04_30_TORRES_E35_A_E48.tif&amp;rasterId=</v>
      </c>
      <c r="L468" s="1" t="s">
        <v>31</v>
      </c>
      <c r="M468" s="1" t="s">
        <v>32</v>
      </c>
      <c r="N468" s="1" t="s">
        <v>33</v>
      </c>
      <c r="O468" s="1" t="s">
        <v>34</v>
      </c>
      <c r="P468" s="3" t="str">
        <f t="shared" si="84"/>
        <v>30</v>
      </c>
      <c r="Q468" s="3" t="str">
        <f t="shared" si="85"/>
        <v>04</v>
      </c>
      <c r="R468" s="3" t="str">
        <f t="shared" si="86"/>
        <v>26</v>
      </c>
      <c r="S468" s="8" t="s">
        <v>87</v>
      </c>
      <c r="U468" s="1" t="s">
        <v>461</v>
      </c>
      <c r="V468" s="1" t="str">
        <f t="shared" si="87"/>
        <v>TORRES_E35_A_E48</v>
      </c>
      <c r="W468" s="1" t="str">
        <f t="shared" si="90"/>
        <v>TORRES_E35_A_E48</v>
      </c>
      <c r="X468" s="4" t="b">
        <f t="shared" si="88"/>
        <v>1</v>
      </c>
      <c r="Y468" s="1">
        <f>VLOOKUP(D468,'Orden de Imagen'!$A$1:D581,4,FALSE())</f>
        <v>425</v>
      </c>
      <c r="Z468" s="1" t="str">
        <f t="shared" si="89"/>
        <v>425_26_04_30_TORRES_E35_A_E48</v>
      </c>
    </row>
    <row r="469" spans="1:26" x14ac:dyDescent="0.25">
      <c r="B469" s="1" t="s">
        <v>804</v>
      </c>
      <c r="C469" s="4" t="str">
        <f t="shared" si="83"/>
        <v>CL_MLP_PAO_IF_Ortho_26_05_01_Acceso_a_pozos.tif</v>
      </c>
      <c r="D469" s="1" t="str">
        <f t="shared" si="92"/>
        <v>CL_MLP_PAO_IF_Ortho_26_05_01_Acceso_a_pozos</v>
      </c>
      <c r="E469" s="15" t="s">
        <v>693</v>
      </c>
      <c r="F469" s="15" t="s">
        <v>460</v>
      </c>
      <c r="G469" s="15" t="s">
        <v>29</v>
      </c>
      <c r="H469" s="17">
        <v>46143</v>
      </c>
      <c r="I469" s="17">
        <v>46155</v>
      </c>
      <c r="J469" s="15" t="s">
        <v>30</v>
      </c>
      <c r="K469" s="2" t="str">
        <f t="shared" si="91"/>
        <v>https://sig.aminerals.cl/imgdyn/rest/services/CL_MLP_PAO/CL_MLP_PAO_IF_Ortho_Geosupport/ImageServer/file?id=.\El_Mauro_Drone\26_05_01\CL_MLP_PAO_IF_Ortho_26_05_01_Acceso_a_pozos.tif&amp;rasterId=</v>
      </c>
      <c r="L469" s="1" t="s">
        <v>31</v>
      </c>
      <c r="M469" s="1" t="s">
        <v>32</v>
      </c>
      <c r="N469" s="1" t="s">
        <v>33</v>
      </c>
      <c r="O469" s="1" t="s">
        <v>34</v>
      </c>
      <c r="P469" s="3" t="str">
        <f t="shared" si="84"/>
        <v>01</v>
      </c>
      <c r="Q469" s="3" t="str">
        <f t="shared" si="85"/>
        <v>05</v>
      </c>
      <c r="R469" s="3" t="str">
        <f t="shared" si="86"/>
        <v>26</v>
      </c>
      <c r="S469" s="1" t="s">
        <v>87</v>
      </c>
      <c r="U469" s="1" t="s">
        <v>461</v>
      </c>
      <c r="V469" s="1" t="str">
        <f t="shared" si="87"/>
        <v>Acceso_a_pozos</v>
      </c>
      <c r="W469" s="1" t="str">
        <f t="shared" si="90"/>
        <v>Acceso_a_pozos</v>
      </c>
      <c r="X469" s="4" t="b">
        <f t="shared" si="88"/>
        <v>1</v>
      </c>
      <c r="Y469" s="1">
        <f>VLOOKUP(D469,'Orden de Imagen'!$A$1:D598,4,FALSE())</f>
        <v>426</v>
      </c>
      <c r="Z469" s="1" t="str">
        <f t="shared" si="89"/>
        <v>426_26_05_01_Acceso_a_pozos</v>
      </c>
    </row>
    <row r="470" spans="1:26" x14ac:dyDescent="0.25">
      <c r="B470" s="1" t="s">
        <v>805</v>
      </c>
      <c r="C470" s="4" t="str">
        <f t="shared" si="83"/>
        <v>CL_MLP_PAO_IF_Ortho_26_05_01_Pozos_PRP.tif</v>
      </c>
      <c r="D470" s="1" t="str">
        <f t="shared" si="92"/>
        <v>CL_MLP_PAO_IF_Ortho_26_05_01_Pozos_PRP</v>
      </c>
      <c r="E470" s="15" t="s">
        <v>675</v>
      </c>
      <c r="F470" s="15" t="s">
        <v>460</v>
      </c>
      <c r="G470" s="15" t="s">
        <v>29</v>
      </c>
      <c r="H470" s="17">
        <v>46143</v>
      </c>
      <c r="I470" s="17">
        <v>46155</v>
      </c>
      <c r="J470" s="15" t="s">
        <v>30</v>
      </c>
      <c r="K470" s="2" t="str">
        <f t="shared" si="91"/>
        <v>https://sig.aminerals.cl/imgdyn/rest/services/CL_MLP_PAO/CL_MLP_PAO_IF_Ortho_Geosupport/ImageServer/file?id=.\El_Mauro_Drone\26_05_01\CL_MLP_PAO_IF_Ortho_26_05_01_Pozos_PRP.tif&amp;rasterId=</v>
      </c>
      <c r="L470" s="1" t="s">
        <v>31</v>
      </c>
      <c r="M470" s="1" t="s">
        <v>32</v>
      </c>
      <c r="N470" s="1" t="s">
        <v>33</v>
      </c>
      <c r="O470" s="1" t="s">
        <v>34</v>
      </c>
      <c r="P470" s="3" t="str">
        <f t="shared" si="84"/>
        <v>01</v>
      </c>
      <c r="Q470" s="3" t="str">
        <f t="shared" si="85"/>
        <v>05</v>
      </c>
      <c r="R470" s="3" t="str">
        <f t="shared" si="86"/>
        <v>26</v>
      </c>
      <c r="S470" s="8" t="s">
        <v>87</v>
      </c>
      <c r="U470" s="1" t="s">
        <v>461</v>
      </c>
      <c r="V470" s="1" t="str">
        <f t="shared" si="87"/>
        <v>Pozos_PRP</v>
      </c>
      <c r="W470" s="1" t="str">
        <f t="shared" si="90"/>
        <v>Pozos_PRP</v>
      </c>
      <c r="X470" s="4" t="b">
        <f t="shared" si="88"/>
        <v>1</v>
      </c>
      <c r="Y470" s="1">
        <f>VLOOKUP(D470,'Orden de Imagen'!$A$1:D579,4,FALSE())</f>
        <v>429</v>
      </c>
      <c r="Z470" s="1" t="str">
        <f t="shared" si="89"/>
        <v>429_26_05_01_Pozos_PRP</v>
      </c>
    </row>
    <row r="471" spans="1:26" x14ac:dyDescent="0.25">
      <c r="B471" s="1" t="s">
        <v>806</v>
      </c>
      <c r="C471" s="4" t="str">
        <f t="shared" si="83"/>
        <v>CL_MLP_PAO_IF_Ortho_26_05_02_Subestacion-El-Mauro_A_E35.tif</v>
      </c>
      <c r="D471" s="1" t="str">
        <f t="shared" si="92"/>
        <v>CL_MLP_PAO_IF_Ortho_26_05_02_Subestacion-El-Mauro_A_E35</v>
      </c>
      <c r="E471" s="15" t="s">
        <v>604</v>
      </c>
      <c r="F471" s="15" t="s">
        <v>460</v>
      </c>
      <c r="G471" s="15" t="s">
        <v>29</v>
      </c>
      <c r="H471" s="17">
        <v>46144</v>
      </c>
      <c r="I471" s="17">
        <v>46155</v>
      </c>
      <c r="J471" s="15" t="s">
        <v>30</v>
      </c>
      <c r="K471" s="2" t="str">
        <f t="shared" si="91"/>
        <v>https://sig.aminerals.cl/imgdyn/rest/services/CL_MLP_PAO/CL_MLP_PAO_IF_Ortho_Geosupport/ImageServer/file?id=.\El_Mauro_Drone\26_05_02\CL_MLP_PAO_IF_Ortho_26_05_02_Subestacion-El-Mauro_A_E35.tif&amp;rasterId=</v>
      </c>
      <c r="L471" s="1" t="s">
        <v>31</v>
      </c>
      <c r="M471" s="1" t="s">
        <v>32</v>
      </c>
      <c r="N471" s="1" t="s">
        <v>33</v>
      </c>
      <c r="O471" s="1" t="s">
        <v>34</v>
      </c>
      <c r="P471" s="3" t="str">
        <f t="shared" si="84"/>
        <v>02</v>
      </c>
      <c r="Q471" s="3" t="str">
        <f t="shared" si="85"/>
        <v>05</v>
      </c>
      <c r="R471" s="3" t="str">
        <f t="shared" si="86"/>
        <v>26</v>
      </c>
      <c r="S471" s="1" t="s">
        <v>87</v>
      </c>
      <c r="U471" s="1" t="s">
        <v>461</v>
      </c>
      <c r="V471" s="1" t="str">
        <f t="shared" si="87"/>
        <v>Subestacion-El-Mauro_A_E35</v>
      </c>
      <c r="W471" s="1" t="str">
        <f t="shared" si="90"/>
        <v>Subestacion-El-Mauro_A_E35</v>
      </c>
      <c r="X471" s="4" t="b">
        <f t="shared" si="88"/>
        <v>1</v>
      </c>
      <c r="Y471" s="1">
        <f>VLOOKUP(D471,'Orden de Imagen'!$A$1:D592,4,FALSE())</f>
        <v>434</v>
      </c>
      <c r="Z471" s="1" t="str">
        <f t="shared" si="89"/>
        <v>434_26_05_02_Subestacion-El-Mauro_A_E35</v>
      </c>
    </row>
    <row r="472" spans="1:26" x14ac:dyDescent="0.25">
      <c r="B472" s="1" t="s">
        <v>807</v>
      </c>
      <c r="C472" s="4" t="str">
        <f t="shared" si="83"/>
        <v>CL_MLP_PAO_IF_Ortho_26_05_03_Camino_Alternativo_Salamanca.tif</v>
      </c>
      <c r="D472" s="1" t="str">
        <f t="shared" si="92"/>
        <v>CL_MLP_PAO_IF_Ortho_26_05_03_Camino_Alternativo_Salamanca</v>
      </c>
      <c r="E472" s="15" t="s">
        <v>660</v>
      </c>
      <c r="F472" s="15" t="s">
        <v>460</v>
      </c>
      <c r="G472" s="15" t="s">
        <v>29</v>
      </c>
      <c r="H472" s="17">
        <v>46145</v>
      </c>
      <c r="I472" s="17">
        <v>46155</v>
      </c>
      <c r="J472" s="15" t="s">
        <v>30</v>
      </c>
      <c r="K472" s="2" t="str">
        <f t="shared" si="91"/>
        <v>https://sig.aminerals.cl/imgdyn/rest/services/CL_MLP_PAO/CL_MLP_PAO_IF_Ortho_Geosupport/ImageServer/file?id=.\El_Mauro_Drone\26_05_03\CL_MLP_PAO_IF_Ortho_26_05_03_Camino_Alternativo_Salamanca.tif&amp;rasterId=</v>
      </c>
      <c r="L472" s="1" t="s">
        <v>31</v>
      </c>
      <c r="M472" s="1" t="s">
        <v>32</v>
      </c>
      <c r="N472" s="1" t="s">
        <v>33</v>
      </c>
      <c r="O472" s="1" t="s">
        <v>34</v>
      </c>
      <c r="P472" s="3" t="str">
        <f t="shared" si="84"/>
        <v>03</v>
      </c>
      <c r="Q472" s="3" t="str">
        <f t="shared" si="85"/>
        <v>05</v>
      </c>
      <c r="R472" s="3" t="str">
        <f t="shared" si="86"/>
        <v>26</v>
      </c>
      <c r="S472" s="1" t="s">
        <v>87</v>
      </c>
      <c r="U472" s="1" t="s">
        <v>461</v>
      </c>
      <c r="V472" s="1" t="str">
        <f t="shared" si="87"/>
        <v>Camino_Alternativo_Salamanca</v>
      </c>
      <c r="W472" s="1" t="str">
        <f t="shared" si="90"/>
        <v>Camino_Alternativo_Salamanca</v>
      </c>
      <c r="X472" s="4" t="b">
        <f t="shared" si="88"/>
        <v>1</v>
      </c>
      <c r="Y472" s="1">
        <f>VLOOKUP(D472,'Orden de Imagen'!$A$1:D596,4,FALSE())</f>
        <v>436</v>
      </c>
      <c r="Z472" s="1" t="str">
        <f t="shared" si="89"/>
        <v>436_26_05_03_Camino_Alternativo_Salamanca</v>
      </c>
    </row>
    <row r="473" spans="1:26" x14ac:dyDescent="0.25">
      <c r="B473" s="1" t="s">
        <v>808</v>
      </c>
      <c r="C473" s="4" t="str">
        <f t="shared" si="83"/>
        <v>CL_MLP_PAO_IF_Ortho_26_05_03_EBD.tif</v>
      </c>
      <c r="D473" s="1" t="str">
        <f t="shared" si="92"/>
        <v>CL_MLP_PAO_IF_Ortho_26_05_03_EBD</v>
      </c>
      <c r="E473" s="15" t="s">
        <v>608</v>
      </c>
      <c r="F473" s="15" t="s">
        <v>460</v>
      </c>
      <c r="G473" s="15" t="s">
        <v>29</v>
      </c>
      <c r="H473" s="17">
        <v>46145</v>
      </c>
      <c r="I473" s="17">
        <v>46155</v>
      </c>
      <c r="J473" s="15" t="s">
        <v>30</v>
      </c>
      <c r="K473" s="2" t="str">
        <f t="shared" si="91"/>
        <v>https://sig.aminerals.cl/imgdyn/rest/services/CL_MLP_PAO/CL_MLP_PAO_IF_Ortho_Geosupport/ImageServer/file?id=.\El_Mauro_Drone\26_05_03\CL_MLP_PAO_IF_Ortho_26_05_03_EBD.tif&amp;rasterId=</v>
      </c>
      <c r="L473" s="1" t="s">
        <v>31</v>
      </c>
      <c r="M473" s="1" t="s">
        <v>32</v>
      </c>
      <c r="N473" s="1" t="s">
        <v>33</v>
      </c>
      <c r="O473" s="1" t="s">
        <v>34</v>
      </c>
      <c r="P473" s="3" t="str">
        <f t="shared" si="84"/>
        <v>03</v>
      </c>
      <c r="Q473" s="3" t="str">
        <f t="shared" si="85"/>
        <v>05</v>
      </c>
      <c r="R473" s="3" t="str">
        <f t="shared" si="86"/>
        <v>26</v>
      </c>
      <c r="S473" s="1" t="s">
        <v>87</v>
      </c>
      <c r="U473" s="1" t="s">
        <v>461</v>
      </c>
      <c r="V473" s="1" t="str">
        <f t="shared" si="87"/>
        <v>EBD</v>
      </c>
      <c r="W473" s="1" t="str">
        <f t="shared" si="90"/>
        <v>EBD</v>
      </c>
      <c r="X473" s="4" t="b">
        <f t="shared" si="88"/>
        <v>1</v>
      </c>
      <c r="Y473" s="1">
        <f>VLOOKUP(D473,'Orden de Imagen'!$A$1:D595,4,FALSE())</f>
        <v>437</v>
      </c>
      <c r="Z473" s="1" t="str">
        <f t="shared" si="89"/>
        <v>437_26_05_03_EBD</v>
      </c>
    </row>
    <row r="474" spans="1:26" x14ac:dyDescent="0.25">
      <c r="B474" s="1" t="s">
        <v>809</v>
      </c>
      <c r="C474" s="4" t="str">
        <f t="shared" si="83"/>
        <v>CL_MLP_PAO_IF_Ortho_26_05_06_Camino_Alternativo_Salamanca.tif</v>
      </c>
      <c r="D474" s="1" t="str">
        <f t="shared" si="92"/>
        <v>CL_MLP_PAO_IF_Ortho_26_05_06_Camino_Alternativo_Salamanca</v>
      </c>
      <c r="E474" s="15" t="s">
        <v>660</v>
      </c>
      <c r="F474" s="15" t="s">
        <v>460</v>
      </c>
      <c r="G474" s="15" t="s">
        <v>29</v>
      </c>
      <c r="H474" s="17">
        <v>46148</v>
      </c>
      <c r="I474" s="17">
        <v>46155</v>
      </c>
      <c r="J474" s="15" t="s">
        <v>30</v>
      </c>
      <c r="K474" s="2" t="str">
        <f t="shared" si="91"/>
        <v>https://sig.aminerals.cl/imgdyn/rest/services/CL_MLP_PAO/CL_MLP_PAO_IF_Ortho_Geosupport/ImageServer/file?id=.\El_Mauro_Drone\26_05_06\CL_MLP_PAO_IF_Ortho_26_05_06_Camino_Alternativo_Salamanca.tif&amp;rasterId=</v>
      </c>
      <c r="L474" s="1" t="s">
        <v>31</v>
      </c>
      <c r="M474" s="1" t="s">
        <v>32</v>
      </c>
      <c r="N474" s="1" t="s">
        <v>33</v>
      </c>
      <c r="O474" s="1" t="s">
        <v>34</v>
      </c>
      <c r="P474" s="3" t="str">
        <f t="shared" si="84"/>
        <v>06</v>
      </c>
      <c r="Q474" s="3" t="str">
        <f t="shared" si="85"/>
        <v>05</v>
      </c>
      <c r="R474" s="3" t="str">
        <f t="shared" si="86"/>
        <v>26</v>
      </c>
      <c r="S474" s="8" t="s">
        <v>87</v>
      </c>
      <c r="U474" s="1" t="s">
        <v>461</v>
      </c>
      <c r="V474" s="1" t="str">
        <f t="shared" si="87"/>
        <v>Camino_Alternativo_Salamanca</v>
      </c>
      <c r="W474" s="1" t="str">
        <f t="shared" si="90"/>
        <v>Camino_Alternativo_Salamanca</v>
      </c>
      <c r="X474" s="4" t="b">
        <f t="shared" si="88"/>
        <v>1</v>
      </c>
      <c r="Y474" s="1">
        <f>VLOOKUP(D474,'Orden de Imagen'!$A$1:D573,4,FALSE())</f>
        <v>442</v>
      </c>
      <c r="Z474" s="1" t="str">
        <f t="shared" si="89"/>
        <v>442_26_05_06_Camino_Alternativo_Salamanca</v>
      </c>
    </row>
    <row r="475" spans="1:26" x14ac:dyDescent="0.25">
      <c r="B475" s="1" t="s">
        <v>810</v>
      </c>
      <c r="C475" s="4" t="str">
        <f t="shared" si="83"/>
        <v>CL_MLP_PAO_IF_Ortho_26_05_06_TORRES_E35_A_E48.tif</v>
      </c>
      <c r="D475" s="1" t="str">
        <f t="shared" si="92"/>
        <v>CL_MLP_PAO_IF_Ortho_26_05_06_TORRES_E35_A_E48</v>
      </c>
      <c r="E475" s="15" t="s">
        <v>600</v>
      </c>
      <c r="F475" s="15" t="s">
        <v>460</v>
      </c>
      <c r="G475" s="15" t="s">
        <v>29</v>
      </c>
      <c r="H475" s="17">
        <v>46148</v>
      </c>
      <c r="I475" s="17">
        <v>46155</v>
      </c>
      <c r="J475" s="15" t="s">
        <v>30</v>
      </c>
      <c r="K475" s="2" t="str">
        <f t="shared" si="91"/>
        <v>https://sig.aminerals.cl/imgdyn/rest/services/CL_MLP_PAO/CL_MLP_PAO_IF_Ortho_Geosupport/ImageServer/file?id=.\El_Mauro_Drone\26_05_06\CL_MLP_PAO_IF_Ortho_26_05_06_TORRES_E35_A_E48.tif&amp;rasterId=</v>
      </c>
      <c r="L475" s="1" t="s">
        <v>31</v>
      </c>
      <c r="M475" s="1" t="s">
        <v>32</v>
      </c>
      <c r="N475" s="1" t="s">
        <v>33</v>
      </c>
      <c r="O475" s="1" t="s">
        <v>34</v>
      </c>
      <c r="P475" s="3" t="str">
        <f t="shared" si="84"/>
        <v>06</v>
      </c>
      <c r="Q475" s="3" t="str">
        <f t="shared" si="85"/>
        <v>05</v>
      </c>
      <c r="R475" s="3" t="str">
        <f t="shared" si="86"/>
        <v>26</v>
      </c>
      <c r="S475" s="1" t="s">
        <v>87</v>
      </c>
      <c r="U475" s="1" t="s">
        <v>461</v>
      </c>
      <c r="V475" s="1" t="str">
        <f t="shared" si="87"/>
        <v>TORRES_E35_A_E48</v>
      </c>
      <c r="W475" s="1" t="str">
        <f t="shared" si="90"/>
        <v>TORRES_E35_A_E48</v>
      </c>
      <c r="X475" s="4" t="b">
        <f t="shared" si="88"/>
        <v>1</v>
      </c>
      <c r="Y475" s="1">
        <f>VLOOKUP(D475,'Orden de Imagen'!$A$1:D585,4,FALSE())</f>
        <v>443</v>
      </c>
      <c r="Z475" s="1" t="str">
        <f t="shared" si="89"/>
        <v>443_26_05_06_TORRES_E35_A_E48</v>
      </c>
    </row>
    <row r="476" spans="1:26" x14ac:dyDescent="0.25">
      <c r="B476" s="1" t="s">
        <v>811</v>
      </c>
      <c r="C476" s="4" t="str">
        <f t="shared" si="83"/>
        <v>CL_MLP_PAO_IF_Ortho_26_05_07_Estacion_Intermedia.tif</v>
      </c>
      <c r="D476" s="1" t="str">
        <f t="shared" si="92"/>
        <v>CL_MLP_PAO_IF_Ortho_26_05_07_Estacion_Intermedia</v>
      </c>
      <c r="E476" s="15" t="s">
        <v>682</v>
      </c>
      <c r="F476" s="15" t="s">
        <v>460</v>
      </c>
      <c r="G476" s="15" t="s">
        <v>29</v>
      </c>
      <c r="H476" s="17">
        <v>46149</v>
      </c>
      <c r="I476" s="17">
        <v>46155</v>
      </c>
      <c r="J476" s="15" t="s">
        <v>30</v>
      </c>
      <c r="K476" s="2" t="str">
        <f t="shared" si="91"/>
        <v>https://sig.aminerals.cl/imgdyn/rest/services/CL_MLP_PAO/CL_MLP_PAO_IF_Ortho_Geosupport/ImageServer/file?id=.\El_Mauro_Drone\26_05_07\CL_MLP_PAO_IF_Ortho_26_05_07_Estacion_Intermedia.tif&amp;rasterId=</v>
      </c>
      <c r="L476" s="1" t="s">
        <v>31</v>
      </c>
      <c r="M476" s="1" t="s">
        <v>32</v>
      </c>
      <c r="N476" s="1" t="s">
        <v>33</v>
      </c>
      <c r="O476" s="1" t="s">
        <v>34</v>
      </c>
      <c r="P476" s="3" t="str">
        <f t="shared" si="84"/>
        <v>07</v>
      </c>
      <c r="Q476" s="3" t="str">
        <f t="shared" si="85"/>
        <v>05</v>
      </c>
      <c r="R476" s="3" t="str">
        <f t="shared" si="86"/>
        <v>26</v>
      </c>
      <c r="S476" s="1" t="s">
        <v>87</v>
      </c>
      <c r="U476" s="1" t="s">
        <v>461</v>
      </c>
      <c r="V476" s="1" t="str">
        <f t="shared" si="87"/>
        <v>Estacion_Intermedia</v>
      </c>
      <c r="W476" s="1" t="str">
        <f t="shared" si="90"/>
        <v>Estacion_Intermedia</v>
      </c>
      <c r="X476" s="4" t="b">
        <f t="shared" si="88"/>
        <v>1</v>
      </c>
      <c r="Y476" s="1">
        <f>VLOOKUP(D476,'Orden de Imagen'!$A$1:D590,4,FALSE())</f>
        <v>447</v>
      </c>
      <c r="Z476" s="1" t="str">
        <f t="shared" si="89"/>
        <v>447_26_05_07_Estacion_Intermedia</v>
      </c>
    </row>
    <row r="477" spans="1:26" x14ac:dyDescent="0.25">
      <c r="B477" s="1" t="s">
        <v>812</v>
      </c>
      <c r="C477" s="4" t="str">
        <f t="shared" si="83"/>
        <v>CL_MLP_PAO_IF_Ortho_26_05_08_Acceso_a_pozos.tif</v>
      </c>
      <c r="D477" s="1" t="str">
        <f t="shared" si="92"/>
        <v>CL_MLP_PAO_IF_Ortho_26_05_08_Acceso_a_pozos</v>
      </c>
      <c r="E477" s="15" t="s">
        <v>693</v>
      </c>
      <c r="F477" s="15" t="s">
        <v>460</v>
      </c>
      <c r="G477" s="15" t="s">
        <v>29</v>
      </c>
      <c r="H477" s="17">
        <v>46150</v>
      </c>
      <c r="I477" s="17">
        <v>46155</v>
      </c>
      <c r="J477" s="15" t="s">
        <v>30</v>
      </c>
      <c r="K477" s="2" t="str">
        <f t="shared" si="91"/>
        <v>https://sig.aminerals.cl/imgdyn/rest/services/CL_MLP_PAO/CL_MLP_PAO_IF_Ortho_Geosupport/ImageServer/file?id=.\El_Mauro_Drone\26_05_08\CL_MLP_PAO_IF_Ortho_26_05_08_Acceso_a_pozos.tif&amp;rasterId=</v>
      </c>
      <c r="L477" s="1" t="s">
        <v>31</v>
      </c>
      <c r="M477" s="1" t="s">
        <v>32</v>
      </c>
      <c r="N477" s="1" t="s">
        <v>33</v>
      </c>
      <c r="O477" s="1" t="s">
        <v>34</v>
      </c>
      <c r="P477" s="3" t="str">
        <f t="shared" si="84"/>
        <v>08</v>
      </c>
      <c r="Q477" s="3" t="str">
        <f t="shared" si="85"/>
        <v>05</v>
      </c>
      <c r="R477" s="3" t="str">
        <f t="shared" si="86"/>
        <v>26</v>
      </c>
      <c r="S477" s="1" t="s">
        <v>87</v>
      </c>
      <c r="U477" s="1" t="s">
        <v>461</v>
      </c>
      <c r="V477" s="1" t="str">
        <f t="shared" si="87"/>
        <v>Acceso_a_pozos</v>
      </c>
      <c r="W477" s="1" t="str">
        <f t="shared" si="90"/>
        <v>Acceso_a_pozos</v>
      </c>
      <c r="X477" s="4" t="b">
        <f t="shared" si="88"/>
        <v>1</v>
      </c>
      <c r="Y477" s="1">
        <f>VLOOKUP(D477,'Orden de Imagen'!$A$1:D587,4,FALSE())</f>
        <v>448</v>
      </c>
      <c r="Z477" s="1" t="str">
        <f t="shared" si="89"/>
        <v>448_26_05_08_Acceso_a_pozos</v>
      </c>
    </row>
    <row r="478" spans="1:26" x14ac:dyDescent="0.25">
      <c r="B478" s="1" t="s">
        <v>813</v>
      </c>
      <c r="C478" s="4" t="str">
        <f t="shared" si="83"/>
        <v>CL_MLP_PAO_IF_Ortho_26_05_08_EBD.tif</v>
      </c>
      <c r="D478" s="1" t="str">
        <f t="shared" si="92"/>
        <v>CL_MLP_PAO_IF_Ortho_26_05_08_EBD</v>
      </c>
      <c r="E478" s="15" t="s">
        <v>608</v>
      </c>
      <c r="F478" s="15" t="s">
        <v>460</v>
      </c>
      <c r="G478" s="15" t="s">
        <v>29</v>
      </c>
      <c r="H478" s="17">
        <v>46150</v>
      </c>
      <c r="I478" s="17">
        <v>46155</v>
      </c>
      <c r="J478" s="15" t="s">
        <v>30</v>
      </c>
      <c r="K478" s="2" t="str">
        <f t="shared" si="91"/>
        <v>https://sig.aminerals.cl/imgdyn/rest/services/CL_MLP_PAO/CL_MLP_PAO_IF_Ortho_Geosupport/ImageServer/file?id=.\El_Mauro_Drone\26_05_08\CL_MLP_PAO_IF_Ortho_26_05_08_EBD.tif&amp;rasterId=</v>
      </c>
      <c r="L478" s="1" t="s">
        <v>31</v>
      </c>
      <c r="M478" s="1" t="s">
        <v>32</v>
      </c>
      <c r="N478" s="1" t="s">
        <v>33</v>
      </c>
      <c r="O478" s="1" t="s">
        <v>34</v>
      </c>
      <c r="P478" s="3" t="str">
        <f t="shared" si="84"/>
        <v>08</v>
      </c>
      <c r="Q478" s="3" t="str">
        <f t="shared" si="85"/>
        <v>05</v>
      </c>
      <c r="R478" s="3" t="str">
        <f t="shared" si="86"/>
        <v>26</v>
      </c>
      <c r="S478" s="8" t="s">
        <v>87</v>
      </c>
      <c r="U478" s="1" t="s">
        <v>461</v>
      </c>
      <c r="V478" s="1" t="str">
        <f t="shared" si="87"/>
        <v>EBD</v>
      </c>
      <c r="W478" s="1" t="str">
        <f t="shared" si="90"/>
        <v>EBD</v>
      </c>
      <c r="X478" s="4" t="b">
        <f t="shared" si="88"/>
        <v>1</v>
      </c>
      <c r="Y478" s="1">
        <f>VLOOKUP(D478,'Orden de Imagen'!$A$1:D569,4,FALSE())</f>
        <v>449</v>
      </c>
      <c r="Z478" s="1" t="str">
        <f t="shared" si="89"/>
        <v>449_26_05_08_EBD</v>
      </c>
    </row>
    <row r="479" spans="1:26" x14ac:dyDescent="0.25">
      <c r="B479" s="1" t="s">
        <v>814</v>
      </c>
      <c r="C479" s="4" t="str">
        <f t="shared" si="83"/>
        <v>CL_MLP_PAO_IF_Ortho_26_05_08_EM4.tif</v>
      </c>
      <c r="D479" s="1" t="str">
        <f t="shared" si="92"/>
        <v>CL_MLP_PAO_IF_Ortho_26_05_08_EM4</v>
      </c>
      <c r="E479" s="15" t="s">
        <v>540</v>
      </c>
      <c r="F479" s="15" t="s">
        <v>460</v>
      </c>
      <c r="G479" s="15" t="s">
        <v>29</v>
      </c>
      <c r="H479" s="17">
        <v>46150</v>
      </c>
      <c r="I479" s="17">
        <v>46155</v>
      </c>
      <c r="J479" s="15" t="s">
        <v>30</v>
      </c>
      <c r="K479" s="2" t="str">
        <f t="shared" si="91"/>
        <v>https://sig.aminerals.cl/imgdyn/rest/services/CL_MLP_PAO/CL_MLP_PAO_IF_Ortho_Geosupport/ImageServer/file?id=.\El_Mauro_Drone\26_05_08\CL_MLP_PAO_IF_Ortho_26_05_08_EM4.tif&amp;rasterId=</v>
      </c>
      <c r="L479" s="1" t="s">
        <v>31</v>
      </c>
      <c r="M479" s="1" t="s">
        <v>32</v>
      </c>
      <c r="N479" s="1" t="s">
        <v>33</v>
      </c>
      <c r="O479" s="1" t="s">
        <v>34</v>
      </c>
      <c r="P479" s="3" t="str">
        <f t="shared" si="84"/>
        <v>08</v>
      </c>
      <c r="Q479" s="3" t="str">
        <f t="shared" si="85"/>
        <v>05</v>
      </c>
      <c r="R479" s="3" t="str">
        <f t="shared" si="86"/>
        <v>26</v>
      </c>
      <c r="S479" s="1" t="s">
        <v>87</v>
      </c>
      <c r="U479" s="1" t="s">
        <v>461</v>
      </c>
      <c r="V479" s="1" t="str">
        <f t="shared" si="87"/>
        <v>EM4</v>
      </c>
      <c r="W479" s="1" t="str">
        <f t="shared" si="90"/>
        <v>EM4</v>
      </c>
      <c r="X479" s="4" t="b">
        <f t="shared" si="88"/>
        <v>1</v>
      </c>
      <c r="Y479" s="1">
        <f>VLOOKUP(D479,'Orden de Imagen'!$A$1:D599,4,FALSE())</f>
        <v>450</v>
      </c>
      <c r="Z479" s="1" t="str">
        <f t="shared" si="89"/>
        <v>450_26_05_08_EM4</v>
      </c>
    </row>
    <row r="480" spans="1:26" x14ac:dyDescent="0.25">
      <c r="B480" s="1" t="s">
        <v>815</v>
      </c>
      <c r="C480" s="4" t="str">
        <f t="shared" si="83"/>
        <v>CL_MLP_PAO_IF_Ortho_26_05_08_Pozos_PRP.tif</v>
      </c>
      <c r="D480" s="1" t="str">
        <f t="shared" si="92"/>
        <v>CL_MLP_PAO_IF_Ortho_26_05_08_Pozos_PRP</v>
      </c>
      <c r="E480" s="15" t="s">
        <v>675</v>
      </c>
      <c r="F480" s="15" t="s">
        <v>460</v>
      </c>
      <c r="G480" s="15" t="s">
        <v>29</v>
      </c>
      <c r="H480" s="17">
        <v>46150</v>
      </c>
      <c r="I480" s="17">
        <v>46155</v>
      </c>
      <c r="J480" s="15" t="s">
        <v>30</v>
      </c>
      <c r="K480" s="2" t="str">
        <f t="shared" si="91"/>
        <v>https://sig.aminerals.cl/imgdyn/rest/services/CL_MLP_PAO/CL_MLP_PAO_IF_Ortho_Geosupport/ImageServer/file?id=.\El_Mauro_Drone\26_05_08\CL_MLP_PAO_IF_Ortho_26_05_08_Pozos_PRP.tif&amp;rasterId=</v>
      </c>
      <c r="L480" s="1" t="s">
        <v>31</v>
      </c>
      <c r="M480" s="1" t="s">
        <v>32</v>
      </c>
      <c r="N480" s="1" t="s">
        <v>33</v>
      </c>
      <c r="O480" s="1" t="s">
        <v>34</v>
      </c>
      <c r="P480" s="3" t="str">
        <f t="shared" si="84"/>
        <v>08</v>
      </c>
      <c r="Q480" s="3" t="str">
        <f t="shared" si="85"/>
        <v>05</v>
      </c>
      <c r="R480" s="3" t="str">
        <f t="shared" si="86"/>
        <v>26</v>
      </c>
      <c r="S480" s="8" t="s">
        <v>87</v>
      </c>
      <c r="U480" s="1" t="s">
        <v>461</v>
      </c>
      <c r="V480" s="1" t="str">
        <f t="shared" si="87"/>
        <v>Pozos_PRP</v>
      </c>
      <c r="W480" s="1" t="str">
        <f t="shared" si="90"/>
        <v>Pozos_PRP</v>
      </c>
      <c r="X480" s="4" t="b">
        <f t="shared" si="88"/>
        <v>1</v>
      </c>
      <c r="Y480" s="1">
        <f>VLOOKUP(D480,'Orden de Imagen'!$A$1:D568,4,FALSE())</f>
        <v>451</v>
      </c>
      <c r="Z480" s="1" t="str">
        <f t="shared" si="89"/>
        <v>451_26_05_08_Pozos_PRP</v>
      </c>
    </row>
    <row r="481" spans="1:26" x14ac:dyDescent="0.25">
      <c r="B481" s="1" t="s">
        <v>816</v>
      </c>
      <c r="C481" s="4" t="str">
        <f t="shared" si="83"/>
        <v>CL_MLP_PAO_IF_Ortho_26_05_08_Subestacion-El-Mauro_A_E35.tif</v>
      </c>
      <c r="D481" s="1" t="str">
        <f t="shared" si="92"/>
        <v>CL_MLP_PAO_IF_Ortho_26_05_08_Subestacion-El-Mauro_A_E35</v>
      </c>
      <c r="E481" s="15" t="s">
        <v>604</v>
      </c>
      <c r="F481" s="15" t="s">
        <v>460</v>
      </c>
      <c r="G481" s="15" t="s">
        <v>29</v>
      </c>
      <c r="H481" s="17">
        <v>46150</v>
      </c>
      <c r="I481" s="17">
        <v>46155</v>
      </c>
      <c r="J481" s="15" t="s">
        <v>30</v>
      </c>
      <c r="K481" s="2" t="str">
        <f t="shared" si="91"/>
        <v>https://sig.aminerals.cl/imgdyn/rest/services/CL_MLP_PAO/CL_MLP_PAO_IF_Ortho_Geosupport/ImageServer/file?id=.\El_Mauro_Drone\26_05_08\CL_MLP_PAO_IF_Ortho_26_05_08_Subestacion-El-Mauro_A_E35.tif&amp;rasterId=</v>
      </c>
      <c r="L481" s="1" t="s">
        <v>31</v>
      </c>
      <c r="M481" s="1" t="s">
        <v>32</v>
      </c>
      <c r="N481" s="1" t="s">
        <v>33</v>
      </c>
      <c r="O481" s="1" t="s">
        <v>34</v>
      </c>
      <c r="P481" s="3" t="str">
        <f t="shared" si="84"/>
        <v>08</v>
      </c>
      <c r="Q481" s="3" t="str">
        <f t="shared" si="85"/>
        <v>05</v>
      </c>
      <c r="R481" s="3" t="str">
        <f t="shared" si="86"/>
        <v>26</v>
      </c>
      <c r="S481" s="1" t="s">
        <v>87</v>
      </c>
      <c r="U481" s="1" t="s">
        <v>461</v>
      </c>
      <c r="V481" s="1" t="str">
        <f t="shared" si="87"/>
        <v>Subestacion-El-Mauro_A_E35</v>
      </c>
      <c r="W481" s="1" t="str">
        <f t="shared" si="90"/>
        <v>Subestacion-El-Mauro_A_E35</v>
      </c>
      <c r="X481" s="4" t="b">
        <f t="shared" si="88"/>
        <v>1</v>
      </c>
      <c r="Y481" s="1">
        <f>VLOOKUP(D481,'Orden de Imagen'!$A$1:D594,4,FALSE())</f>
        <v>452</v>
      </c>
      <c r="Z481" s="1" t="str">
        <f t="shared" si="89"/>
        <v>452_26_05_08_Subestacion-El-Mauro_A_E35</v>
      </c>
    </row>
    <row r="482" spans="1:26" x14ac:dyDescent="0.25">
      <c r="B482" s="1" t="s">
        <v>817</v>
      </c>
      <c r="C482" s="4" t="str">
        <f t="shared" si="83"/>
        <v>CL_MLP_PAO_IF_Ortho_26_04_29_TORRE_E85_A_E_125.tif</v>
      </c>
      <c r="D482" s="1" t="str">
        <f t="shared" si="92"/>
        <v>CL_MLP_PAO_IF_Ortho_26_04_29_TORRE_E85_A_E_125</v>
      </c>
      <c r="E482" s="15" t="s">
        <v>483</v>
      </c>
      <c r="F482" s="15" t="s">
        <v>460</v>
      </c>
      <c r="G482" s="15" t="s">
        <v>29</v>
      </c>
      <c r="H482" s="17">
        <v>46141</v>
      </c>
      <c r="I482" s="17">
        <v>46155</v>
      </c>
      <c r="J482" s="15" t="s">
        <v>30</v>
      </c>
      <c r="K482" s="2" t="str">
        <f t="shared" si="91"/>
        <v>https://sig.aminerals.cl/imgdyn/rest/services/CL_MLP_PAO/CL_MLP_PAO_IF_Ortho_Geosupport/ImageServer/file?id=.\El_Mauro_Puerto_Punta_Chungo_Drone\26_04_29\CL_MLP_PAO_IF_Ortho_26_04_29_TORRE_E85_A_E_125.tif&amp;rasterId=</v>
      </c>
      <c r="L482" s="1" t="s">
        <v>31</v>
      </c>
      <c r="M482" s="1" t="s">
        <v>32</v>
      </c>
      <c r="N482" s="1" t="s">
        <v>33</v>
      </c>
      <c r="O482" s="1" t="s">
        <v>34</v>
      </c>
      <c r="P482" s="3" t="str">
        <f t="shared" si="84"/>
        <v>29</v>
      </c>
      <c r="Q482" s="3" t="str">
        <f t="shared" si="85"/>
        <v>04</v>
      </c>
      <c r="R482" s="3" t="str">
        <f t="shared" si="86"/>
        <v>26</v>
      </c>
      <c r="S482" s="1" t="s">
        <v>50</v>
      </c>
      <c r="U482" s="1" t="s">
        <v>461</v>
      </c>
      <c r="V482" s="1" t="str">
        <f t="shared" si="87"/>
        <v>TORRE_E85_A_E_125</v>
      </c>
      <c r="W482" s="1" t="str">
        <f t="shared" si="90"/>
        <v>TORRE_E85_A_E_125</v>
      </c>
      <c r="X482" s="4" t="b">
        <f t="shared" si="88"/>
        <v>1</v>
      </c>
      <c r="Y482" s="1">
        <f>VLOOKUP(D482,'Orden de Imagen'!$A$1:D583,4,FALSE())</f>
        <v>423</v>
      </c>
      <c r="Z482" s="1" t="str">
        <f t="shared" si="89"/>
        <v>423_26_04_29_TORRE_E85_A_E_125</v>
      </c>
    </row>
    <row r="483" spans="1:26" x14ac:dyDescent="0.25">
      <c r="B483" s="1" t="s">
        <v>818</v>
      </c>
      <c r="C483" s="4" t="str">
        <f t="shared" si="83"/>
        <v>CL_MLP_PAO_IF_Ortho_26_05_02_EV2.tif</v>
      </c>
      <c r="D483" s="1" t="str">
        <f t="shared" si="92"/>
        <v>CL_MLP_PAO_IF_Ortho_26_05_02_EV2</v>
      </c>
      <c r="E483" s="15" t="s">
        <v>74</v>
      </c>
      <c r="F483" s="15" t="s">
        <v>460</v>
      </c>
      <c r="G483" s="15" t="s">
        <v>29</v>
      </c>
      <c r="H483" s="17">
        <v>46144</v>
      </c>
      <c r="I483" s="17">
        <v>46155</v>
      </c>
      <c r="J483" s="15" t="s">
        <v>30</v>
      </c>
      <c r="K483" s="2" t="str">
        <f t="shared" si="91"/>
        <v>https://sig.aminerals.cl/imgdyn/rest/services/CL_MLP_PAO/CL_MLP_PAO_IF_Ortho_Geosupport/ImageServer/file?id=.\El_Mauro_Puerto_Punta_Chungo_Drone\26_05_02\CL_MLP_PAO_IF_Ortho_26_05_02_EV2.tif&amp;rasterId=</v>
      </c>
      <c r="L483" s="1" t="s">
        <v>31</v>
      </c>
      <c r="M483" s="1" t="s">
        <v>32</v>
      </c>
      <c r="N483" s="1" t="s">
        <v>33</v>
      </c>
      <c r="O483" s="1" t="s">
        <v>34</v>
      </c>
      <c r="P483" s="3" t="str">
        <f t="shared" si="84"/>
        <v>02</v>
      </c>
      <c r="Q483" s="3" t="str">
        <f t="shared" si="85"/>
        <v>05</v>
      </c>
      <c r="R483" s="3" t="str">
        <f t="shared" si="86"/>
        <v>26</v>
      </c>
      <c r="S483" s="8" t="s">
        <v>50</v>
      </c>
      <c r="U483" s="1" t="s">
        <v>461</v>
      </c>
      <c r="V483" s="1" t="str">
        <f t="shared" si="87"/>
        <v>EV2</v>
      </c>
      <c r="W483" s="1" t="str">
        <f t="shared" ref="W483:W488" si="93">E483</f>
        <v>EV2</v>
      </c>
      <c r="X483" s="4" t="b">
        <f t="shared" si="88"/>
        <v>1</v>
      </c>
      <c r="Y483" s="1">
        <f>VLOOKUP(D483,'Orden de Imagen'!$A$1:D576,4,FALSE())</f>
        <v>433</v>
      </c>
      <c r="Z483" s="1" t="str">
        <f t="shared" si="89"/>
        <v>433_26_05_02_EV2</v>
      </c>
    </row>
    <row r="484" spans="1:26" x14ac:dyDescent="0.25">
      <c r="B484" s="1" t="s">
        <v>819</v>
      </c>
      <c r="C484" s="4" t="str">
        <f t="shared" si="83"/>
        <v>CL_MLP_PAO_IF_Ortho_26_05_02_TORRES_E48_A_E84_PV4.tif</v>
      </c>
      <c r="D484" s="1" t="str">
        <f t="shared" si="92"/>
        <v>CL_MLP_PAO_IF_Ortho_26_05_02_TORRES_E48_A_E84_PV4</v>
      </c>
      <c r="E484" s="15" t="s">
        <v>566</v>
      </c>
      <c r="F484" s="15" t="s">
        <v>460</v>
      </c>
      <c r="G484" s="15" t="s">
        <v>29</v>
      </c>
      <c r="H484" s="17">
        <v>46144</v>
      </c>
      <c r="I484" s="17">
        <v>46155</v>
      </c>
      <c r="J484" s="15" t="s">
        <v>30</v>
      </c>
      <c r="K484" s="2" t="str">
        <f t="shared" si="91"/>
        <v>https://sig.aminerals.cl/imgdyn/rest/services/CL_MLP_PAO/CL_MLP_PAO_IF_Ortho_Geosupport/ImageServer/file?id=.\El_Mauro_Puerto_Punta_Chungo_Drone\26_05_02\CL_MLP_PAO_IF_Ortho_26_05_02_TORRES_E48_A_E84_PV4.tif&amp;rasterId=</v>
      </c>
      <c r="L484" s="1" t="s">
        <v>31</v>
      </c>
      <c r="M484" s="1" t="s">
        <v>32</v>
      </c>
      <c r="N484" s="1" t="s">
        <v>33</v>
      </c>
      <c r="O484" s="1" t="s">
        <v>34</v>
      </c>
      <c r="P484" s="3" t="str">
        <f t="shared" si="84"/>
        <v>02</v>
      </c>
      <c r="Q484" s="3" t="str">
        <f t="shared" si="85"/>
        <v>05</v>
      </c>
      <c r="R484" s="3" t="str">
        <f t="shared" si="86"/>
        <v>26</v>
      </c>
      <c r="S484" s="1" t="s">
        <v>50</v>
      </c>
      <c r="U484" s="1" t="s">
        <v>461</v>
      </c>
      <c r="V484" s="1" t="str">
        <f t="shared" si="87"/>
        <v>TORRES_E48_A_E84_PV4</v>
      </c>
      <c r="W484" s="1" t="str">
        <f t="shared" si="93"/>
        <v>TORRES_E48_A_E84_PV4</v>
      </c>
      <c r="X484" s="4" t="b">
        <f t="shared" si="88"/>
        <v>1</v>
      </c>
      <c r="Y484" s="1">
        <f>VLOOKUP(D484,'Orden de Imagen'!$A$1:D591,4,FALSE())</f>
        <v>435</v>
      </c>
      <c r="Z484" s="1" t="str">
        <f t="shared" si="89"/>
        <v>435_26_05_02_TORRES_E48_A_E84_PV4</v>
      </c>
    </row>
    <row r="485" spans="1:26" x14ac:dyDescent="0.25">
      <c r="B485" s="1" t="s">
        <v>820</v>
      </c>
      <c r="C485" s="4" t="str">
        <f t="shared" si="83"/>
        <v>CL_MLP_PAO_IF_Ortho_26_05_03_MonteAranda-NSTC-Km-84p2-a-82p3.tif</v>
      </c>
      <c r="D485" s="1" t="str">
        <f t="shared" si="92"/>
        <v>CL_MLP_PAO_IF_Ortho_26_05_03_MonteAranda-NSTC-Km-84p2-a-82p3</v>
      </c>
      <c r="E485" s="15" t="s">
        <v>488</v>
      </c>
      <c r="F485" s="15" t="s">
        <v>460</v>
      </c>
      <c r="G485" s="15" t="s">
        <v>29</v>
      </c>
      <c r="H485" s="17">
        <v>46145</v>
      </c>
      <c r="I485" s="17">
        <v>46155</v>
      </c>
      <c r="J485" s="15" t="s">
        <v>30</v>
      </c>
      <c r="K485" s="2" t="str">
        <f t="shared" si="91"/>
        <v>https://sig.aminerals.cl/imgdyn/rest/services/CL_MLP_PAO/CL_MLP_PAO_IF_Ortho_Geosupport/ImageServer/file?id=.\El_Mauro_Puerto_Punta_Chungo_Drone\26_05_03\CL_MLP_PAO_IF_Ortho_26_05_03_MonteAranda-NSTC-Km-84p2-a-82p3.tif&amp;rasterId=</v>
      </c>
      <c r="L485" s="1" t="s">
        <v>31</v>
      </c>
      <c r="M485" s="1" t="s">
        <v>32</v>
      </c>
      <c r="N485" s="1" t="s">
        <v>33</v>
      </c>
      <c r="O485" s="1" t="s">
        <v>34</v>
      </c>
      <c r="P485" s="3" t="str">
        <f t="shared" si="84"/>
        <v>03</v>
      </c>
      <c r="Q485" s="3" t="str">
        <f t="shared" si="85"/>
        <v>05</v>
      </c>
      <c r="R485" s="3" t="str">
        <f t="shared" si="86"/>
        <v>26</v>
      </c>
      <c r="S485" s="1" t="s">
        <v>50</v>
      </c>
      <c r="U485" s="1" t="s">
        <v>461</v>
      </c>
      <c r="V485" s="1" t="str">
        <f t="shared" si="87"/>
        <v>MonteAranda-NSTC-Km-84p2-a-82p3</v>
      </c>
      <c r="W485" s="1" t="str">
        <f t="shared" si="93"/>
        <v>MonteAranda-NSTC-Km-84p2-a-82p3</v>
      </c>
      <c r="X485" s="4" t="b">
        <f t="shared" si="88"/>
        <v>1</v>
      </c>
      <c r="Y485" s="1">
        <f>VLOOKUP(D485,'Orden de Imagen'!$A$1:D584,4,FALSE())</f>
        <v>441</v>
      </c>
      <c r="Z485" s="1" t="str">
        <f t="shared" si="89"/>
        <v>441_26_05_03_MonteAranda-NSTC-Km-84p2-a-82p3</v>
      </c>
    </row>
    <row r="486" spans="1:26" x14ac:dyDescent="0.25">
      <c r="B486" s="1" t="s">
        <v>821</v>
      </c>
      <c r="C486" s="4" t="str">
        <f t="shared" si="83"/>
        <v>CL_MLP_PAO_IF_Ortho_26_05_09_EV2.tif</v>
      </c>
      <c r="D486" s="1" t="str">
        <f t="shared" si="92"/>
        <v>CL_MLP_PAO_IF_Ortho_26_05_09_EV2</v>
      </c>
      <c r="E486" s="15" t="s">
        <v>74</v>
      </c>
      <c r="F486" s="15" t="s">
        <v>460</v>
      </c>
      <c r="G486" s="15" t="s">
        <v>29</v>
      </c>
      <c r="H486" s="17">
        <v>46151</v>
      </c>
      <c r="I486" s="17">
        <v>46155</v>
      </c>
      <c r="J486" s="15" t="s">
        <v>30</v>
      </c>
      <c r="K486" s="2" t="str">
        <f t="shared" si="91"/>
        <v>https://sig.aminerals.cl/imgdyn/rest/services/CL_MLP_PAO/CL_MLP_PAO_IF_Ortho_Geosupport/ImageServer/file?id=.\El_Mauro_Puerto_Punta_Chungo_Drone\26_05_09\CL_MLP_PAO_IF_Ortho_26_05_09_EV2.tif&amp;rasterId=</v>
      </c>
      <c r="L486" s="1" t="s">
        <v>31</v>
      </c>
      <c r="M486" s="1" t="s">
        <v>32</v>
      </c>
      <c r="N486" s="1" t="s">
        <v>33</v>
      </c>
      <c r="O486" s="1" t="s">
        <v>34</v>
      </c>
      <c r="P486" s="3" t="str">
        <f t="shared" si="84"/>
        <v>09</v>
      </c>
      <c r="Q486" s="3" t="str">
        <f t="shared" si="85"/>
        <v>05</v>
      </c>
      <c r="R486" s="3" t="str">
        <f t="shared" si="86"/>
        <v>26</v>
      </c>
      <c r="S486" s="8" t="s">
        <v>50</v>
      </c>
      <c r="U486" s="1" t="s">
        <v>461</v>
      </c>
      <c r="V486" s="1" t="str">
        <f t="shared" si="87"/>
        <v>EV2</v>
      </c>
      <c r="W486" s="1" t="str">
        <f t="shared" si="93"/>
        <v>EV2</v>
      </c>
      <c r="X486" s="4" t="b">
        <f t="shared" si="88"/>
        <v>1</v>
      </c>
      <c r="Y486" s="1">
        <f>VLOOKUP(D486,'Orden de Imagen'!$A$1:D565,4,FALSE())</f>
        <v>457</v>
      </c>
      <c r="Z486" s="1" t="str">
        <f t="shared" si="89"/>
        <v>457_26_05_09_EV2</v>
      </c>
    </row>
    <row r="487" spans="1:26" x14ac:dyDescent="0.25">
      <c r="B487" s="1" t="s">
        <v>822</v>
      </c>
      <c r="C487" s="4" t="str">
        <f t="shared" si="83"/>
        <v>CL_MLP_PAO_IF_Ortho_26_05_03_EDT.tif</v>
      </c>
      <c r="D487" s="1" t="str">
        <f t="shared" si="92"/>
        <v>CL_MLP_PAO_IF_Ortho_26_05_03_EDT</v>
      </c>
      <c r="E487" s="15" t="s">
        <v>140</v>
      </c>
      <c r="F487" s="15" t="s">
        <v>460</v>
      </c>
      <c r="G487" s="15" t="s">
        <v>29</v>
      </c>
      <c r="H487" s="17">
        <v>46145</v>
      </c>
      <c r="I487" s="17">
        <v>46155</v>
      </c>
      <c r="J487" s="15" t="s">
        <v>30</v>
      </c>
      <c r="K487" s="2" t="str">
        <f t="shared" si="91"/>
        <v>https://sig.aminerals.cl/imgdyn/rest/services/CL_MLP_PAO/CL_MLP_PAO_IF_Ortho_Geosupport/ImageServer/file?id=.\Puerto_Punta_Chungo_Drone\26_05_03\CL_MLP_PAO_IF_Ortho_26_05_03_EDT.tif&amp;rasterId=</v>
      </c>
      <c r="L487" s="1" t="s">
        <v>31</v>
      </c>
      <c r="M487" s="1" t="s">
        <v>32</v>
      </c>
      <c r="N487" s="1" t="s">
        <v>33</v>
      </c>
      <c r="O487" s="1" t="s">
        <v>34</v>
      </c>
      <c r="P487" s="3" t="str">
        <f t="shared" si="84"/>
        <v>03</v>
      </c>
      <c r="Q487" s="3" t="str">
        <f t="shared" si="85"/>
        <v>05</v>
      </c>
      <c r="R487" s="3" t="str">
        <f t="shared" si="86"/>
        <v>26</v>
      </c>
      <c r="S487" s="8" t="s">
        <v>35</v>
      </c>
      <c r="U487" s="1" t="s">
        <v>461</v>
      </c>
      <c r="V487" s="1" t="str">
        <f t="shared" si="87"/>
        <v>EDT</v>
      </c>
      <c r="W487" s="1" t="str">
        <f t="shared" si="93"/>
        <v>EDT</v>
      </c>
      <c r="X487" s="4" t="b">
        <f t="shared" si="88"/>
        <v>1</v>
      </c>
      <c r="Y487" s="1">
        <f>VLOOKUP(D487,'Orden de Imagen'!$A$1:D574,4,FALSE())</f>
        <v>439</v>
      </c>
      <c r="Z487" s="1" t="str">
        <f t="shared" si="89"/>
        <v>439_26_05_03_EDT</v>
      </c>
    </row>
    <row r="488" spans="1:26" x14ac:dyDescent="0.25">
      <c r="A488" s="1">
        <v>459</v>
      </c>
      <c r="B488" s="1" t="s">
        <v>823</v>
      </c>
      <c r="C488" s="4" t="str">
        <f t="shared" si="83"/>
        <v>CL_MLP_PAO_IF_Ortho_26_05_09_EDT.tif</v>
      </c>
      <c r="D488" s="1" t="str">
        <f t="shared" si="92"/>
        <v>CL_MLP_PAO_IF_Ortho_26_05_09_EDT</v>
      </c>
      <c r="E488" s="15" t="s">
        <v>140</v>
      </c>
      <c r="F488" s="15" t="s">
        <v>460</v>
      </c>
      <c r="G488" s="15" t="s">
        <v>29</v>
      </c>
      <c r="H488" s="17">
        <v>46151</v>
      </c>
      <c r="I488" s="17">
        <v>46155</v>
      </c>
      <c r="J488" s="15" t="s">
        <v>30</v>
      </c>
      <c r="K488" s="2" t="str">
        <f t="shared" si="91"/>
        <v>https://sig.aminerals.cl/imgdyn/rest/services/CL_MLP_PAO/CL_MLP_PAO_IF_Ortho_Geosupport/ImageServer/file?id=.\Puerto_Punta_Chungo_Drone\26_05_09\CL_MLP_PAO_IF_Ortho_26_05_09_EDT.tif&amp;rasterId=</v>
      </c>
      <c r="L488" s="1" t="s">
        <v>31</v>
      </c>
      <c r="M488" s="1" t="s">
        <v>32</v>
      </c>
      <c r="N488" s="1" t="s">
        <v>33</v>
      </c>
      <c r="O488" s="1" t="s">
        <v>34</v>
      </c>
      <c r="P488" s="3" t="str">
        <f t="shared" si="84"/>
        <v>09</v>
      </c>
      <c r="Q488" s="3" t="str">
        <f t="shared" si="85"/>
        <v>05</v>
      </c>
      <c r="R488" s="3" t="str">
        <f t="shared" si="86"/>
        <v>26</v>
      </c>
      <c r="S488" s="8" t="s">
        <v>35</v>
      </c>
      <c r="U488" s="1" t="s">
        <v>461</v>
      </c>
      <c r="V488" s="1" t="str">
        <f t="shared" si="87"/>
        <v>EDT</v>
      </c>
      <c r="W488" s="1" t="str">
        <f t="shared" si="93"/>
        <v>EDT</v>
      </c>
      <c r="X488" s="4" t="b">
        <f t="shared" si="88"/>
        <v>1</v>
      </c>
      <c r="Y488" s="1">
        <f>VLOOKUP(D488,'Orden de Imagen'!$A$1:D564,4,FALSE())</f>
        <v>453</v>
      </c>
      <c r="Z488" s="1" t="str">
        <f t="shared" si="89"/>
        <v>453_26_05_09_EDT</v>
      </c>
    </row>
    <row r="489" spans="1:26" x14ac:dyDescent="0.25">
      <c r="B489" s="1" t="s">
        <v>710</v>
      </c>
      <c r="C489" s="4" t="str">
        <f t="shared" ref="C489:C552" si="94">CONCATENATE(L489,"_",M489,"_",G489,"_",N489,"_",O489,"_",R489,"_",Q489,"_",P489,"_",E489,".tif")</f>
        <v>CL_MLP_PAO_IF_Ortho_26_06_03_EM3.tif</v>
      </c>
      <c r="D489" s="4" t="str">
        <f t="shared" ref="D489:D552" si="95">CONCATENATE(L489,"_",M489,"_",G489,"_",N489,"_",O489,"_",R489,"_",Q489,"_",P489,"_",E489)</f>
        <v>CL_MLP_PAO_IF_Ortho_26_06_03_EM3</v>
      </c>
      <c r="E489" s="1" t="s">
        <v>203</v>
      </c>
      <c r="F489" s="15" t="s">
        <v>460</v>
      </c>
      <c r="G489" s="15" t="s">
        <v>29</v>
      </c>
      <c r="H489" s="18">
        <v>46176</v>
      </c>
      <c r="I489" s="18">
        <v>46178</v>
      </c>
      <c r="J489" s="15" t="s">
        <v>30</v>
      </c>
      <c r="K489" s="2" t="str">
        <f t="shared" ref="K489:K552" si="96">CONCATENATE("https://sig.aminerals.cl/imgdyn/rest/services/CL_MLP_PAO/",U489,"/","ImageServer/file?id=.\",S489,"\",R489,"_",Q489,"_",P489,"\",C489,"&amp;rasterId=")</f>
        <v>https://sig.aminerals.cl/imgdyn/rest/services/CL_MLP_PAO/CL_MLP_PAO_IF_Ortho_Geosupport/ImageServer/file?id=.\Chacay_El_Mauro_Drone\26_06_03\CL_MLP_PAO_IF_Ortho_26_06_03_EM3.tif&amp;rasterId=</v>
      </c>
      <c r="L489" s="4" t="s">
        <v>31</v>
      </c>
      <c r="M489" s="4" t="s">
        <v>32</v>
      </c>
      <c r="N489" s="4" t="s">
        <v>33</v>
      </c>
      <c r="O489" s="4" t="s">
        <v>34</v>
      </c>
      <c r="P489" s="1" t="str">
        <f t="shared" si="84"/>
        <v>03</v>
      </c>
      <c r="Q489" s="1" t="str">
        <f t="shared" si="85"/>
        <v>06</v>
      </c>
      <c r="R489" s="1" t="str">
        <f t="shared" si="86"/>
        <v>26</v>
      </c>
      <c r="S489" s="4" t="s">
        <v>40</v>
      </c>
      <c r="U489" s="4" t="s">
        <v>461</v>
      </c>
      <c r="V489" s="4" t="str">
        <f t="shared" si="87"/>
        <v>EM3</v>
      </c>
      <c r="W489" s="4" t="str">
        <f t="shared" ref="W489:W552" si="97">E489</f>
        <v>EM3</v>
      </c>
      <c r="X489" s="4" t="b">
        <f t="shared" ref="X489:X552" si="98">V489=W489</f>
        <v>1</v>
      </c>
      <c r="Y489" s="4" t="e">
        <f>VLOOKUP(D489,'Orden de Imagen'!$A$1:D565,4,FALSE())</f>
        <v>#N/A</v>
      </c>
      <c r="Z489" s="4" t="e">
        <f t="shared" ref="Z489:Z552" si="99">CONCATENATE(Y489,"_",R489,"_",Q489,"_",P489,"_",E489)</f>
        <v>#N/A</v>
      </c>
    </row>
    <row r="490" spans="1:26" x14ac:dyDescent="0.25">
      <c r="C490" s="4" t="str">
        <f t="shared" si="94"/>
        <v>CL_MLP_PAO_IF_Ortho_00_01_00_.tif</v>
      </c>
      <c r="D490" s="4" t="str">
        <f t="shared" si="95"/>
        <v>CL_MLP_PAO_IF_Ortho_00_01_00_</v>
      </c>
      <c r="F490" s="15" t="s">
        <v>460</v>
      </c>
      <c r="G490" s="15" t="s">
        <v>29</v>
      </c>
      <c r="J490" s="15" t="s">
        <v>30</v>
      </c>
      <c r="K490" s="2" t="str">
        <f t="shared" si="96"/>
        <v>https://sig.aminerals.cl/imgdyn/rest/services/CL_MLP_PAO/CL_MLP_PAO_IF_Ortho_Geosupport/ImageServer/file?id=.\\00_01_00\CL_MLP_PAO_IF_Ortho_00_01_00_.tif&amp;rasterId=</v>
      </c>
      <c r="L490" s="4" t="s">
        <v>31</v>
      </c>
      <c r="M490" s="4" t="s">
        <v>32</v>
      </c>
      <c r="N490" s="4" t="s">
        <v>33</v>
      </c>
      <c r="O490" s="4" t="s">
        <v>34</v>
      </c>
      <c r="P490" s="4" t="str">
        <f t="shared" si="84"/>
        <v>00</v>
      </c>
      <c r="Q490" s="4" t="str">
        <f t="shared" si="85"/>
        <v>01</v>
      </c>
      <c r="R490" s="4" t="str">
        <f t="shared" si="86"/>
        <v>00</v>
      </c>
      <c r="U490" s="4" t="s">
        <v>461</v>
      </c>
      <c r="V490" s="4" t="str">
        <f t="shared" si="87"/>
        <v/>
      </c>
      <c r="W490" s="4">
        <f t="shared" si="97"/>
        <v>0</v>
      </c>
      <c r="X490" s="4" t="b">
        <f t="shared" si="98"/>
        <v>0</v>
      </c>
      <c r="Y490" s="4" t="e">
        <f>VLOOKUP(D490,'Orden de Imagen'!$A$1:D566,4,FALSE())</f>
        <v>#N/A</v>
      </c>
      <c r="Z490" s="4" t="e">
        <f t="shared" si="99"/>
        <v>#N/A</v>
      </c>
    </row>
    <row r="491" spans="1:26" x14ac:dyDescent="0.25">
      <c r="C491" s="4" t="str">
        <f t="shared" si="94"/>
        <v>CL_MLP_PAO_IF_Ortho_00_01_00_.tif</v>
      </c>
      <c r="D491" s="4" t="str">
        <f t="shared" si="95"/>
        <v>CL_MLP_PAO_IF_Ortho_00_01_00_</v>
      </c>
      <c r="F491" s="15" t="s">
        <v>460</v>
      </c>
      <c r="G491" s="15" t="s">
        <v>29</v>
      </c>
      <c r="J491" s="15" t="s">
        <v>30</v>
      </c>
      <c r="K491" s="2" t="str">
        <f t="shared" si="96"/>
        <v>https://sig.aminerals.cl/imgdyn/rest/services/CL_MLP_PAO/CL_MLP_PAO_IF_Ortho_Geosupport/ImageServer/file?id=.\\00_01_00\CL_MLP_PAO_IF_Ortho_00_01_00_.tif&amp;rasterId=</v>
      </c>
      <c r="L491" s="4" t="s">
        <v>31</v>
      </c>
      <c r="M491" s="4" t="s">
        <v>32</v>
      </c>
      <c r="N491" s="4" t="s">
        <v>33</v>
      </c>
      <c r="O491" s="4" t="s">
        <v>34</v>
      </c>
      <c r="P491" s="4" t="str">
        <f t="shared" si="84"/>
        <v>00</v>
      </c>
      <c r="Q491" s="4" t="str">
        <f t="shared" si="85"/>
        <v>01</v>
      </c>
      <c r="R491" s="4" t="str">
        <f t="shared" si="86"/>
        <v>00</v>
      </c>
      <c r="U491" s="4" t="s">
        <v>461</v>
      </c>
      <c r="V491" s="4" t="str">
        <f t="shared" si="87"/>
        <v/>
      </c>
      <c r="W491" s="4">
        <f t="shared" si="97"/>
        <v>0</v>
      </c>
      <c r="X491" s="4" t="b">
        <f t="shared" si="98"/>
        <v>0</v>
      </c>
      <c r="Y491" s="4" t="e">
        <f>VLOOKUP(D491,'Orden de Imagen'!$A$1:D567,4,FALSE())</f>
        <v>#N/A</v>
      </c>
      <c r="Z491" s="4" t="e">
        <f t="shared" si="99"/>
        <v>#N/A</v>
      </c>
    </row>
    <row r="492" spans="1:26" x14ac:dyDescent="0.25">
      <c r="C492" s="4" t="str">
        <f t="shared" si="94"/>
        <v>CL_MLP_PAO_IF_Ortho_00_01_00_.tif</v>
      </c>
      <c r="D492" s="4" t="str">
        <f t="shared" si="95"/>
        <v>CL_MLP_PAO_IF_Ortho_00_01_00_</v>
      </c>
      <c r="F492" s="15" t="s">
        <v>460</v>
      </c>
      <c r="G492" s="15" t="s">
        <v>29</v>
      </c>
      <c r="J492" s="15" t="s">
        <v>30</v>
      </c>
      <c r="K492" s="2" t="str">
        <f t="shared" si="96"/>
        <v>https://sig.aminerals.cl/imgdyn/rest/services/CL_MLP_PAO/CL_MLP_PAO_IF_Ortho_Geosupport/ImageServer/file?id=.\\00_01_00\CL_MLP_PAO_IF_Ortho_00_01_00_.tif&amp;rasterId=</v>
      </c>
      <c r="L492" s="4" t="s">
        <v>31</v>
      </c>
      <c r="M492" s="4" t="s">
        <v>32</v>
      </c>
      <c r="N492" s="4" t="s">
        <v>33</v>
      </c>
      <c r="O492" s="4" t="s">
        <v>34</v>
      </c>
      <c r="P492" s="4" t="str">
        <f t="shared" si="84"/>
        <v>00</v>
      </c>
      <c r="Q492" s="4" t="str">
        <f t="shared" si="85"/>
        <v>01</v>
      </c>
      <c r="R492" s="4" t="str">
        <f t="shared" si="86"/>
        <v>00</v>
      </c>
      <c r="U492" s="4" t="s">
        <v>461</v>
      </c>
      <c r="V492" s="4" t="str">
        <f t="shared" si="87"/>
        <v/>
      </c>
      <c r="W492" s="4">
        <f t="shared" si="97"/>
        <v>0</v>
      </c>
      <c r="X492" s="4" t="b">
        <f t="shared" si="98"/>
        <v>0</v>
      </c>
      <c r="Y492" s="4" t="e">
        <f>VLOOKUP(D492,'Orden de Imagen'!$A$1:D568,4,FALSE())</f>
        <v>#N/A</v>
      </c>
      <c r="Z492" s="4" t="e">
        <f t="shared" si="99"/>
        <v>#N/A</v>
      </c>
    </row>
    <row r="493" spans="1:26" x14ac:dyDescent="0.25">
      <c r="C493" s="4" t="str">
        <f t="shared" si="94"/>
        <v>CL_MLP_PAO_IF_Ortho_00_01_00_.tif</v>
      </c>
      <c r="D493" s="4" t="str">
        <f t="shared" si="95"/>
        <v>CL_MLP_PAO_IF_Ortho_00_01_00_</v>
      </c>
      <c r="F493" s="15" t="s">
        <v>460</v>
      </c>
      <c r="G493" s="15" t="s">
        <v>29</v>
      </c>
      <c r="J493" s="15" t="s">
        <v>30</v>
      </c>
      <c r="K493" s="2" t="str">
        <f t="shared" si="96"/>
        <v>https://sig.aminerals.cl/imgdyn/rest/services/CL_MLP_PAO/CL_MLP_PAO_IF_Ortho_Geosupport/ImageServer/file?id=.\\00_01_00\CL_MLP_PAO_IF_Ortho_00_01_00_.tif&amp;rasterId=</v>
      </c>
      <c r="L493" s="4" t="s">
        <v>31</v>
      </c>
      <c r="M493" s="4" t="s">
        <v>32</v>
      </c>
      <c r="N493" s="4" t="s">
        <v>33</v>
      </c>
      <c r="O493" s="4" t="s">
        <v>34</v>
      </c>
      <c r="P493" s="4" t="str">
        <f t="shared" si="84"/>
        <v>00</v>
      </c>
      <c r="Q493" s="4" t="str">
        <f t="shared" si="85"/>
        <v>01</v>
      </c>
      <c r="R493" s="4" t="str">
        <f t="shared" si="86"/>
        <v>00</v>
      </c>
      <c r="U493" s="4" t="s">
        <v>461</v>
      </c>
      <c r="V493" s="4" t="str">
        <f t="shared" si="87"/>
        <v/>
      </c>
      <c r="W493" s="4">
        <f t="shared" si="97"/>
        <v>0</v>
      </c>
      <c r="X493" s="4" t="b">
        <f t="shared" si="98"/>
        <v>0</v>
      </c>
      <c r="Y493" s="4" t="e">
        <f>VLOOKUP(D493,'Orden de Imagen'!$A$1:D569,4,FALSE())</f>
        <v>#N/A</v>
      </c>
      <c r="Z493" s="4" t="e">
        <f t="shared" si="99"/>
        <v>#N/A</v>
      </c>
    </row>
    <row r="494" spans="1:26" x14ac:dyDescent="0.25">
      <c r="C494" s="4" t="str">
        <f t="shared" si="94"/>
        <v>CL_MLP_PAO_IF_Ortho_00_01_00_.tif</v>
      </c>
      <c r="D494" s="4" t="str">
        <f t="shared" si="95"/>
        <v>CL_MLP_PAO_IF_Ortho_00_01_00_</v>
      </c>
      <c r="F494" s="15" t="s">
        <v>460</v>
      </c>
      <c r="G494" s="15" t="s">
        <v>29</v>
      </c>
      <c r="J494" s="15" t="s">
        <v>30</v>
      </c>
      <c r="K494" s="2" t="str">
        <f t="shared" si="96"/>
        <v>https://sig.aminerals.cl/imgdyn/rest/services/CL_MLP_PAO/CL_MLP_PAO_IF_Ortho_Geosupport/ImageServer/file?id=.\\00_01_00\CL_MLP_PAO_IF_Ortho_00_01_00_.tif&amp;rasterId=</v>
      </c>
      <c r="L494" s="4" t="s">
        <v>31</v>
      </c>
      <c r="M494" s="4" t="s">
        <v>32</v>
      </c>
      <c r="N494" s="4" t="s">
        <v>33</v>
      </c>
      <c r="O494" s="4" t="s">
        <v>34</v>
      </c>
      <c r="P494" s="4" t="str">
        <f t="shared" si="84"/>
        <v>00</v>
      </c>
      <c r="Q494" s="4" t="str">
        <f t="shared" si="85"/>
        <v>01</v>
      </c>
      <c r="R494" s="4" t="str">
        <f t="shared" si="86"/>
        <v>00</v>
      </c>
      <c r="U494" s="4" t="s">
        <v>461</v>
      </c>
      <c r="V494" s="4" t="str">
        <f t="shared" si="87"/>
        <v/>
      </c>
      <c r="W494" s="4">
        <f t="shared" si="97"/>
        <v>0</v>
      </c>
      <c r="X494" s="4" t="b">
        <f t="shared" si="98"/>
        <v>0</v>
      </c>
      <c r="Y494" s="4" t="e">
        <f>VLOOKUP(D494,'Orden de Imagen'!$A$1:D570,4,FALSE())</f>
        <v>#N/A</v>
      </c>
      <c r="Z494" s="4" t="e">
        <f t="shared" si="99"/>
        <v>#N/A</v>
      </c>
    </row>
    <row r="495" spans="1:26" x14ac:dyDescent="0.25">
      <c r="C495" s="4" t="str">
        <f t="shared" si="94"/>
        <v>CL_MLP_PAO_IF_Ortho_00_01_00_.tif</v>
      </c>
      <c r="D495" s="4" t="str">
        <f t="shared" si="95"/>
        <v>CL_MLP_PAO_IF_Ortho_00_01_00_</v>
      </c>
      <c r="F495" s="15" t="s">
        <v>460</v>
      </c>
      <c r="G495" s="15" t="s">
        <v>29</v>
      </c>
      <c r="J495" s="15" t="s">
        <v>30</v>
      </c>
      <c r="K495" s="2" t="str">
        <f t="shared" si="96"/>
        <v>https://sig.aminerals.cl/imgdyn/rest/services/CL_MLP_PAO/CL_MLP_PAO_IF_Ortho_Geosupport/ImageServer/file?id=.\\00_01_00\CL_MLP_PAO_IF_Ortho_00_01_00_.tif&amp;rasterId=</v>
      </c>
      <c r="L495" s="4" t="s">
        <v>31</v>
      </c>
      <c r="M495" s="4" t="s">
        <v>32</v>
      </c>
      <c r="N495" s="4" t="s">
        <v>33</v>
      </c>
      <c r="O495" s="4" t="s">
        <v>34</v>
      </c>
      <c r="P495" s="4" t="str">
        <f t="shared" si="84"/>
        <v>00</v>
      </c>
      <c r="Q495" s="4" t="str">
        <f t="shared" si="85"/>
        <v>01</v>
      </c>
      <c r="R495" s="4" t="str">
        <f t="shared" si="86"/>
        <v>00</v>
      </c>
      <c r="U495" s="4" t="s">
        <v>461</v>
      </c>
      <c r="V495" s="4" t="str">
        <f t="shared" si="87"/>
        <v/>
      </c>
      <c r="W495" s="4">
        <f t="shared" si="97"/>
        <v>0</v>
      </c>
      <c r="X495" s="4" t="b">
        <f t="shared" si="98"/>
        <v>0</v>
      </c>
      <c r="Y495" s="4" t="e">
        <f>VLOOKUP(D495,'Orden de Imagen'!$A$1:D571,4,FALSE())</f>
        <v>#N/A</v>
      </c>
      <c r="Z495" s="4" t="e">
        <f t="shared" si="99"/>
        <v>#N/A</v>
      </c>
    </row>
    <row r="496" spans="1:26" x14ac:dyDescent="0.25">
      <c r="C496" s="4" t="str">
        <f t="shared" si="94"/>
        <v>CL_MLP_PAO_IF_Ortho_00_01_00_.tif</v>
      </c>
      <c r="D496" s="4" t="str">
        <f t="shared" si="95"/>
        <v>CL_MLP_PAO_IF_Ortho_00_01_00_</v>
      </c>
      <c r="F496" s="15" t="s">
        <v>460</v>
      </c>
      <c r="G496" s="15" t="s">
        <v>29</v>
      </c>
      <c r="J496" s="15" t="s">
        <v>30</v>
      </c>
      <c r="K496" s="2" t="str">
        <f t="shared" si="96"/>
        <v>https://sig.aminerals.cl/imgdyn/rest/services/CL_MLP_PAO/CL_MLP_PAO_IF_Ortho_Geosupport/ImageServer/file?id=.\\00_01_00\CL_MLP_PAO_IF_Ortho_00_01_00_.tif&amp;rasterId=</v>
      </c>
      <c r="L496" s="4" t="s">
        <v>31</v>
      </c>
      <c r="M496" s="4" t="s">
        <v>32</v>
      </c>
      <c r="N496" s="4" t="s">
        <v>33</v>
      </c>
      <c r="O496" s="4" t="s">
        <v>34</v>
      </c>
      <c r="P496" s="4" t="str">
        <f t="shared" si="84"/>
        <v>00</v>
      </c>
      <c r="Q496" s="4" t="str">
        <f t="shared" si="85"/>
        <v>01</v>
      </c>
      <c r="R496" s="4" t="str">
        <f t="shared" si="86"/>
        <v>00</v>
      </c>
      <c r="U496" s="4" t="s">
        <v>461</v>
      </c>
      <c r="V496" s="4" t="str">
        <f t="shared" si="87"/>
        <v/>
      </c>
      <c r="W496" s="4">
        <f t="shared" si="97"/>
        <v>0</v>
      </c>
      <c r="X496" s="4" t="b">
        <f t="shared" si="98"/>
        <v>0</v>
      </c>
      <c r="Y496" s="4" t="e">
        <f>VLOOKUP(D496,'Orden de Imagen'!$A$1:D572,4,FALSE())</f>
        <v>#N/A</v>
      </c>
      <c r="Z496" s="4" t="e">
        <f t="shared" si="99"/>
        <v>#N/A</v>
      </c>
    </row>
    <row r="497" spans="3:26" x14ac:dyDescent="0.25">
      <c r="C497" s="4" t="str">
        <f t="shared" si="94"/>
        <v>CL_MLP_PAO_IF_Ortho_00_01_00_.tif</v>
      </c>
      <c r="D497" s="4" t="str">
        <f t="shared" si="95"/>
        <v>CL_MLP_PAO_IF_Ortho_00_01_00_</v>
      </c>
      <c r="F497" s="15" t="s">
        <v>460</v>
      </c>
      <c r="G497" s="15" t="s">
        <v>29</v>
      </c>
      <c r="J497" s="15" t="s">
        <v>30</v>
      </c>
      <c r="K497" s="2" t="str">
        <f t="shared" si="96"/>
        <v>https://sig.aminerals.cl/imgdyn/rest/services/CL_MLP_PAO/CL_MLP_PAO_IF_Ortho_Geosupport/ImageServer/file?id=.\\00_01_00\CL_MLP_PAO_IF_Ortho_00_01_00_.tif&amp;rasterId=</v>
      </c>
      <c r="L497" s="4" t="s">
        <v>31</v>
      </c>
      <c r="M497" s="4" t="s">
        <v>32</v>
      </c>
      <c r="N497" s="4" t="s">
        <v>33</v>
      </c>
      <c r="O497" s="4" t="s">
        <v>34</v>
      </c>
      <c r="P497" s="4" t="str">
        <f t="shared" si="84"/>
        <v>00</v>
      </c>
      <c r="Q497" s="4" t="str">
        <f t="shared" si="85"/>
        <v>01</v>
      </c>
      <c r="R497" s="4" t="str">
        <f t="shared" si="86"/>
        <v>00</v>
      </c>
      <c r="U497" s="4" t="s">
        <v>461</v>
      </c>
      <c r="V497" s="4" t="str">
        <f t="shared" si="87"/>
        <v/>
      </c>
      <c r="W497" s="4">
        <f t="shared" si="97"/>
        <v>0</v>
      </c>
      <c r="X497" s="4" t="b">
        <f t="shared" si="98"/>
        <v>0</v>
      </c>
      <c r="Y497" s="4" t="e">
        <f>VLOOKUP(D497,'Orden de Imagen'!$A$1:D573,4,FALSE())</f>
        <v>#N/A</v>
      </c>
      <c r="Z497" s="4" t="e">
        <f t="shared" si="99"/>
        <v>#N/A</v>
      </c>
    </row>
    <row r="498" spans="3:26" x14ac:dyDescent="0.25">
      <c r="C498" s="4" t="str">
        <f t="shared" si="94"/>
        <v>CL_MLP_PAO_IF_Ortho_00_01_00_.tif</v>
      </c>
      <c r="D498" s="4" t="str">
        <f t="shared" si="95"/>
        <v>CL_MLP_PAO_IF_Ortho_00_01_00_</v>
      </c>
      <c r="F498" s="15" t="s">
        <v>460</v>
      </c>
      <c r="G498" s="15" t="s">
        <v>29</v>
      </c>
      <c r="J498" s="15" t="s">
        <v>30</v>
      </c>
      <c r="K498" s="2" t="str">
        <f t="shared" si="96"/>
        <v>https://sig.aminerals.cl/imgdyn/rest/services/CL_MLP_PAO/CL_MLP_PAO_IF_Ortho_Geosupport/ImageServer/file?id=.\\00_01_00\CL_MLP_PAO_IF_Ortho_00_01_00_.tif&amp;rasterId=</v>
      </c>
      <c r="L498" s="4" t="s">
        <v>31</v>
      </c>
      <c r="M498" s="4" t="s">
        <v>32</v>
      </c>
      <c r="N498" s="4" t="s">
        <v>33</v>
      </c>
      <c r="O498" s="4" t="s">
        <v>34</v>
      </c>
      <c r="P498" s="4" t="str">
        <f t="shared" si="84"/>
        <v>00</v>
      </c>
      <c r="Q498" s="4" t="str">
        <f t="shared" si="85"/>
        <v>01</v>
      </c>
      <c r="R498" s="4" t="str">
        <f t="shared" si="86"/>
        <v>00</v>
      </c>
      <c r="U498" s="4" t="s">
        <v>461</v>
      </c>
      <c r="V498" s="4" t="str">
        <f t="shared" si="87"/>
        <v/>
      </c>
      <c r="W498" s="4">
        <f t="shared" si="97"/>
        <v>0</v>
      </c>
      <c r="X498" s="4" t="b">
        <f t="shared" si="98"/>
        <v>0</v>
      </c>
      <c r="Y498" s="4" t="e">
        <f>VLOOKUP(D498,'Orden de Imagen'!$A$1:D574,4,FALSE())</f>
        <v>#N/A</v>
      </c>
      <c r="Z498" s="4" t="e">
        <f t="shared" si="99"/>
        <v>#N/A</v>
      </c>
    </row>
    <row r="499" spans="3:26" x14ac:dyDescent="0.25">
      <c r="C499" s="4" t="str">
        <f t="shared" si="94"/>
        <v>CL_MLP_PAO_IF_Ortho_00_01_00_.tif</v>
      </c>
      <c r="D499" s="4" t="str">
        <f t="shared" si="95"/>
        <v>CL_MLP_PAO_IF_Ortho_00_01_00_</v>
      </c>
      <c r="F499" s="15" t="s">
        <v>460</v>
      </c>
      <c r="G499" s="15" t="s">
        <v>29</v>
      </c>
      <c r="J499" s="15" t="s">
        <v>30</v>
      </c>
      <c r="K499" s="2" t="str">
        <f t="shared" si="96"/>
        <v>https://sig.aminerals.cl/imgdyn/rest/services/CL_MLP_PAO/CL_MLP_PAO_IF_Ortho_Geosupport/ImageServer/file?id=.\\00_01_00\CL_MLP_PAO_IF_Ortho_00_01_00_.tif&amp;rasterId=</v>
      </c>
      <c r="L499" s="4" t="s">
        <v>31</v>
      </c>
      <c r="M499" s="4" t="s">
        <v>32</v>
      </c>
      <c r="N499" s="4" t="s">
        <v>33</v>
      </c>
      <c r="O499" s="4" t="s">
        <v>34</v>
      </c>
      <c r="P499" s="4" t="str">
        <f t="shared" si="84"/>
        <v>00</v>
      </c>
      <c r="Q499" s="4" t="str">
        <f t="shared" si="85"/>
        <v>01</v>
      </c>
      <c r="R499" s="4" t="str">
        <f t="shared" si="86"/>
        <v>00</v>
      </c>
      <c r="U499" s="4" t="s">
        <v>461</v>
      </c>
      <c r="V499" s="4" t="str">
        <f t="shared" si="87"/>
        <v/>
      </c>
      <c r="W499" s="4">
        <f t="shared" si="97"/>
        <v>0</v>
      </c>
      <c r="X499" s="4" t="b">
        <f t="shared" si="98"/>
        <v>0</v>
      </c>
      <c r="Y499" s="4" t="e">
        <f>VLOOKUP(D499,'Orden de Imagen'!$A$1:D575,4,FALSE())</f>
        <v>#N/A</v>
      </c>
      <c r="Z499" s="4" t="e">
        <f t="shared" si="99"/>
        <v>#N/A</v>
      </c>
    </row>
    <row r="500" spans="3:26" x14ac:dyDescent="0.25">
      <c r="C500" s="4" t="str">
        <f t="shared" si="94"/>
        <v>CL_MLP_PAO_IF_Ortho_00_01_00_.tif</v>
      </c>
      <c r="D500" s="4" t="str">
        <f t="shared" si="95"/>
        <v>CL_MLP_PAO_IF_Ortho_00_01_00_</v>
      </c>
      <c r="F500" s="15" t="s">
        <v>460</v>
      </c>
      <c r="G500" s="15" t="s">
        <v>29</v>
      </c>
      <c r="J500" s="15" t="s">
        <v>30</v>
      </c>
      <c r="K500" s="2" t="str">
        <f t="shared" si="96"/>
        <v>https://sig.aminerals.cl/imgdyn/rest/services/CL_MLP_PAO/CL_MLP_PAO_IF_Ortho_Geosupport/ImageServer/file?id=.\\00_01_00\CL_MLP_PAO_IF_Ortho_00_01_00_.tif&amp;rasterId=</v>
      </c>
      <c r="L500" s="4" t="s">
        <v>31</v>
      </c>
      <c r="M500" s="4" t="s">
        <v>32</v>
      </c>
      <c r="N500" s="4" t="s">
        <v>33</v>
      </c>
      <c r="O500" s="4" t="s">
        <v>34</v>
      </c>
      <c r="P500" s="4" t="str">
        <f t="shared" si="84"/>
        <v>00</v>
      </c>
      <c r="Q500" s="4" t="str">
        <f t="shared" si="85"/>
        <v>01</v>
      </c>
      <c r="R500" s="4" t="str">
        <f t="shared" si="86"/>
        <v>00</v>
      </c>
      <c r="U500" s="4" t="s">
        <v>461</v>
      </c>
      <c r="V500" s="4" t="str">
        <f t="shared" si="87"/>
        <v/>
      </c>
      <c r="W500" s="4">
        <f t="shared" si="97"/>
        <v>0</v>
      </c>
      <c r="X500" s="4" t="b">
        <f t="shared" si="98"/>
        <v>0</v>
      </c>
      <c r="Y500" s="4" t="e">
        <f>VLOOKUP(D500,'Orden de Imagen'!$A$1:D576,4,FALSE())</f>
        <v>#N/A</v>
      </c>
      <c r="Z500" s="4" t="e">
        <f t="shared" si="99"/>
        <v>#N/A</v>
      </c>
    </row>
    <row r="501" spans="3:26" x14ac:dyDescent="0.25">
      <c r="C501" s="4" t="str">
        <f t="shared" si="94"/>
        <v>CL_MLP_PAO_IF_Ortho_00_01_00_.tif</v>
      </c>
      <c r="D501" s="4" t="str">
        <f t="shared" si="95"/>
        <v>CL_MLP_PAO_IF_Ortho_00_01_00_</v>
      </c>
      <c r="F501" s="15" t="s">
        <v>460</v>
      </c>
      <c r="G501" s="15" t="s">
        <v>29</v>
      </c>
      <c r="J501" s="15" t="s">
        <v>30</v>
      </c>
      <c r="K501" s="2" t="str">
        <f t="shared" si="96"/>
        <v>https://sig.aminerals.cl/imgdyn/rest/services/CL_MLP_PAO/CL_MLP_PAO_IF_Ortho_Geosupport/ImageServer/file?id=.\\00_01_00\CL_MLP_PAO_IF_Ortho_00_01_00_.tif&amp;rasterId=</v>
      </c>
      <c r="L501" s="4" t="s">
        <v>31</v>
      </c>
      <c r="M501" s="4" t="s">
        <v>32</v>
      </c>
      <c r="N501" s="4" t="s">
        <v>33</v>
      </c>
      <c r="O501" s="4" t="s">
        <v>34</v>
      </c>
      <c r="P501" s="4" t="str">
        <f t="shared" si="84"/>
        <v>00</v>
      </c>
      <c r="Q501" s="4" t="str">
        <f t="shared" si="85"/>
        <v>01</v>
      </c>
      <c r="R501" s="4" t="str">
        <f t="shared" si="86"/>
        <v>00</v>
      </c>
      <c r="U501" s="4" t="s">
        <v>461</v>
      </c>
      <c r="V501" s="4" t="str">
        <f t="shared" si="87"/>
        <v/>
      </c>
      <c r="W501" s="4">
        <f t="shared" si="97"/>
        <v>0</v>
      </c>
      <c r="X501" s="4" t="b">
        <f t="shared" si="98"/>
        <v>0</v>
      </c>
      <c r="Y501" s="4" t="e">
        <f>VLOOKUP(D501,'Orden de Imagen'!$A$1:D577,4,FALSE())</f>
        <v>#N/A</v>
      </c>
      <c r="Z501" s="4" t="e">
        <f t="shared" si="99"/>
        <v>#N/A</v>
      </c>
    </row>
    <row r="502" spans="3:26" x14ac:dyDescent="0.25">
      <c r="C502" s="4" t="str">
        <f t="shared" si="94"/>
        <v>CL_MLP_PAO_IF_Ortho_00_01_00_.tif</v>
      </c>
      <c r="D502" s="4" t="str">
        <f t="shared" si="95"/>
        <v>CL_MLP_PAO_IF_Ortho_00_01_00_</v>
      </c>
      <c r="F502" s="15" t="s">
        <v>460</v>
      </c>
      <c r="G502" s="15" t="s">
        <v>29</v>
      </c>
      <c r="J502" s="15" t="s">
        <v>30</v>
      </c>
      <c r="K502" s="2" t="str">
        <f t="shared" si="96"/>
        <v>https://sig.aminerals.cl/imgdyn/rest/services/CL_MLP_PAO/CL_MLP_PAO_IF_Ortho_Geosupport/ImageServer/file?id=.\\00_01_00\CL_MLP_PAO_IF_Ortho_00_01_00_.tif&amp;rasterId=</v>
      </c>
      <c r="L502" s="4" t="s">
        <v>31</v>
      </c>
      <c r="M502" s="4" t="s">
        <v>32</v>
      </c>
      <c r="N502" s="4" t="s">
        <v>33</v>
      </c>
      <c r="O502" s="4" t="s">
        <v>34</v>
      </c>
      <c r="P502" s="4" t="str">
        <f t="shared" si="84"/>
        <v>00</v>
      </c>
      <c r="Q502" s="4" t="str">
        <f t="shared" si="85"/>
        <v>01</v>
      </c>
      <c r="R502" s="4" t="str">
        <f t="shared" si="86"/>
        <v>00</v>
      </c>
      <c r="U502" s="4" t="s">
        <v>461</v>
      </c>
      <c r="V502" s="4" t="str">
        <f t="shared" si="87"/>
        <v/>
      </c>
      <c r="W502" s="4">
        <f t="shared" si="97"/>
        <v>0</v>
      </c>
      <c r="X502" s="4" t="b">
        <f t="shared" si="98"/>
        <v>0</v>
      </c>
      <c r="Y502" s="4" t="e">
        <f>VLOOKUP(D502,'Orden de Imagen'!$A$1:D578,4,FALSE())</f>
        <v>#N/A</v>
      </c>
      <c r="Z502" s="4" t="e">
        <f t="shared" si="99"/>
        <v>#N/A</v>
      </c>
    </row>
    <row r="503" spans="3:26" x14ac:dyDescent="0.25">
      <c r="C503" s="4" t="str">
        <f t="shared" si="94"/>
        <v>CL_MLP_PAO_IF_Ortho_00_01_00_.tif</v>
      </c>
      <c r="D503" s="4" t="str">
        <f t="shared" si="95"/>
        <v>CL_MLP_PAO_IF_Ortho_00_01_00_</v>
      </c>
      <c r="F503" s="15" t="s">
        <v>460</v>
      </c>
      <c r="G503" s="15" t="s">
        <v>29</v>
      </c>
      <c r="J503" s="15" t="s">
        <v>30</v>
      </c>
      <c r="K503" s="2" t="str">
        <f t="shared" si="96"/>
        <v>https://sig.aminerals.cl/imgdyn/rest/services/CL_MLP_PAO/CL_MLP_PAO_IF_Ortho_Geosupport/ImageServer/file?id=.\\00_01_00\CL_MLP_PAO_IF_Ortho_00_01_00_.tif&amp;rasterId=</v>
      </c>
      <c r="L503" s="4" t="s">
        <v>31</v>
      </c>
      <c r="M503" s="4" t="s">
        <v>32</v>
      </c>
      <c r="N503" s="4" t="s">
        <v>33</v>
      </c>
      <c r="O503" s="4" t="s">
        <v>34</v>
      </c>
      <c r="P503" s="4" t="str">
        <f t="shared" si="84"/>
        <v>00</v>
      </c>
      <c r="Q503" s="4" t="str">
        <f t="shared" si="85"/>
        <v>01</v>
      </c>
      <c r="R503" s="4" t="str">
        <f t="shared" si="86"/>
        <v>00</v>
      </c>
      <c r="U503" s="4" t="s">
        <v>461</v>
      </c>
      <c r="V503" s="4" t="str">
        <f t="shared" si="87"/>
        <v/>
      </c>
      <c r="W503" s="4">
        <f t="shared" si="97"/>
        <v>0</v>
      </c>
      <c r="X503" s="4" t="b">
        <f t="shared" si="98"/>
        <v>0</v>
      </c>
      <c r="Y503" s="4" t="e">
        <f>VLOOKUP(D503,'Orden de Imagen'!$A$1:D579,4,FALSE())</f>
        <v>#N/A</v>
      </c>
      <c r="Z503" s="4" t="e">
        <f t="shared" si="99"/>
        <v>#N/A</v>
      </c>
    </row>
    <row r="504" spans="3:26" x14ac:dyDescent="0.25">
      <c r="C504" s="4" t="str">
        <f t="shared" si="94"/>
        <v>CL_MLP_PAO_IF_Ortho_00_01_00_.tif</v>
      </c>
      <c r="D504" s="4" t="str">
        <f t="shared" si="95"/>
        <v>CL_MLP_PAO_IF_Ortho_00_01_00_</v>
      </c>
      <c r="F504" s="15" t="s">
        <v>460</v>
      </c>
      <c r="G504" s="15" t="s">
        <v>29</v>
      </c>
      <c r="J504" s="15" t="s">
        <v>30</v>
      </c>
      <c r="K504" s="2" t="str">
        <f t="shared" si="96"/>
        <v>https://sig.aminerals.cl/imgdyn/rest/services/CL_MLP_PAO/CL_MLP_PAO_IF_Ortho_Geosupport/ImageServer/file?id=.\\00_01_00\CL_MLP_PAO_IF_Ortho_00_01_00_.tif&amp;rasterId=</v>
      </c>
      <c r="L504" s="4" t="s">
        <v>31</v>
      </c>
      <c r="M504" s="4" t="s">
        <v>32</v>
      </c>
      <c r="N504" s="4" t="s">
        <v>33</v>
      </c>
      <c r="O504" s="4" t="s">
        <v>34</v>
      </c>
      <c r="P504" s="4" t="str">
        <f t="shared" si="84"/>
        <v>00</v>
      </c>
      <c r="Q504" s="4" t="str">
        <f t="shared" si="85"/>
        <v>01</v>
      </c>
      <c r="R504" s="4" t="str">
        <f t="shared" si="86"/>
        <v>00</v>
      </c>
      <c r="U504" s="4" t="s">
        <v>461</v>
      </c>
      <c r="V504" s="4" t="str">
        <f t="shared" si="87"/>
        <v/>
      </c>
      <c r="W504" s="4">
        <f t="shared" si="97"/>
        <v>0</v>
      </c>
      <c r="X504" s="4" t="b">
        <f t="shared" si="98"/>
        <v>0</v>
      </c>
      <c r="Y504" s="4" t="e">
        <f>VLOOKUP(D504,'Orden de Imagen'!$A$1:D580,4,FALSE())</f>
        <v>#N/A</v>
      </c>
      <c r="Z504" s="4" t="e">
        <f t="shared" si="99"/>
        <v>#N/A</v>
      </c>
    </row>
    <row r="505" spans="3:26" x14ac:dyDescent="0.25">
      <c r="C505" s="4" t="str">
        <f t="shared" si="94"/>
        <v>CL_MLP_PAO_IF_Ortho_00_01_00_.tif</v>
      </c>
      <c r="D505" s="4" t="str">
        <f t="shared" si="95"/>
        <v>CL_MLP_PAO_IF_Ortho_00_01_00_</v>
      </c>
      <c r="F505" s="15" t="s">
        <v>460</v>
      </c>
      <c r="G505" s="15" t="s">
        <v>29</v>
      </c>
      <c r="J505" s="15" t="s">
        <v>30</v>
      </c>
      <c r="K505" s="2" t="str">
        <f t="shared" si="96"/>
        <v>https://sig.aminerals.cl/imgdyn/rest/services/CL_MLP_PAO/CL_MLP_PAO_IF_Ortho_Geosupport/ImageServer/file?id=.\\00_01_00\CL_MLP_PAO_IF_Ortho_00_01_00_.tif&amp;rasterId=</v>
      </c>
      <c r="L505" s="4" t="s">
        <v>31</v>
      </c>
      <c r="M505" s="4" t="s">
        <v>32</v>
      </c>
      <c r="N505" s="4" t="s">
        <v>33</v>
      </c>
      <c r="O505" s="4" t="s">
        <v>34</v>
      </c>
      <c r="P505" s="4" t="str">
        <f t="shared" si="84"/>
        <v>00</v>
      </c>
      <c r="Q505" s="4" t="str">
        <f t="shared" si="85"/>
        <v>01</v>
      </c>
      <c r="R505" s="4" t="str">
        <f t="shared" si="86"/>
        <v>00</v>
      </c>
      <c r="U505" s="4" t="s">
        <v>461</v>
      </c>
      <c r="V505" s="4" t="str">
        <f t="shared" si="87"/>
        <v/>
      </c>
      <c r="W505" s="4">
        <f t="shared" si="97"/>
        <v>0</v>
      </c>
      <c r="X505" s="4" t="b">
        <f t="shared" si="98"/>
        <v>0</v>
      </c>
      <c r="Y505" s="4" t="e">
        <f>VLOOKUP(D505,'Orden de Imagen'!$A$1:D581,4,FALSE())</f>
        <v>#N/A</v>
      </c>
      <c r="Z505" s="4" t="e">
        <f t="shared" si="99"/>
        <v>#N/A</v>
      </c>
    </row>
    <row r="506" spans="3:26" x14ac:dyDescent="0.25">
      <c r="C506" s="4" t="str">
        <f t="shared" si="94"/>
        <v>CL_MLP_PAO_IF_Ortho_00_01_00_.tif</v>
      </c>
      <c r="D506" s="4" t="str">
        <f t="shared" si="95"/>
        <v>CL_MLP_PAO_IF_Ortho_00_01_00_</v>
      </c>
      <c r="F506" s="15" t="s">
        <v>460</v>
      </c>
      <c r="G506" s="15" t="s">
        <v>29</v>
      </c>
      <c r="J506" s="15" t="s">
        <v>30</v>
      </c>
      <c r="K506" s="2" t="str">
        <f t="shared" si="96"/>
        <v>https://sig.aminerals.cl/imgdyn/rest/services/CL_MLP_PAO/CL_MLP_PAO_IF_Ortho_Geosupport/ImageServer/file?id=.\\00_01_00\CL_MLP_PAO_IF_Ortho_00_01_00_.tif&amp;rasterId=</v>
      </c>
      <c r="L506" s="4" t="s">
        <v>31</v>
      </c>
      <c r="M506" s="4" t="s">
        <v>32</v>
      </c>
      <c r="N506" s="4" t="s">
        <v>33</v>
      </c>
      <c r="O506" s="4" t="s">
        <v>34</v>
      </c>
      <c r="P506" s="4" t="str">
        <f t="shared" si="84"/>
        <v>00</v>
      </c>
      <c r="Q506" s="4" t="str">
        <f t="shared" si="85"/>
        <v>01</v>
      </c>
      <c r="R506" s="4" t="str">
        <f t="shared" si="86"/>
        <v>00</v>
      </c>
      <c r="U506" s="4" t="s">
        <v>461</v>
      </c>
      <c r="V506" s="4" t="str">
        <f t="shared" si="87"/>
        <v/>
      </c>
      <c r="W506" s="4">
        <f t="shared" si="97"/>
        <v>0</v>
      </c>
      <c r="X506" s="4" t="b">
        <f t="shared" si="98"/>
        <v>0</v>
      </c>
      <c r="Y506" s="4" t="e">
        <f>VLOOKUP(D506,'Orden de Imagen'!$A$1:D582,4,FALSE())</f>
        <v>#N/A</v>
      </c>
      <c r="Z506" s="4" t="e">
        <f t="shared" si="99"/>
        <v>#N/A</v>
      </c>
    </row>
    <row r="507" spans="3:26" x14ac:dyDescent="0.25">
      <c r="C507" s="4" t="str">
        <f t="shared" si="94"/>
        <v>CL_MLP_PAO_IF_Ortho_00_01_00_.tif</v>
      </c>
      <c r="D507" s="4" t="str">
        <f t="shared" si="95"/>
        <v>CL_MLP_PAO_IF_Ortho_00_01_00_</v>
      </c>
      <c r="F507" s="15" t="s">
        <v>460</v>
      </c>
      <c r="G507" s="15" t="s">
        <v>29</v>
      </c>
      <c r="J507" s="15" t="s">
        <v>30</v>
      </c>
      <c r="K507" s="2" t="str">
        <f t="shared" si="96"/>
        <v>https://sig.aminerals.cl/imgdyn/rest/services/CL_MLP_PAO/CL_MLP_PAO_IF_Ortho_Geosupport/ImageServer/file?id=.\\00_01_00\CL_MLP_PAO_IF_Ortho_00_01_00_.tif&amp;rasterId=</v>
      </c>
      <c r="L507" s="4" t="s">
        <v>31</v>
      </c>
      <c r="M507" s="4" t="s">
        <v>32</v>
      </c>
      <c r="N507" s="4" t="s">
        <v>33</v>
      </c>
      <c r="O507" s="4" t="s">
        <v>34</v>
      </c>
      <c r="P507" s="4" t="str">
        <f t="shared" si="84"/>
        <v>00</v>
      </c>
      <c r="Q507" s="4" t="str">
        <f t="shared" si="85"/>
        <v>01</v>
      </c>
      <c r="R507" s="4" t="str">
        <f t="shared" si="86"/>
        <v>00</v>
      </c>
      <c r="U507" s="4" t="s">
        <v>461</v>
      </c>
      <c r="V507" s="4" t="str">
        <f t="shared" si="87"/>
        <v/>
      </c>
      <c r="W507" s="4">
        <f t="shared" si="97"/>
        <v>0</v>
      </c>
      <c r="X507" s="4" t="b">
        <f t="shared" si="98"/>
        <v>0</v>
      </c>
      <c r="Y507" s="4" t="e">
        <f>VLOOKUP(D507,'Orden de Imagen'!$A$1:D583,4,FALSE())</f>
        <v>#N/A</v>
      </c>
      <c r="Z507" s="4" t="e">
        <f t="shared" si="99"/>
        <v>#N/A</v>
      </c>
    </row>
    <row r="508" spans="3:26" x14ac:dyDescent="0.25">
      <c r="C508" s="4" t="str">
        <f t="shared" si="94"/>
        <v>CL_MLP_PAO_IF_Ortho_00_01_00_.tif</v>
      </c>
      <c r="D508" s="4" t="str">
        <f t="shared" si="95"/>
        <v>CL_MLP_PAO_IF_Ortho_00_01_00_</v>
      </c>
      <c r="F508" s="15" t="s">
        <v>460</v>
      </c>
      <c r="G508" s="15" t="s">
        <v>29</v>
      </c>
      <c r="J508" s="15" t="s">
        <v>30</v>
      </c>
      <c r="K508" s="2" t="str">
        <f t="shared" si="96"/>
        <v>https://sig.aminerals.cl/imgdyn/rest/services/CL_MLP_PAO/CL_MLP_PAO_IF_Ortho_Geosupport/ImageServer/file?id=.\\00_01_00\CL_MLP_PAO_IF_Ortho_00_01_00_.tif&amp;rasterId=</v>
      </c>
      <c r="L508" s="4" t="s">
        <v>31</v>
      </c>
      <c r="M508" s="4" t="s">
        <v>32</v>
      </c>
      <c r="N508" s="4" t="s">
        <v>33</v>
      </c>
      <c r="O508" s="4" t="s">
        <v>34</v>
      </c>
      <c r="P508" s="4" t="str">
        <f t="shared" si="84"/>
        <v>00</v>
      </c>
      <c r="Q508" s="4" t="str">
        <f t="shared" si="85"/>
        <v>01</v>
      </c>
      <c r="R508" s="4" t="str">
        <f t="shared" si="86"/>
        <v>00</v>
      </c>
      <c r="U508" s="4" t="s">
        <v>461</v>
      </c>
      <c r="V508" s="4" t="str">
        <f t="shared" si="87"/>
        <v/>
      </c>
      <c r="W508" s="4">
        <f t="shared" si="97"/>
        <v>0</v>
      </c>
      <c r="X508" s="4" t="b">
        <f t="shared" si="98"/>
        <v>0</v>
      </c>
      <c r="Y508" s="4" t="e">
        <f>VLOOKUP(D508,'Orden de Imagen'!$A$1:D584,4,FALSE())</f>
        <v>#N/A</v>
      </c>
      <c r="Z508" s="4" t="e">
        <f t="shared" si="99"/>
        <v>#N/A</v>
      </c>
    </row>
    <row r="509" spans="3:26" x14ac:dyDescent="0.25">
      <c r="C509" s="4" t="str">
        <f t="shared" si="94"/>
        <v>CL_MLP_PAO_IF_Ortho_00_01_00_.tif</v>
      </c>
      <c r="D509" s="4" t="str">
        <f t="shared" si="95"/>
        <v>CL_MLP_PAO_IF_Ortho_00_01_00_</v>
      </c>
      <c r="F509" s="15" t="s">
        <v>460</v>
      </c>
      <c r="G509" s="15" t="s">
        <v>29</v>
      </c>
      <c r="J509" s="15" t="s">
        <v>30</v>
      </c>
      <c r="K509" s="2" t="str">
        <f t="shared" si="96"/>
        <v>https://sig.aminerals.cl/imgdyn/rest/services/CL_MLP_PAO/CL_MLP_PAO_IF_Ortho_Geosupport/ImageServer/file?id=.\\00_01_00\CL_MLP_PAO_IF_Ortho_00_01_00_.tif&amp;rasterId=</v>
      </c>
      <c r="L509" s="4" t="s">
        <v>31</v>
      </c>
      <c r="M509" s="4" t="s">
        <v>32</v>
      </c>
      <c r="N509" s="4" t="s">
        <v>33</v>
      </c>
      <c r="O509" s="4" t="s">
        <v>34</v>
      </c>
      <c r="P509" s="4" t="str">
        <f t="shared" si="84"/>
        <v>00</v>
      </c>
      <c r="Q509" s="4" t="str">
        <f t="shared" si="85"/>
        <v>01</v>
      </c>
      <c r="R509" s="4" t="str">
        <f t="shared" si="86"/>
        <v>00</v>
      </c>
      <c r="U509" s="4" t="s">
        <v>461</v>
      </c>
      <c r="V509" s="4" t="str">
        <f t="shared" si="87"/>
        <v/>
      </c>
      <c r="W509" s="4">
        <f t="shared" si="97"/>
        <v>0</v>
      </c>
      <c r="X509" s="4" t="b">
        <f t="shared" si="98"/>
        <v>0</v>
      </c>
      <c r="Y509" s="4" t="e">
        <f>VLOOKUP(D509,'Orden de Imagen'!$A$1:D585,4,FALSE())</f>
        <v>#N/A</v>
      </c>
      <c r="Z509" s="4" t="e">
        <f t="shared" si="99"/>
        <v>#N/A</v>
      </c>
    </row>
    <row r="510" spans="3:26" x14ac:dyDescent="0.25">
      <c r="C510" s="4" t="str">
        <f t="shared" si="94"/>
        <v>CL_MLP_PAO_IF_Ortho_00_01_00_.tif</v>
      </c>
      <c r="D510" s="4" t="str">
        <f t="shared" si="95"/>
        <v>CL_MLP_PAO_IF_Ortho_00_01_00_</v>
      </c>
      <c r="F510" s="15" t="s">
        <v>460</v>
      </c>
      <c r="G510" s="15" t="s">
        <v>29</v>
      </c>
      <c r="J510" s="15" t="s">
        <v>30</v>
      </c>
      <c r="K510" s="2" t="str">
        <f t="shared" si="96"/>
        <v>https://sig.aminerals.cl/imgdyn/rest/services/CL_MLP_PAO/CL_MLP_PAO_IF_Ortho_Geosupport/ImageServer/file?id=.\\00_01_00\CL_MLP_PAO_IF_Ortho_00_01_00_.tif&amp;rasterId=</v>
      </c>
      <c r="L510" s="4" t="s">
        <v>31</v>
      </c>
      <c r="M510" s="4" t="s">
        <v>32</v>
      </c>
      <c r="N510" s="4" t="s">
        <v>33</v>
      </c>
      <c r="O510" s="4" t="s">
        <v>34</v>
      </c>
      <c r="P510" s="4" t="str">
        <f t="shared" si="84"/>
        <v>00</v>
      </c>
      <c r="Q510" s="4" t="str">
        <f t="shared" si="85"/>
        <v>01</v>
      </c>
      <c r="R510" s="4" t="str">
        <f t="shared" si="86"/>
        <v>00</v>
      </c>
      <c r="U510" s="4" t="s">
        <v>461</v>
      </c>
      <c r="V510" s="4" t="str">
        <f t="shared" si="87"/>
        <v/>
      </c>
      <c r="W510" s="4">
        <f t="shared" si="97"/>
        <v>0</v>
      </c>
      <c r="X510" s="4" t="b">
        <f t="shared" si="98"/>
        <v>0</v>
      </c>
      <c r="Y510" s="4" t="e">
        <f>VLOOKUP(D510,'Orden de Imagen'!$A$1:D586,4,FALSE())</f>
        <v>#N/A</v>
      </c>
      <c r="Z510" s="4" t="e">
        <f t="shared" si="99"/>
        <v>#N/A</v>
      </c>
    </row>
    <row r="511" spans="3:26" x14ac:dyDescent="0.25">
      <c r="C511" s="4" t="str">
        <f t="shared" si="94"/>
        <v>CL_MLP_PAO_IF_Ortho_00_01_00_.tif</v>
      </c>
      <c r="D511" s="4" t="str">
        <f t="shared" si="95"/>
        <v>CL_MLP_PAO_IF_Ortho_00_01_00_</v>
      </c>
      <c r="F511" s="15" t="s">
        <v>460</v>
      </c>
      <c r="G511" s="15" t="s">
        <v>29</v>
      </c>
      <c r="J511" s="15" t="s">
        <v>30</v>
      </c>
      <c r="K511" s="2" t="str">
        <f t="shared" si="96"/>
        <v>https://sig.aminerals.cl/imgdyn/rest/services/CL_MLP_PAO/CL_MLP_PAO_IF_Ortho_Geosupport/ImageServer/file?id=.\\00_01_00\CL_MLP_PAO_IF_Ortho_00_01_00_.tif&amp;rasterId=</v>
      </c>
      <c r="L511" s="4" t="s">
        <v>31</v>
      </c>
      <c r="M511" s="4" t="s">
        <v>32</v>
      </c>
      <c r="N511" s="4" t="s">
        <v>33</v>
      </c>
      <c r="O511" s="4" t="s">
        <v>34</v>
      </c>
      <c r="P511" s="4" t="str">
        <f t="shared" si="84"/>
        <v>00</v>
      </c>
      <c r="Q511" s="4" t="str">
        <f t="shared" si="85"/>
        <v>01</v>
      </c>
      <c r="R511" s="4" t="str">
        <f t="shared" si="86"/>
        <v>00</v>
      </c>
      <c r="U511" s="4" t="s">
        <v>461</v>
      </c>
      <c r="V511" s="4" t="str">
        <f t="shared" si="87"/>
        <v/>
      </c>
      <c r="W511" s="4">
        <f t="shared" si="97"/>
        <v>0</v>
      </c>
      <c r="X511" s="4" t="b">
        <f t="shared" si="98"/>
        <v>0</v>
      </c>
      <c r="Y511" s="4" t="e">
        <f>VLOOKUP(D511,'Orden de Imagen'!$A$1:D587,4,FALSE())</f>
        <v>#N/A</v>
      </c>
      <c r="Z511" s="4" t="e">
        <f t="shared" si="99"/>
        <v>#N/A</v>
      </c>
    </row>
    <row r="512" spans="3:26" x14ac:dyDescent="0.25">
      <c r="C512" s="4" t="str">
        <f t="shared" si="94"/>
        <v>CL_MLP_PAO_IF_Ortho_00_01_00_.tif</v>
      </c>
      <c r="D512" s="4" t="str">
        <f t="shared" si="95"/>
        <v>CL_MLP_PAO_IF_Ortho_00_01_00_</v>
      </c>
      <c r="F512" s="15" t="s">
        <v>460</v>
      </c>
      <c r="G512" s="15" t="s">
        <v>29</v>
      </c>
      <c r="J512" s="15" t="s">
        <v>30</v>
      </c>
      <c r="K512" s="2" t="str">
        <f t="shared" si="96"/>
        <v>https://sig.aminerals.cl/imgdyn/rest/services/CL_MLP_PAO/CL_MLP_PAO_IF_Ortho_Geosupport/ImageServer/file?id=.\\00_01_00\CL_MLP_PAO_IF_Ortho_00_01_00_.tif&amp;rasterId=</v>
      </c>
      <c r="L512" s="4" t="s">
        <v>31</v>
      </c>
      <c r="M512" s="4" t="s">
        <v>32</v>
      </c>
      <c r="N512" s="4" t="s">
        <v>33</v>
      </c>
      <c r="O512" s="4" t="s">
        <v>34</v>
      </c>
      <c r="P512" s="4" t="str">
        <f t="shared" si="84"/>
        <v>00</v>
      </c>
      <c r="Q512" s="4" t="str">
        <f t="shared" si="85"/>
        <v>01</v>
      </c>
      <c r="R512" s="4" t="str">
        <f t="shared" si="86"/>
        <v>00</v>
      </c>
      <c r="U512" s="4" t="s">
        <v>461</v>
      </c>
      <c r="V512" s="4" t="str">
        <f t="shared" si="87"/>
        <v/>
      </c>
      <c r="W512" s="4">
        <f t="shared" si="97"/>
        <v>0</v>
      </c>
      <c r="X512" s="4" t="b">
        <f t="shared" si="98"/>
        <v>0</v>
      </c>
      <c r="Y512" s="4" t="e">
        <f>VLOOKUP(D512,'Orden de Imagen'!$A$1:D588,4,FALSE())</f>
        <v>#N/A</v>
      </c>
      <c r="Z512" s="4" t="e">
        <f t="shared" si="99"/>
        <v>#N/A</v>
      </c>
    </row>
    <row r="513" spans="3:26" x14ac:dyDescent="0.25">
      <c r="C513" s="4" t="str">
        <f t="shared" si="94"/>
        <v>CL_MLP_PAO_IF_Ortho_00_01_00_.tif</v>
      </c>
      <c r="D513" s="4" t="str">
        <f t="shared" si="95"/>
        <v>CL_MLP_PAO_IF_Ortho_00_01_00_</v>
      </c>
      <c r="F513" s="15" t="s">
        <v>460</v>
      </c>
      <c r="G513" s="15" t="s">
        <v>29</v>
      </c>
      <c r="J513" s="15" t="s">
        <v>30</v>
      </c>
      <c r="K513" s="2" t="str">
        <f t="shared" si="96"/>
        <v>https://sig.aminerals.cl/imgdyn/rest/services/CL_MLP_PAO/CL_MLP_PAO_IF_Ortho_Geosupport/ImageServer/file?id=.\\00_01_00\CL_MLP_PAO_IF_Ortho_00_01_00_.tif&amp;rasterId=</v>
      </c>
      <c r="L513" s="4" t="s">
        <v>31</v>
      </c>
      <c r="M513" s="4" t="s">
        <v>32</v>
      </c>
      <c r="N513" s="4" t="s">
        <v>33</v>
      </c>
      <c r="O513" s="4" t="s">
        <v>34</v>
      </c>
      <c r="P513" s="4" t="str">
        <f t="shared" si="84"/>
        <v>00</v>
      </c>
      <c r="Q513" s="4" t="str">
        <f t="shared" si="85"/>
        <v>01</v>
      </c>
      <c r="R513" s="4" t="str">
        <f t="shared" si="86"/>
        <v>00</v>
      </c>
      <c r="U513" s="4" t="s">
        <v>461</v>
      </c>
      <c r="V513" s="4" t="str">
        <f t="shared" si="87"/>
        <v/>
      </c>
      <c r="W513" s="4">
        <f t="shared" si="97"/>
        <v>0</v>
      </c>
      <c r="X513" s="4" t="b">
        <f t="shared" si="98"/>
        <v>0</v>
      </c>
      <c r="Y513" s="4" t="e">
        <f>VLOOKUP(D513,'Orden de Imagen'!$A$1:D589,4,FALSE())</f>
        <v>#N/A</v>
      </c>
      <c r="Z513" s="4" t="e">
        <f t="shared" si="99"/>
        <v>#N/A</v>
      </c>
    </row>
    <row r="514" spans="3:26" x14ac:dyDescent="0.25">
      <c r="C514" s="4" t="str">
        <f t="shared" si="94"/>
        <v>CL_MLP_PAO_IF_Ortho_00_01_00_.tif</v>
      </c>
      <c r="D514" s="4" t="str">
        <f t="shared" si="95"/>
        <v>CL_MLP_PAO_IF_Ortho_00_01_00_</v>
      </c>
      <c r="F514" s="15" t="s">
        <v>460</v>
      </c>
      <c r="G514" s="15" t="s">
        <v>29</v>
      </c>
      <c r="J514" s="15" t="s">
        <v>30</v>
      </c>
      <c r="K514" s="2" t="str">
        <f t="shared" si="96"/>
        <v>https://sig.aminerals.cl/imgdyn/rest/services/CL_MLP_PAO/CL_MLP_PAO_IF_Ortho_Geosupport/ImageServer/file?id=.\\00_01_00\CL_MLP_PAO_IF_Ortho_00_01_00_.tif&amp;rasterId=</v>
      </c>
      <c r="L514" s="4" t="s">
        <v>31</v>
      </c>
      <c r="M514" s="4" t="s">
        <v>32</v>
      </c>
      <c r="N514" s="4" t="s">
        <v>33</v>
      </c>
      <c r="O514" s="4" t="s">
        <v>34</v>
      </c>
      <c r="P514" s="4" t="str">
        <f t="shared" ref="P514:P577" si="100">TEXT(H514,"dd")</f>
        <v>00</v>
      </c>
      <c r="Q514" s="4" t="str">
        <f t="shared" ref="Q514:Q577" si="101">TEXT(H514,"MM")</f>
        <v>01</v>
      </c>
      <c r="R514" s="4" t="str">
        <f t="shared" ref="R514:R577" si="102">TEXT(H514,"YY")</f>
        <v>00</v>
      </c>
      <c r="U514" s="4" t="s">
        <v>461</v>
      </c>
      <c r="V514" s="4" t="str">
        <f t="shared" ref="V514:V577" si="103">RIGHT(D514,LEN(D514)-29)</f>
        <v/>
      </c>
      <c r="W514" s="4">
        <f t="shared" si="97"/>
        <v>0</v>
      </c>
      <c r="X514" s="4" t="b">
        <f t="shared" si="98"/>
        <v>0</v>
      </c>
      <c r="Y514" s="4" t="e">
        <f>VLOOKUP(D514,'Orden de Imagen'!$A$1:D590,4,FALSE())</f>
        <v>#N/A</v>
      </c>
      <c r="Z514" s="4" t="e">
        <f t="shared" si="99"/>
        <v>#N/A</v>
      </c>
    </row>
    <row r="515" spans="3:26" x14ac:dyDescent="0.25">
      <c r="C515" s="4" t="str">
        <f t="shared" si="94"/>
        <v>CL_MLP_PAO_IF_Ortho_00_01_00_.tif</v>
      </c>
      <c r="D515" s="4" t="str">
        <f t="shared" si="95"/>
        <v>CL_MLP_PAO_IF_Ortho_00_01_00_</v>
      </c>
      <c r="F515" s="15" t="s">
        <v>460</v>
      </c>
      <c r="G515" s="15" t="s">
        <v>29</v>
      </c>
      <c r="J515" s="15" t="s">
        <v>30</v>
      </c>
      <c r="K515" s="2" t="str">
        <f t="shared" si="96"/>
        <v>https://sig.aminerals.cl/imgdyn/rest/services/CL_MLP_PAO/CL_MLP_PAO_IF_Ortho_Geosupport/ImageServer/file?id=.\\00_01_00\CL_MLP_PAO_IF_Ortho_00_01_00_.tif&amp;rasterId=</v>
      </c>
      <c r="L515" s="4" t="s">
        <v>31</v>
      </c>
      <c r="M515" s="4" t="s">
        <v>32</v>
      </c>
      <c r="N515" s="4" t="s">
        <v>33</v>
      </c>
      <c r="O515" s="4" t="s">
        <v>34</v>
      </c>
      <c r="P515" s="4" t="str">
        <f t="shared" si="100"/>
        <v>00</v>
      </c>
      <c r="Q515" s="4" t="str">
        <f t="shared" si="101"/>
        <v>01</v>
      </c>
      <c r="R515" s="4" t="str">
        <f t="shared" si="102"/>
        <v>00</v>
      </c>
      <c r="U515" s="4" t="s">
        <v>461</v>
      </c>
      <c r="V515" s="4" t="str">
        <f t="shared" si="103"/>
        <v/>
      </c>
      <c r="W515" s="4">
        <f t="shared" si="97"/>
        <v>0</v>
      </c>
      <c r="X515" s="4" t="b">
        <f t="shared" si="98"/>
        <v>0</v>
      </c>
      <c r="Y515" s="4" t="e">
        <f>VLOOKUP(D515,'Orden de Imagen'!$A$1:D591,4,FALSE())</f>
        <v>#N/A</v>
      </c>
      <c r="Z515" s="4" t="e">
        <f t="shared" si="99"/>
        <v>#N/A</v>
      </c>
    </row>
    <row r="516" spans="3:26" x14ac:dyDescent="0.25">
      <c r="C516" s="4" t="str">
        <f t="shared" si="94"/>
        <v>CL_MLP_PAO_IF_Ortho_00_01_00_.tif</v>
      </c>
      <c r="D516" s="4" t="str">
        <f t="shared" si="95"/>
        <v>CL_MLP_PAO_IF_Ortho_00_01_00_</v>
      </c>
      <c r="F516" s="15" t="s">
        <v>460</v>
      </c>
      <c r="G516" s="15" t="s">
        <v>29</v>
      </c>
      <c r="J516" s="15" t="s">
        <v>30</v>
      </c>
      <c r="K516" s="2" t="str">
        <f t="shared" si="96"/>
        <v>https://sig.aminerals.cl/imgdyn/rest/services/CL_MLP_PAO/CL_MLP_PAO_IF_Ortho_Geosupport/ImageServer/file?id=.\\00_01_00\CL_MLP_PAO_IF_Ortho_00_01_00_.tif&amp;rasterId=</v>
      </c>
      <c r="L516" s="4" t="s">
        <v>31</v>
      </c>
      <c r="M516" s="4" t="s">
        <v>32</v>
      </c>
      <c r="N516" s="4" t="s">
        <v>33</v>
      </c>
      <c r="O516" s="4" t="s">
        <v>34</v>
      </c>
      <c r="P516" s="4" t="str">
        <f t="shared" si="100"/>
        <v>00</v>
      </c>
      <c r="Q516" s="4" t="str">
        <f t="shared" si="101"/>
        <v>01</v>
      </c>
      <c r="R516" s="4" t="str">
        <f t="shared" si="102"/>
        <v>00</v>
      </c>
      <c r="U516" s="4" t="s">
        <v>461</v>
      </c>
      <c r="V516" s="4" t="str">
        <f t="shared" si="103"/>
        <v/>
      </c>
      <c r="W516" s="4">
        <f t="shared" si="97"/>
        <v>0</v>
      </c>
      <c r="X516" s="4" t="b">
        <f t="shared" si="98"/>
        <v>0</v>
      </c>
      <c r="Y516" s="4" t="e">
        <f>VLOOKUP(D516,'Orden de Imagen'!$A$1:D592,4,FALSE())</f>
        <v>#N/A</v>
      </c>
      <c r="Z516" s="4" t="e">
        <f t="shared" si="99"/>
        <v>#N/A</v>
      </c>
    </row>
    <row r="517" spans="3:26" x14ac:dyDescent="0.25">
      <c r="C517" s="4" t="str">
        <f t="shared" si="94"/>
        <v>CL_MLP_PAO_IF_Ortho_00_01_00_.tif</v>
      </c>
      <c r="D517" s="4" t="str">
        <f t="shared" si="95"/>
        <v>CL_MLP_PAO_IF_Ortho_00_01_00_</v>
      </c>
      <c r="F517" s="15" t="s">
        <v>460</v>
      </c>
      <c r="G517" s="15" t="s">
        <v>29</v>
      </c>
      <c r="J517" s="15" t="s">
        <v>30</v>
      </c>
      <c r="K517" s="2" t="str">
        <f t="shared" si="96"/>
        <v>https://sig.aminerals.cl/imgdyn/rest/services/CL_MLP_PAO/CL_MLP_PAO_IF_Ortho_Geosupport/ImageServer/file?id=.\\00_01_00\CL_MLP_PAO_IF_Ortho_00_01_00_.tif&amp;rasterId=</v>
      </c>
      <c r="L517" s="4" t="s">
        <v>31</v>
      </c>
      <c r="M517" s="4" t="s">
        <v>32</v>
      </c>
      <c r="N517" s="4" t="s">
        <v>33</v>
      </c>
      <c r="O517" s="4" t="s">
        <v>34</v>
      </c>
      <c r="P517" s="4" t="str">
        <f t="shared" si="100"/>
        <v>00</v>
      </c>
      <c r="Q517" s="4" t="str">
        <f t="shared" si="101"/>
        <v>01</v>
      </c>
      <c r="R517" s="4" t="str">
        <f t="shared" si="102"/>
        <v>00</v>
      </c>
      <c r="U517" s="4" t="s">
        <v>461</v>
      </c>
      <c r="V517" s="4" t="str">
        <f t="shared" si="103"/>
        <v/>
      </c>
      <c r="W517" s="4">
        <f t="shared" si="97"/>
        <v>0</v>
      </c>
      <c r="X517" s="4" t="b">
        <f t="shared" si="98"/>
        <v>0</v>
      </c>
      <c r="Y517" s="4" t="e">
        <f>VLOOKUP(D517,'Orden de Imagen'!$A$1:D593,4,FALSE())</f>
        <v>#N/A</v>
      </c>
      <c r="Z517" s="4" t="e">
        <f t="shared" si="99"/>
        <v>#N/A</v>
      </c>
    </row>
    <row r="518" spans="3:26" x14ac:dyDescent="0.25">
      <c r="C518" s="4" t="str">
        <f t="shared" si="94"/>
        <v>CL_MLP_PAO_IF_Ortho_00_01_00_.tif</v>
      </c>
      <c r="D518" s="4" t="str">
        <f t="shared" si="95"/>
        <v>CL_MLP_PAO_IF_Ortho_00_01_00_</v>
      </c>
      <c r="F518" s="15" t="s">
        <v>460</v>
      </c>
      <c r="G518" s="15" t="s">
        <v>29</v>
      </c>
      <c r="J518" s="15" t="s">
        <v>30</v>
      </c>
      <c r="K518" s="2" t="str">
        <f t="shared" si="96"/>
        <v>https://sig.aminerals.cl/imgdyn/rest/services/CL_MLP_PAO/CL_MLP_PAO_IF_Ortho_Geosupport/ImageServer/file?id=.\\00_01_00\CL_MLP_PAO_IF_Ortho_00_01_00_.tif&amp;rasterId=</v>
      </c>
      <c r="L518" s="4" t="s">
        <v>31</v>
      </c>
      <c r="M518" s="4" t="s">
        <v>32</v>
      </c>
      <c r="N518" s="4" t="s">
        <v>33</v>
      </c>
      <c r="O518" s="4" t="s">
        <v>34</v>
      </c>
      <c r="P518" s="4" t="str">
        <f t="shared" si="100"/>
        <v>00</v>
      </c>
      <c r="Q518" s="4" t="str">
        <f t="shared" si="101"/>
        <v>01</v>
      </c>
      <c r="R518" s="4" t="str">
        <f t="shared" si="102"/>
        <v>00</v>
      </c>
      <c r="U518" s="4" t="s">
        <v>461</v>
      </c>
      <c r="V518" s="4" t="str">
        <f t="shared" si="103"/>
        <v/>
      </c>
      <c r="W518" s="4">
        <f t="shared" si="97"/>
        <v>0</v>
      </c>
      <c r="X518" s="4" t="b">
        <f t="shared" si="98"/>
        <v>0</v>
      </c>
      <c r="Y518" s="4" t="e">
        <f>VLOOKUP(D518,'Orden de Imagen'!$A$1:D594,4,FALSE())</f>
        <v>#N/A</v>
      </c>
      <c r="Z518" s="4" t="e">
        <f t="shared" si="99"/>
        <v>#N/A</v>
      </c>
    </row>
    <row r="519" spans="3:26" x14ac:dyDescent="0.25">
      <c r="C519" s="4" t="str">
        <f t="shared" si="94"/>
        <v>CL_MLP_PAO_IF_Ortho_00_01_00_.tif</v>
      </c>
      <c r="D519" s="4" t="str">
        <f t="shared" si="95"/>
        <v>CL_MLP_PAO_IF_Ortho_00_01_00_</v>
      </c>
      <c r="F519" s="15" t="s">
        <v>460</v>
      </c>
      <c r="G519" s="15" t="s">
        <v>29</v>
      </c>
      <c r="J519" s="15" t="s">
        <v>30</v>
      </c>
      <c r="K519" s="2" t="str">
        <f t="shared" si="96"/>
        <v>https://sig.aminerals.cl/imgdyn/rest/services/CL_MLP_PAO/CL_MLP_PAO_IF_Ortho_Geosupport/ImageServer/file?id=.\\00_01_00\CL_MLP_PAO_IF_Ortho_00_01_00_.tif&amp;rasterId=</v>
      </c>
      <c r="L519" s="4" t="s">
        <v>31</v>
      </c>
      <c r="M519" s="4" t="s">
        <v>32</v>
      </c>
      <c r="N519" s="4" t="s">
        <v>33</v>
      </c>
      <c r="O519" s="4" t="s">
        <v>34</v>
      </c>
      <c r="P519" s="4" t="str">
        <f t="shared" si="100"/>
        <v>00</v>
      </c>
      <c r="Q519" s="4" t="str">
        <f t="shared" si="101"/>
        <v>01</v>
      </c>
      <c r="R519" s="4" t="str">
        <f t="shared" si="102"/>
        <v>00</v>
      </c>
      <c r="U519" s="4" t="s">
        <v>461</v>
      </c>
      <c r="V519" s="4" t="str">
        <f t="shared" si="103"/>
        <v/>
      </c>
      <c r="W519" s="4">
        <f t="shared" si="97"/>
        <v>0</v>
      </c>
      <c r="X519" s="4" t="b">
        <f t="shared" si="98"/>
        <v>0</v>
      </c>
      <c r="Y519" s="4" t="e">
        <f>VLOOKUP(D519,'Orden de Imagen'!$A$1:D595,4,FALSE())</f>
        <v>#N/A</v>
      </c>
      <c r="Z519" s="4" t="e">
        <f t="shared" si="99"/>
        <v>#N/A</v>
      </c>
    </row>
    <row r="520" spans="3:26" x14ac:dyDescent="0.25">
      <c r="C520" s="4" t="str">
        <f t="shared" si="94"/>
        <v>CL_MLP_PAO_IF_Ortho_00_01_00_.tif</v>
      </c>
      <c r="D520" s="4" t="str">
        <f t="shared" si="95"/>
        <v>CL_MLP_PAO_IF_Ortho_00_01_00_</v>
      </c>
      <c r="F520" s="15" t="s">
        <v>460</v>
      </c>
      <c r="G520" s="15" t="s">
        <v>29</v>
      </c>
      <c r="J520" s="15" t="s">
        <v>30</v>
      </c>
      <c r="K520" s="2" t="str">
        <f t="shared" si="96"/>
        <v>https://sig.aminerals.cl/imgdyn/rest/services/CL_MLP_PAO/CL_MLP_PAO_IF_Ortho_Geosupport/ImageServer/file?id=.\\00_01_00\CL_MLP_PAO_IF_Ortho_00_01_00_.tif&amp;rasterId=</v>
      </c>
      <c r="L520" s="4" t="s">
        <v>31</v>
      </c>
      <c r="M520" s="4" t="s">
        <v>32</v>
      </c>
      <c r="N520" s="4" t="s">
        <v>33</v>
      </c>
      <c r="O520" s="4" t="s">
        <v>34</v>
      </c>
      <c r="P520" s="4" t="str">
        <f t="shared" si="100"/>
        <v>00</v>
      </c>
      <c r="Q520" s="4" t="str">
        <f t="shared" si="101"/>
        <v>01</v>
      </c>
      <c r="R520" s="4" t="str">
        <f t="shared" si="102"/>
        <v>00</v>
      </c>
      <c r="U520" s="4" t="s">
        <v>461</v>
      </c>
      <c r="V520" s="4" t="str">
        <f t="shared" si="103"/>
        <v/>
      </c>
      <c r="W520" s="4">
        <f t="shared" si="97"/>
        <v>0</v>
      </c>
      <c r="X520" s="4" t="b">
        <f t="shared" si="98"/>
        <v>0</v>
      </c>
      <c r="Y520" s="4" t="e">
        <f>VLOOKUP(D520,'Orden de Imagen'!$A$1:D596,4,FALSE())</f>
        <v>#N/A</v>
      </c>
      <c r="Z520" s="4" t="e">
        <f t="shared" si="99"/>
        <v>#N/A</v>
      </c>
    </row>
    <row r="521" spans="3:26" x14ac:dyDescent="0.25">
      <c r="C521" s="4" t="str">
        <f t="shared" si="94"/>
        <v>CL_MLP_PAO_IF_Ortho_00_01_00_.tif</v>
      </c>
      <c r="D521" s="4" t="str">
        <f t="shared" si="95"/>
        <v>CL_MLP_PAO_IF_Ortho_00_01_00_</v>
      </c>
      <c r="F521" s="15" t="s">
        <v>460</v>
      </c>
      <c r="G521" s="15" t="s">
        <v>29</v>
      </c>
      <c r="J521" s="15" t="s">
        <v>30</v>
      </c>
      <c r="K521" s="2" t="str">
        <f t="shared" si="96"/>
        <v>https://sig.aminerals.cl/imgdyn/rest/services/CL_MLP_PAO/CL_MLP_PAO_IF_Ortho_Geosupport/ImageServer/file?id=.\\00_01_00\CL_MLP_PAO_IF_Ortho_00_01_00_.tif&amp;rasterId=</v>
      </c>
      <c r="L521" s="4" t="s">
        <v>31</v>
      </c>
      <c r="M521" s="4" t="s">
        <v>32</v>
      </c>
      <c r="N521" s="4" t="s">
        <v>33</v>
      </c>
      <c r="O521" s="4" t="s">
        <v>34</v>
      </c>
      <c r="P521" s="4" t="str">
        <f t="shared" si="100"/>
        <v>00</v>
      </c>
      <c r="Q521" s="4" t="str">
        <f t="shared" si="101"/>
        <v>01</v>
      </c>
      <c r="R521" s="4" t="str">
        <f t="shared" si="102"/>
        <v>00</v>
      </c>
      <c r="U521" s="4" t="s">
        <v>461</v>
      </c>
      <c r="V521" s="4" t="str">
        <f t="shared" si="103"/>
        <v/>
      </c>
      <c r="W521" s="4">
        <f t="shared" si="97"/>
        <v>0</v>
      </c>
      <c r="X521" s="4" t="b">
        <f t="shared" si="98"/>
        <v>0</v>
      </c>
      <c r="Y521" s="4" t="e">
        <f>VLOOKUP(D521,'Orden de Imagen'!$A$1:D597,4,FALSE())</f>
        <v>#N/A</v>
      </c>
      <c r="Z521" s="4" t="e">
        <f t="shared" si="99"/>
        <v>#N/A</v>
      </c>
    </row>
    <row r="522" spans="3:26" x14ac:dyDescent="0.25">
      <c r="C522" s="4" t="str">
        <f t="shared" si="94"/>
        <v>CL_MLP_PAO_IF_Ortho_00_01_00_.tif</v>
      </c>
      <c r="D522" s="4" t="str">
        <f t="shared" si="95"/>
        <v>CL_MLP_PAO_IF_Ortho_00_01_00_</v>
      </c>
      <c r="F522" s="15" t="s">
        <v>460</v>
      </c>
      <c r="G522" s="15" t="s">
        <v>29</v>
      </c>
      <c r="J522" s="15" t="s">
        <v>30</v>
      </c>
      <c r="K522" s="2" t="str">
        <f t="shared" si="96"/>
        <v>https://sig.aminerals.cl/imgdyn/rest/services/CL_MLP_PAO/CL_MLP_PAO_IF_Ortho_Geosupport/ImageServer/file?id=.\\00_01_00\CL_MLP_PAO_IF_Ortho_00_01_00_.tif&amp;rasterId=</v>
      </c>
      <c r="L522" s="4" t="s">
        <v>31</v>
      </c>
      <c r="M522" s="4" t="s">
        <v>32</v>
      </c>
      <c r="N522" s="4" t="s">
        <v>33</v>
      </c>
      <c r="O522" s="4" t="s">
        <v>34</v>
      </c>
      <c r="P522" s="4" t="str">
        <f t="shared" si="100"/>
        <v>00</v>
      </c>
      <c r="Q522" s="4" t="str">
        <f t="shared" si="101"/>
        <v>01</v>
      </c>
      <c r="R522" s="4" t="str">
        <f t="shared" si="102"/>
        <v>00</v>
      </c>
      <c r="U522" s="4" t="s">
        <v>461</v>
      </c>
      <c r="V522" s="4" t="str">
        <f t="shared" si="103"/>
        <v/>
      </c>
      <c r="W522" s="4">
        <f t="shared" si="97"/>
        <v>0</v>
      </c>
      <c r="X522" s="4" t="b">
        <f t="shared" si="98"/>
        <v>0</v>
      </c>
      <c r="Y522" s="4" t="e">
        <f>VLOOKUP(D522,'Orden de Imagen'!$A$1:D598,4,FALSE())</f>
        <v>#N/A</v>
      </c>
      <c r="Z522" s="4" t="e">
        <f t="shared" si="99"/>
        <v>#N/A</v>
      </c>
    </row>
    <row r="523" spans="3:26" x14ac:dyDescent="0.25">
      <c r="C523" s="4" t="str">
        <f t="shared" si="94"/>
        <v>CL_MLP_PAO_IF_Ortho_00_01_00_.tif</v>
      </c>
      <c r="D523" s="4" t="str">
        <f t="shared" si="95"/>
        <v>CL_MLP_PAO_IF_Ortho_00_01_00_</v>
      </c>
      <c r="F523" s="15" t="s">
        <v>460</v>
      </c>
      <c r="G523" s="15" t="s">
        <v>29</v>
      </c>
      <c r="J523" s="15" t="s">
        <v>30</v>
      </c>
      <c r="K523" s="2" t="str">
        <f t="shared" si="96"/>
        <v>https://sig.aminerals.cl/imgdyn/rest/services/CL_MLP_PAO/CL_MLP_PAO_IF_Ortho_Geosupport/ImageServer/file?id=.\\00_01_00\CL_MLP_PAO_IF_Ortho_00_01_00_.tif&amp;rasterId=</v>
      </c>
      <c r="L523" s="4" t="s">
        <v>31</v>
      </c>
      <c r="M523" s="4" t="s">
        <v>32</v>
      </c>
      <c r="N523" s="4" t="s">
        <v>33</v>
      </c>
      <c r="O523" s="4" t="s">
        <v>34</v>
      </c>
      <c r="P523" s="4" t="str">
        <f t="shared" si="100"/>
        <v>00</v>
      </c>
      <c r="Q523" s="4" t="str">
        <f t="shared" si="101"/>
        <v>01</v>
      </c>
      <c r="R523" s="4" t="str">
        <f t="shared" si="102"/>
        <v>00</v>
      </c>
      <c r="U523" s="4" t="s">
        <v>461</v>
      </c>
      <c r="V523" s="4" t="str">
        <f t="shared" si="103"/>
        <v/>
      </c>
      <c r="W523" s="4">
        <f t="shared" si="97"/>
        <v>0</v>
      </c>
      <c r="X523" s="4" t="b">
        <f t="shared" si="98"/>
        <v>0</v>
      </c>
      <c r="Y523" s="4" t="e">
        <f>VLOOKUP(D523,'Orden de Imagen'!$A$1:D599,4,FALSE())</f>
        <v>#N/A</v>
      </c>
      <c r="Z523" s="4" t="e">
        <f t="shared" si="99"/>
        <v>#N/A</v>
      </c>
    </row>
    <row r="524" spans="3:26" x14ac:dyDescent="0.25">
      <c r="C524" s="4" t="str">
        <f t="shared" si="94"/>
        <v>CL_MLP_PAO_IF_Ortho_00_01_00_.tif</v>
      </c>
      <c r="D524" s="4" t="str">
        <f t="shared" si="95"/>
        <v>CL_MLP_PAO_IF_Ortho_00_01_00_</v>
      </c>
      <c r="F524" s="15" t="s">
        <v>460</v>
      </c>
      <c r="G524" s="15" t="s">
        <v>29</v>
      </c>
      <c r="J524" s="15" t="s">
        <v>30</v>
      </c>
      <c r="K524" s="2" t="str">
        <f t="shared" si="96"/>
        <v>https://sig.aminerals.cl/imgdyn/rest/services/CL_MLP_PAO/CL_MLP_PAO_IF_Ortho_Geosupport/ImageServer/file?id=.\\00_01_00\CL_MLP_PAO_IF_Ortho_00_01_00_.tif&amp;rasterId=</v>
      </c>
      <c r="L524" s="4" t="s">
        <v>31</v>
      </c>
      <c r="M524" s="4" t="s">
        <v>32</v>
      </c>
      <c r="N524" s="4" t="s">
        <v>33</v>
      </c>
      <c r="O524" s="4" t="s">
        <v>34</v>
      </c>
      <c r="P524" s="4" t="str">
        <f t="shared" si="100"/>
        <v>00</v>
      </c>
      <c r="Q524" s="4" t="str">
        <f t="shared" si="101"/>
        <v>01</v>
      </c>
      <c r="R524" s="4" t="str">
        <f t="shared" si="102"/>
        <v>00</v>
      </c>
      <c r="U524" s="4" t="s">
        <v>461</v>
      </c>
      <c r="V524" s="4" t="str">
        <f t="shared" si="103"/>
        <v/>
      </c>
      <c r="W524" s="4">
        <f t="shared" si="97"/>
        <v>0</v>
      </c>
      <c r="X524" s="4" t="b">
        <f t="shared" si="98"/>
        <v>0</v>
      </c>
      <c r="Y524" s="4" t="e">
        <f>VLOOKUP(D524,'Orden de Imagen'!$A$1:D600,4,FALSE())</f>
        <v>#N/A</v>
      </c>
      <c r="Z524" s="4" t="e">
        <f t="shared" si="99"/>
        <v>#N/A</v>
      </c>
    </row>
    <row r="525" spans="3:26" x14ac:dyDescent="0.25">
      <c r="C525" s="4" t="str">
        <f t="shared" si="94"/>
        <v>CL_MLP_PAO_IF_Ortho_00_01_00_.tif</v>
      </c>
      <c r="D525" s="4" t="str">
        <f t="shared" si="95"/>
        <v>CL_MLP_PAO_IF_Ortho_00_01_00_</v>
      </c>
      <c r="F525" s="15" t="s">
        <v>460</v>
      </c>
      <c r="G525" s="15" t="s">
        <v>29</v>
      </c>
      <c r="J525" s="15" t="s">
        <v>30</v>
      </c>
      <c r="K525" s="2" t="str">
        <f t="shared" si="96"/>
        <v>https://sig.aminerals.cl/imgdyn/rest/services/CL_MLP_PAO/CL_MLP_PAO_IF_Ortho_Geosupport/ImageServer/file?id=.\\00_01_00\CL_MLP_PAO_IF_Ortho_00_01_00_.tif&amp;rasterId=</v>
      </c>
      <c r="L525" s="4" t="s">
        <v>31</v>
      </c>
      <c r="M525" s="4" t="s">
        <v>32</v>
      </c>
      <c r="N525" s="4" t="s">
        <v>33</v>
      </c>
      <c r="O525" s="4" t="s">
        <v>34</v>
      </c>
      <c r="P525" s="4" t="str">
        <f t="shared" si="100"/>
        <v>00</v>
      </c>
      <c r="Q525" s="4" t="str">
        <f t="shared" si="101"/>
        <v>01</v>
      </c>
      <c r="R525" s="4" t="str">
        <f t="shared" si="102"/>
        <v>00</v>
      </c>
      <c r="U525" s="4" t="s">
        <v>461</v>
      </c>
      <c r="V525" s="4" t="str">
        <f t="shared" si="103"/>
        <v/>
      </c>
      <c r="W525" s="4">
        <f t="shared" si="97"/>
        <v>0</v>
      </c>
      <c r="X525" s="4" t="b">
        <f t="shared" si="98"/>
        <v>0</v>
      </c>
      <c r="Y525" s="4" t="e">
        <f>VLOOKUP(D525,'Orden de Imagen'!$A$1:D601,4,FALSE())</f>
        <v>#N/A</v>
      </c>
      <c r="Z525" s="4" t="e">
        <f t="shared" si="99"/>
        <v>#N/A</v>
      </c>
    </row>
    <row r="526" spans="3:26" x14ac:dyDescent="0.25">
      <c r="C526" s="4" t="str">
        <f t="shared" si="94"/>
        <v>CL_MLP_PAO_IF_Ortho_00_01_00_.tif</v>
      </c>
      <c r="D526" s="4" t="str">
        <f t="shared" si="95"/>
        <v>CL_MLP_PAO_IF_Ortho_00_01_00_</v>
      </c>
      <c r="F526" s="15" t="s">
        <v>460</v>
      </c>
      <c r="G526" s="15" t="s">
        <v>29</v>
      </c>
      <c r="J526" s="15" t="s">
        <v>30</v>
      </c>
      <c r="K526" s="2" t="str">
        <f t="shared" si="96"/>
        <v>https://sig.aminerals.cl/imgdyn/rest/services/CL_MLP_PAO/CL_MLP_PAO_IF_Ortho_Geosupport/ImageServer/file?id=.\\00_01_00\CL_MLP_PAO_IF_Ortho_00_01_00_.tif&amp;rasterId=</v>
      </c>
      <c r="L526" s="4" t="s">
        <v>31</v>
      </c>
      <c r="M526" s="4" t="s">
        <v>32</v>
      </c>
      <c r="N526" s="4" t="s">
        <v>33</v>
      </c>
      <c r="O526" s="4" t="s">
        <v>34</v>
      </c>
      <c r="P526" s="4" t="str">
        <f t="shared" si="100"/>
        <v>00</v>
      </c>
      <c r="Q526" s="4" t="str">
        <f t="shared" si="101"/>
        <v>01</v>
      </c>
      <c r="R526" s="4" t="str">
        <f t="shared" si="102"/>
        <v>00</v>
      </c>
      <c r="U526" s="4" t="s">
        <v>461</v>
      </c>
      <c r="V526" s="4" t="str">
        <f t="shared" si="103"/>
        <v/>
      </c>
      <c r="W526" s="4">
        <f t="shared" si="97"/>
        <v>0</v>
      </c>
      <c r="X526" s="4" t="b">
        <f t="shared" si="98"/>
        <v>0</v>
      </c>
      <c r="Y526" s="4" t="e">
        <f>VLOOKUP(D526,'Orden de Imagen'!$A$1:D602,4,FALSE())</f>
        <v>#N/A</v>
      </c>
      <c r="Z526" s="4" t="e">
        <f t="shared" si="99"/>
        <v>#N/A</v>
      </c>
    </row>
    <row r="527" spans="3:26" x14ac:dyDescent="0.25">
      <c r="C527" s="4" t="str">
        <f t="shared" si="94"/>
        <v>CL_MLP_PAO_IF_Ortho_00_01_00_.tif</v>
      </c>
      <c r="D527" s="4" t="str">
        <f t="shared" si="95"/>
        <v>CL_MLP_PAO_IF_Ortho_00_01_00_</v>
      </c>
      <c r="F527" s="15" t="s">
        <v>460</v>
      </c>
      <c r="G527" s="15" t="s">
        <v>29</v>
      </c>
      <c r="J527" s="15" t="s">
        <v>30</v>
      </c>
      <c r="K527" s="2" t="str">
        <f t="shared" si="96"/>
        <v>https://sig.aminerals.cl/imgdyn/rest/services/CL_MLP_PAO/CL_MLP_PAO_IF_Ortho_Geosupport/ImageServer/file?id=.\\00_01_00\CL_MLP_PAO_IF_Ortho_00_01_00_.tif&amp;rasterId=</v>
      </c>
      <c r="L527" s="4" t="s">
        <v>31</v>
      </c>
      <c r="M527" s="4" t="s">
        <v>32</v>
      </c>
      <c r="N527" s="4" t="s">
        <v>33</v>
      </c>
      <c r="O527" s="4" t="s">
        <v>34</v>
      </c>
      <c r="P527" s="4" t="str">
        <f t="shared" si="100"/>
        <v>00</v>
      </c>
      <c r="Q527" s="4" t="str">
        <f t="shared" si="101"/>
        <v>01</v>
      </c>
      <c r="R527" s="4" t="str">
        <f t="shared" si="102"/>
        <v>00</v>
      </c>
      <c r="U527" s="4" t="s">
        <v>461</v>
      </c>
      <c r="V527" s="4" t="str">
        <f t="shared" si="103"/>
        <v/>
      </c>
      <c r="W527" s="4">
        <f t="shared" si="97"/>
        <v>0</v>
      </c>
      <c r="X527" s="4" t="b">
        <f t="shared" si="98"/>
        <v>0</v>
      </c>
      <c r="Y527" s="4" t="e">
        <f>VLOOKUP(D527,'Orden de Imagen'!$A$1:D603,4,FALSE())</f>
        <v>#N/A</v>
      </c>
      <c r="Z527" s="4" t="e">
        <f t="shared" si="99"/>
        <v>#N/A</v>
      </c>
    </row>
    <row r="528" spans="3:26" x14ac:dyDescent="0.25">
      <c r="C528" s="4" t="str">
        <f t="shared" si="94"/>
        <v>CL_MLP_PAO_IF_Ortho_00_01_00_.tif</v>
      </c>
      <c r="D528" s="4" t="str">
        <f t="shared" si="95"/>
        <v>CL_MLP_PAO_IF_Ortho_00_01_00_</v>
      </c>
      <c r="F528" s="15" t="s">
        <v>460</v>
      </c>
      <c r="G528" s="15" t="s">
        <v>29</v>
      </c>
      <c r="J528" s="15" t="s">
        <v>30</v>
      </c>
      <c r="K528" s="2" t="str">
        <f t="shared" si="96"/>
        <v>https://sig.aminerals.cl/imgdyn/rest/services/CL_MLP_PAO/CL_MLP_PAO_IF_Ortho_Geosupport/ImageServer/file?id=.\\00_01_00\CL_MLP_PAO_IF_Ortho_00_01_00_.tif&amp;rasterId=</v>
      </c>
      <c r="L528" s="4" t="s">
        <v>31</v>
      </c>
      <c r="M528" s="4" t="s">
        <v>32</v>
      </c>
      <c r="N528" s="4" t="s">
        <v>33</v>
      </c>
      <c r="O528" s="4" t="s">
        <v>34</v>
      </c>
      <c r="P528" s="4" t="str">
        <f t="shared" si="100"/>
        <v>00</v>
      </c>
      <c r="Q528" s="4" t="str">
        <f t="shared" si="101"/>
        <v>01</v>
      </c>
      <c r="R528" s="4" t="str">
        <f t="shared" si="102"/>
        <v>00</v>
      </c>
      <c r="U528" s="4" t="s">
        <v>461</v>
      </c>
      <c r="V528" s="4" t="str">
        <f t="shared" si="103"/>
        <v/>
      </c>
      <c r="W528" s="4">
        <f t="shared" si="97"/>
        <v>0</v>
      </c>
      <c r="X528" s="4" t="b">
        <f t="shared" si="98"/>
        <v>0</v>
      </c>
      <c r="Y528" s="4" t="e">
        <f>VLOOKUP(D528,'Orden de Imagen'!$A$1:D604,4,FALSE())</f>
        <v>#N/A</v>
      </c>
      <c r="Z528" s="4" t="e">
        <f t="shared" si="99"/>
        <v>#N/A</v>
      </c>
    </row>
    <row r="529" spans="3:26" x14ac:dyDescent="0.25">
      <c r="C529" s="4" t="str">
        <f t="shared" si="94"/>
        <v>CL_MLP_PAO_IF_Ortho_00_01_00_.tif</v>
      </c>
      <c r="D529" s="4" t="str">
        <f t="shared" si="95"/>
        <v>CL_MLP_PAO_IF_Ortho_00_01_00_</v>
      </c>
      <c r="F529" s="15" t="s">
        <v>460</v>
      </c>
      <c r="G529" s="15" t="s">
        <v>29</v>
      </c>
      <c r="J529" s="15" t="s">
        <v>30</v>
      </c>
      <c r="K529" s="2" t="str">
        <f t="shared" si="96"/>
        <v>https://sig.aminerals.cl/imgdyn/rest/services/CL_MLP_PAO/CL_MLP_PAO_IF_Ortho_Geosupport/ImageServer/file?id=.\\00_01_00\CL_MLP_PAO_IF_Ortho_00_01_00_.tif&amp;rasterId=</v>
      </c>
      <c r="L529" s="4" t="s">
        <v>31</v>
      </c>
      <c r="M529" s="4" t="s">
        <v>32</v>
      </c>
      <c r="N529" s="4" t="s">
        <v>33</v>
      </c>
      <c r="O529" s="4" t="s">
        <v>34</v>
      </c>
      <c r="P529" s="4" t="str">
        <f t="shared" si="100"/>
        <v>00</v>
      </c>
      <c r="Q529" s="4" t="str">
        <f t="shared" si="101"/>
        <v>01</v>
      </c>
      <c r="R529" s="4" t="str">
        <f t="shared" si="102"/>
        <v>00</v>
      </c>
      <c r="U529" s="4" t="s">
        <v>461</v>
      </c>
      <c r="V529" s="4" t="str">
        <f t="shared" si="103"/>
        <v/>
      </c>
      <c r="W529" s="4">
        <f t="shared" si="97"/>
        <v>0</v>
      </c>
      <c r="X529" s="4" t="b">
        <f t="shared" si="98"/>
        <v>0</v>
      </c>
      <c r="Y529" s="4" t="e">
        <f>VLOOKUP(D529,'Orden de Imagen'!$A$1:D605,4,FALSE())</f>
        <v>#N/A</v>
      </c>
      <c r="Z529" s="4" t="e">
        <f t="shared" si="99"/>
        <v>#N/A</v>
      </c>
    </row>
    <row r="530" spans="3:26" x14ac:dyDescent="0.25">
      <c r="C530" s="4" t="str">
        <f t="shared" si="94"/>
        <v>CL_MLP_PAO_IF_Ortho_00_01_00_.tif</v>
      </c>
      <c r="D530" s="4" t="str">
        <f t="shared" si="95"/>
        <v>CL_MLP_PAO_IF_Ortho_00_01_00_</v>
      </c>
      <c r="F530" s="15" t="s">
        <v>460</v>
      </c>
      <c r="G530" s="15" t="s">
        <v>29</v>
      </c>
      <c r="J530" s="15" t="s">
        <v>30</v>
      </c>
      <c r="K530" s="2" t="str">
        <f t="shared" si="96"/>
        <v>https://sig.aminerals.cl/imgdyn/rest/services/CL_MLP_PAO/CL_MLP_PAO_IF_Ortho_Geosupport/ImageServer/file?id=.\\00_01_00\CL_MLP_PAO_IF_Ortho_00_01_00_.tif&amp;rasterId=</v>
      </c>
      <c r="L530" s="4" t="s">
        <v>31</v>
      </c>
      <c r="M530" s="4" t="s">
        <v>32</v>
      </c>
      <c r="N530" s="4" t="s">
        <v>33</v>
      </c>
      <c r="O530" s="4" t="s">
        <v>34</v>
      </c>
      <c r="P530" s="4" t="str">
        <f t="shared" si="100"/>
        <v>00</v>
      </c>
      <c r="Q530" s="4" t="str">
        <f t="shared" si="101"/>
        <v>01</v>
      </c>
      <c r="R530" s="4" t="str">
        <f t="shared" si="102"/>
        <v>00</v>
      </c>
      <c r="U530" s="4" t="s">
        <v>461</v>
      </c>
      <c r="V530" s="4" t="str">
        <f t="shared" si="103"/>
        <v/>
      </c>
      <c r="W530" s="4">
        <f t="shared" si="97"/>
        <v>0</v>
      </c>
      <c r="X530" s="4" t="b">
        <f t="shared" si="98"/>
        <v>0</v>
      </c>
      <c r="Y530" s="4" t="e">
        <f>VLOOKUP(D530,'Orden de Imagen'!$A$1:D606,4,FALSE())</f>
        <v>#N/A</v>
      </c>
      <c r="Z530" s="4" t="e">
        <f t="shared" si="99"/>
        <v>#N/A</v>
      </c>
    </row>
    <row r="531" spans="3:26" x14ac:dyDescent="0.25">
      <c r="C531" s="4" t="str">
        <f t="shared" si="94"/>
        <v>CL_MLP_PAO_IF_Ortho_00_01_00_.tif</v>
      </c>
      <c r="D531" s="4" t="str">
        <f t="shared" si="95"/>
        <v>CL_MLP_PAO_IF_Ortho_00_01_00_</v>
      </c>
      <c r="F531" s="15" t="s">
        <v>460</v>
      </c>
      <c r="G531" s="15" t="s">
        <v>29</v>
      </c>
      <c r="J531" s="15" t="s">
        <v>30</v>
      </c>
      <c r="K531" s="2" t="str">
        <f t="shared" si="96"/>
        <v>https://sig.aminerals.cl/imgdyn/rest/services/CL_MLP_PAO/CL_MLP_PAO_IF_Ortho_Geosupport/ImageServer/file?id=.\\00_01_00\CL_MLP_PAO_IF_Ortho_00_01_00_.tif&amp;rasterId=</v>
      </c>
      <c r="L531" s="4" t="s">
        <v>31</v>
      </c>
      <c r="M531" s="4" t="s">
        <v>32</v>
      </c>
      <c r="N531" s="4" t="s">
        <v>33</v>
      </c>
      <c r="O531" s="4" t="s">
        <v>34</v>
      </c>
      <c r="P531" s="4" t="str">
        <f t="shared" si="100"/>
        <v>00</v>
      </c>
      <c r="Q531" s="4" t="str">
        <f t="shared" si="101"/>
        <v>01</v>
      </c>
      <c r="R531" s="4" t="str">
        <f t="shared" si="102"/>
        <v>00</v>
      </c>
      <c r="U531" s="4" t="s">
        <v>461</v>
      </c>
      <c r="V531" s="4" t="str">
        <f t="shared" si="103"/>
        <v/>
      </c>
      <c r="W531" s="4">
        <f t="shared" si="97"/>
        <v>0</v>
      </c>
      <c r="X531" s="4" t="b">
        <f t="shared" si="98"/>
        <v>0</v>
      </c>
      <c r="Y531" s="4" t="e">
        <f>VLOOKUP(D531,'Orden de Imagen'!$A$1:D607,4,FALSE())</f>
        <v>#N/A</v>
      </c>
      <c r="Z531" s="4" t="e">
        <f t="shared" si="99"/>
        <v>#N/A</v>
      </c>
    </row>
    <row r="532" spans="3:26" x14ac:dyDescent="0.25">
      <c r="C532" s="4" t="str">
        <f t="shared" si="94"/>
        <v>CL_MLP_PAO_IF_Ortho_00_01_00_.tif</v>
      </c>
      <c r="D532" s="4" t="str">
        <f t="shared" si="95"/>
        <v>CL_MLP_PAO_IF_Ortho_00_01_00_</v>
      </c>
      <c r="F532" s="15" t="s">
        <v>460</v>
      </c>
      <c r="G532" s="15" t="s">
        <v>29</v>
      </c>
      <c r="J532" s="15" t="s">
        <v>30</v>
      </c>
      <c r="K532" s="2" t="str">
        <f t="shared" si="96"/>
        <v>https://sig.aminerals.cl/imgdyn/rest/services/CL_MLP_PAO/CL_MLP_PAO_IF_Ortho_Geosupport/ImageServer/file?id=.\\00_01_00\CL_MLP_PAO_IF_Ortho_00_01_00_.tif&amp;rasterId=</v>
      </c>
      <c r="L532" s="4" t="s">
        <v>31</v>
      </c>
      <c r="M532" s="4" t="s">
        <v>32</v>
      </c>
      <c r="N532" s="4" t="s">
        <v>33</v>
      </c>
      <c r="O532" s="4" t="s">
        <v>34</v>
      </c>
      <c r="P532" s="4" t="str">
        <f t="shared" si="100"/>
        <v>00</v>
      </c>
      <c r="Q532" s="4" t="str">
        <f t="shared" si="101"/>
        <v>01</v>
      </c>
      <c r="R532" s="4" t="str">
        <f t="shared" si="102"/>
        <v>00</v>
      </c>
      <c r="U532" s="4" t="s">
        <v>461</v>
      </c>
      <c r="V532" s="4" t="str">
        <f t="shared" si="103"/>
        <v/>
      </c>
      <c r="W532" s="4">
        <f t="shared" si="97"/>
        <v>0</v>
      </c>
      <c r="X532" s="4" t="b">
        <f t="shared" si="98"/>
        <v>0</v>
      </c>
      <c r="Y532" s="4" t="e">
        <f>VLOOKUP(D532,'Orden de Imagen'!$A$1:D608,4,FALSE())</f>
        <v>#N/A</v>
      </c>
      <c r="Z532" s="4" t="e">
        <f t="shared" si="99"/>
        <v>#N/A</v>
      </c>
    </row>
    <row r="533" spans="3:26" x14ac:dyDescent="0.25">
      <c r="C533" s="4" t="str">
        <f t="shared" si="94"/>
        <v>CL_MLP_PAO_IF_Ortho_00_01_00_.tif</v>
      </c>
      <c r="D533" s="4" t="str">
        <f t="shared" si="95"/>
        <v>CL_MLP_PAO_IF_Ortho_00_01_00_</v>
      </c>
      <c r="F533" s="15" t="s">
        <v>460</v>
      </c>
      <c r="G533" s="15" t="s">
        <v>29</v>
      </c>
      <c r="J533" s="15" t="s">
        <v>30</v>
      </c>
      <c r="K533" s="2" t="str">
        <f t="shared" si="96"/>
        <v>https://sig.aminerals.cl/imgdyn/rest/services/CL_MLP_PAO/CL_MLP_PAO_IF_Ortho_Geosupport/ImageServer/file?id=.\\00_01_00\CL_MLP_PAO_IF_Ortho_00_01_00_.tif&amp;rasterId=</v>
      </c>
      <c r="L533" s="4" t="s">
        <v>31</v>
      </c>
      <c r="M533" s="4" t="s">
        <v>32</v>
      </c>
      <c r="N533" s="4" t="s">
        <v>33</v>
      </c>
      <c r="O533" s="4" t="s">
        <v>34</v>
      </c>
      <c r="P533" s="4" t="str">
        <f t="shared" si="100"/>
        <v>00</v>
      </c>
      <c r="Q533" s="4" t="str">
        <f t="shared" si="101"/>
        <v>01</v>
      </c>
      <c r="R533" s="4" t="str">
        <f t="shared" si="102"/>
        <v>00</v>
      </c>
      <c r="U533" s="4" t="s">
        <v>461</v>
      </c>
      <c r="V533" s="4" t="str">
        <f t="shared" si="103"/>
        <v/>
      </c>
      <c r="W533" s="4">
        <f t="shared" si="97"/>
        <v>0</v>
      </c>
      <c r="X533" s="4" t="b">
        <f t="shared" si="98"/>
        <v>0</v>
      </c>
      <c r="Y533" s="4" t="e">
        <f>VLOOKUP(D533,'Orden de Imagen'!$A$1:D609,4,FALSE())</f>
        <v>#N/A</v>
      </c>
      <c r="Z533" s="4" t="e">
        <f t="shared" si="99"/>
        <v>#N/A</v>
      </c>
    </row>
    <row r="534" spans="3:26" x14ac:dyDescent="0.25">
      <c r="C534" s="4" t="str">
        <f t="shared" si="94"/>
        <v>CL_MLP_PAO_IF_Ortho_00_01_00_.tif</v>
      </c>
      <c r="D534" s="4" t="str">
        <f t="shared" si="95"/>
        <v>CL_MLP_PAO_IF_Ortho_00_01_00_</v>
      </c>
      <c r="F534" s="15" t="s">
        <v>460</v>
      </c>
      <c r="G534" s="15" t="s">
        <v>29</v>
      </c>
      <c r="J534" s="15" t="s">
        <v>30</v>
      </c>
      <c r="K534" s="2" t="str">
        <f t="shared" si="96"/>
        <v>https://sig.aminerals.cl/imgdyn/rest/services/CL_MLP_PAO/CL_MLP_PAO_IF_Ortho_Geosupport/ImageServer/file?id=.\\00_01_00\CL_MLP_PAO_IF_Ortho_00_01_00_.tif&amp;rasterId=</v>
      </c>
      <c r="L534" s="4" t="s">
        <v>31</v>
      </c>
      <c r="M534" s="4" t="s">
        <v>32</v>
      </c>
      <c r="N534" s="4" t="s">
        <v>33</v>
      </c>
      <c r="O534" s="4" t="s">
        <v>34</v>
      </c>
      <c r="P534" s="4" t="str">
        <f t="shared" si="100"/>
        <v>00</v>
      </c>
      <c r="Q534" s="4" t="str">
        <f t="shared" si="101"/>
        <v>01</v>
      </c>
      <c r="R534" s="4" t="str">
        <f t="shared" si="102"/>
        <v>00</v>
      </c>
      <c r="U534" s="4" t="s">
        <v>461</v>
      </c>
      <c r="V534" s="4" t="str">
        <f t="shared" si="103"/>
        <v/>
      </c>
      <c r="W534" s="4">
        <f t="shared" si="97"/>
        <v>0</v>
      </c>
      <c r="X534" s="4" t="b">
        <f t="shared" si="98"/>
        <v>0</v>
      </c>
      <c r="Y534" s="4" t="e">
        <f>VLOOKUP(D534,'Orden de Imagen'!$A$1:D610,4,FALSE())</f>
        <v>#N/A</v>
      </c>
      <c r="Z534" s="4" t="e">
        <f t="shared" si="99"/>
        <v>#N/A</v>
      </c>
    </row>
    <row r="535" spans="3:26" x14ac:dyDescent="0.25">
      <c r="C535" s="4" t="str">
        <f t="shared" si="94"/>
        <v>CL_MLP_PAO_IF_Ortho_00_01_00_.tif</v>
      </c>
      <c r="D535" s="4" t="str">
        <f t="shared" si="95"/>
        <v>CL_MLP_PAO_IF_Ortho_00_01_00_</v>
      </c>
      <c r="F535" s="15" t="s">
        <v>460</v>
      </c>
      <c r="G535" s="15" t="s">
        <v>29</v>
      </c>
      <c r="J535" s="15" t="s">
        <v>30</v>
      </c>
      <c r="K535" s="2" t="str">
        <f t="shared" si="96"/>
        <v>https://sig.aminerals.cl/imgdyn/rest/services/CL_MLP_PAO/CL_MLP_PAO_IF_Ortho_Geosupport/ImageServer/file?id=.\\00_01_00\CL_MLP_PAO_IF_Ortho_00_01_00_.tif&amp;rasterId=</v>
      </c>
      <c r="L535" s="4" t="s">
        <v>31</v>
      </c>
      <c r="M535" s="4" t="s">
        <v>32</v>
      </c>
      <c r="N535" s="4" t="s">
        <v>33</v>
      </c>
      <c r="O535" s="4" t="s">
        <v>34</v>
      </c>
      <c r="P535" s="4" t="str">
        <f t="shared" si="100"/>
        <v>00</v>
      </c>
      <c r="Q535" s="4" t="str">
        <f t="shared" si="101"/>
        <v>01</v>
      </c>
      <c r="R535" s="4" t="str">
        <f t="shared" si="102"/>
        <v>00</v>
      </c>
      <c r="U535" s="4" t="s">
        <v>461</v>
      </c>
      <c r="V535" s="4" t="str">
        <f t="shared" si="103"/>
        <v/>
      </c>
      <c r="W535" s="4">
        <f t="shared" si="97"/>
        <v>0</v>
      </c>
      <c r="X535" s="4" t="b">
        <f t="shared" si="98"/>
        <v>0</v>
      </c>
      <c r="Y535" s="4" t="e">
        <f>VLOOKUP(D535,'Orden de Imagen'!$A$1:D611,4,FALSE())</f>
        <v>#N/A</v>
      </c>
      <c r="Z535" s="4" t="e">
        <f t="shared" si="99"/>
        <v>#N/A</v>
      </c>
    </row>
    <row r="536" spans="3:26" x14ac:dyDescent="0.25">
      <c r="C536" s="4" t="str">
        <f t="shared" si="94"/>
        <v>CL_MLP_PAO_IF_Ortho_00_01_00_.tif</v>
      </c>
      <c r="D536" s="4" t="str">
        <f t="shared" si="95"/>
        <v>CL_MLP_PAO_IF_Ortho_00_01_00_</v>
      </c>
      <c r="F536" s="15" t="s">
        <v>460</v>
      </c>
      <c r="G536" s="15" t="s">
        <v>29</v>
      </c>
      <c r="J536" s="15" t="s">
        <v>30</v>
      </c>
      <c r="K536" s="2" t="str">
        <f t="shared" si="96"/>
        <v>https://sig.aminerals.cl/imgdyn/rest/services/CL_MLP_PAO/CL_MLP_PAO_IF_Ortho_Geosupport/ImageServer/file?id=.\\00_01_00\CL_MLP_PAO_IF_Ortho_00_01_00_.tif&amp;rasterId=</v>
      </c>
      <c r="L536" s="4" t="s">
        <v>31</v>
      </c>
      <c r="M536" s="4" t="s">
        <v>32</v>
      </c>
      <c r="N536" s="4" t="s">
        <v>33</v>
      </c>
      <c r="O536" s="4" t="s">
        <v>34</v>
      </c>
      <c r="P536" s="4" t="str">
        <f t="shared" si="100"/>
        <v>00</v>
      </c>
      <c r="Q536" s="4" t="str">
        <f t="shared" si="101"/>
        <v>01</v>
      </c>
      <c r="R536" s="4" t="str">
        <f t="shared" si="102"/>
        <v>00</v>
      </c>
      <c r="U536" s="4" t="s">
        <v>461</v>
      </c>
      <c r="V536" s="4" t="str">
        <f t="shared" si="103"/>
        <v/>
      </c>
      <c r="W536" s="4">
        <f t="shared" si="97"/>
        <v>0</v>
      </c>
      <c r="X536" s="4" t="b">
        <f t="shared" si="98"/>
        <v>0</v>
      </c>
      <c r="Y536" s="4" t="e">
        <f>VLOOKUP(D536,'Orden de Imagen'!$A$1:D612,4,FALSE())</f>
        <v>#N/A</v>
      </c>
      <c r="Z536" s="4" t="e">
        <f t="shared" si="99"/>
        <v>#N/A</v>
      </c>
    </row>
    <row r="537" spans="3:26" x14ac:dyDescent="0.25">
      <c r="C537" s="4" t="str">
        <f t="shared" si="94"/>
        <v>CL_MLP_PAO_IF_Ortho_00_01_00_.tif</v>
      </c>
      <c r="D537" s="4" t="str">
        <f t="shared" si="95"/>
        <v>CL_MLP_PAO_IF_Ortho_00_01_00_</v>
      </c>
      <c r="F537" s="15" t="s">
        <v>460</v>
      </c>
      <c r="G537" s="15" t="s">
        <v>29</v>
      </c>
      <c r="J537" s="15" t="s">
        <v>30</v>
      </c>
      <c r="K537" s="2" t="str">
        <f t="shared" si="96"/>
        <v>https://sig.aminerals.cl/imgdyn/rest/services/CL_MLP_PAO/CL_MLP_PAO_IF_Ortho_Geosupport/ImageServer/file?id=.\\00_01_00\CL_MLP_PAO_IF_Ortho_00_01_00_.tif&amp;rasterId=</v>
      </c>
      <c r="L537" s="4" t="s">
        <v>31</v>
      </c>
      <c r="M537" s="4" t="s">
        <v>32</v>
      </c>
      <c r="N537" s="4" t="s">
        <v>33</v>
      </c>
      <c r="O537" s="4" t="s">
        <v>34</v>
      </c>
      <c r="P537" s="4" t="str">
        <f t="shared" si="100"/>
        <v>00</v>
      </c>
      <c r="Q537" s="4" t="str">
        <f t="shared" si="101"/>
        <v>01</v>
      </c>
      <c r="R537" s="4" t="str">
        <f t="shared" si="102"/>
        <v>00</v>
      </c>
      <c r="U537" s="4" t="s">
        <v>461</v>
      </c>
      <c r="V537" s="4" t="str">
        <f t="shared" si="103"/>
        <v/>
      </c>
      <c r="W537" s="4">
        <f t="shared" si="97"/>
        <v>0</v>
      </c>
      <c r="X537" s="4" t="b">
        <f t="shared" si="98"/>
        <v>0</v>
      </c>
      <c r="Y537" s="4" t="e">
        <f>VLOOKUP(D537,'Orden de Imagen'!$A$1:D613,4,FALSE())</f>
        <v>#N/A</v>
      </c>
      <c r="Z537" s="4" t="e">
        <f t="shared" si="99"/>
        <v>#N/A</v>
      </c>
    </row>
    <row r="538" spans="3:26" x14ac:dyDescent="0.25">
      <c r="C538" s="4" t="str">
        <f t="shared" si="94"/>
        <v>CL_MLP_PAO_IF_Ortho_00_01_00_.tif</v>
      </c>
      <c r="D538" s="4" t="str">
        <f t="shared" si="95"/>
        <v>CL_MLP_PAO_IF_Ortho_00_01_00_</v>
      </c>
      <c r="F538" s="15" t="s">
        <v>460</v>
      </c>
      <c r="G538" s="15" t="s">
        <v>29</v>
      </c>
      <c r="J538" s="15" t="s">
        <v>30</v>
      </c>
      <c r="K538" s="2" t="str">
        <f t="shared" si="96"/>
        <v>https://sig.aminerals.cl/imgdyn/rest/services/CL_MLP_PAO/CL_MLP_PAO_IF_Ortho_Geosupport/ImageServer/file?id=.\\00_01_00\CL_MLP_PAO_IF_Ortho_00_01_00_.tif&amp;rasterId=</v>
      </c>
      <c r="L538" s="4" t="s">
        <v>31</v>
      </c>
      <c r="M538" s="4" t="s">
        <v>32</v>
      </c>
      <c r="N538" s="4" t="s">
        <v>33</v>
      </c>
      <c r="O538" s="4" t="s">
        <v>34</v>
      </c>
      <c r="P538" s="4" t="str">
        <f t="shared" si="100"/>
        <v>00</v>
      </c>
      <c r="Q538" s="4" t="str">
        <f t="shared" si="101"/>
        <v>01</v>
      </c>
      <c r="R538" s="4" t="str">
        <f t="shared" si="102"/>
        <v>00</v>
      </c>
      <c r="U538" s="4" t="s">
        <v>461</v>
      </c>
      <c r="V538" s="4" t="str">
        <f t="shared" si="103"/>
        <v/>
      </c>
      <c r="W538" s="4">
        <f t="shared" si="97"/>
        <v>0</v>
      </c>
      <c r="X538" s="4" t="b">
        <f t="shared" si="98"/>
        <v>0</v>
      </c>
      <c r="Y538" s="4" t="e">
        <f>VLOOKUP(D538,'Orden de Imagen'!$A$1:D614,4,FALSE())</f>
        <v>#N/A</v>
      </c>
      <c r="Z538" s="4" t="e">
        <f t="shared" si="99"/>
        <v>#N/A</v>
      </c>
    </row>
    <row r="539" spans="3:26" x14ac:dyDescent="0.25">
      <c r="C539" s="4" t="str">
        <f t="shared" si="94"/>
        <v>CL_MLP_PAO_IF_Ortho_00_01_00_.tif</v>
      </c>
      <c r="D539" s="4" t="str">
        <f t="shared" si="95"/>
        <v>CL_MLP_PAO_IF_Ortho_00_01_00_</v>
      </c>
      <c r="F539" s="15" t="s">
        <v>460</v>
      </c>
      <c r="G539" s="15" t="s">
        <v>29</v>
      </c>
      <c r="J539" s="15" t="s">
        <v>30</v>
      </c>
      <c r="K539" s="2" t="str">
        <f t="shared" si="96"/>
        <v>https://sig.aminerals.cl/imgdyn/rest/services/CL_MLP_PAO/CL_MLP_PAO_IF_Ortho_Geosupport/ImageServer/file?id=.\\00_01_00\CL_MLP_PAO_IF_Ortho_00_01_00_.tif&amp;rasterId=</v>
      </c>
      <c r="L539" s="4" t="s">
        <v>31</v>
      </c>
      <c r="M539" s="4" t="s">
        <v>32</v>
      </c>
      <c r="N539" s="4" t="s">
        <v>33</v>
      </c>
      <c r="O539" s="4" t="s">
        <v>34</v>
      </c>
      <c r="P539" s="4" t="str">
        <f t="shared" si="100"/>
        <v>00</v>
      </c>
      <c r="Q539" s="4" t="str">
        <f t="shared" si="101"/>
        <v>01</v>
      </c>
      <c r="R539" s="4" t="str">
        <f t="shared" si="102"/>
        <v>00</v>
      </c>
      <c r="U539" s="4" t="s">
        <v>461</v>
      </c>
      <c r="V539" s="4" t="str">
        <f t="shared" si="103"/>
        <v/>
      </c>
      <c r="W539" s="4">
        <f t="shared" si="97"/>
        <v>0</v>
      </c>
      <c r="X539" s="4" t="b">
        <f t="shared" si="98"/>
        <v>0</v>
      </c>
      <c r="Y539" s="4" t="e">
        <f>VLOOKUP(D539,'Orden de Imagen'!$A$1:D615,4,FALSE())</f>
        <v>#N/A</v>
      </c>
      <c r="Z539" s="4" t="e">
        <f t="shared" si="99"/>
        <v>#N/A</v>
      </c>
    </row>
    <row r="540" spans="3:26" x14ac:dyDescent="0.25">
      <c r="C540" s="4" t="str">
        <f t="shared" si="94"/>
        <v>CL_MLP_PAO_IF_Ortho_00_01_00_.tif</v>
      </c>
      <c r="D540" s="4" t="str">
        <f t="shared" si="95"/>
        <v>CL_MLP_PAO_IF_Ortho_00_01_00_</v>
      </c>
      <c r="F540" s="15" t="s">
        <v>460</v>
      </c>
      <c r="G540" s="15" t="s">
        <v>29</v>
      </c>
      <c r="J540" s="15" t="s">
        <v>30</v>
      </c>
      <c r="K540" s="2" t="str">
        <f t="shared" si="96"/>
        <v>https://sig.aminerals.cl/imgdyn/rest/services/CL_MLP_PAO/CL_MLP_PAO_IF_Ortho_Geosupport/ImageServer/file?id=.\\00_01_00\CL_MLP_PAO_IF_Ortho_00_01_00_.tif&amp;rasterId=</v>
      </c>
      <c r="L540" s="4" t="s">
        <v>31</v>
      </c>
      <c r="M540" s="4" t="s">
        <v>32</v>
      </c>
      <c r="N540" s="4" t="s">
        <v>33</v>
      </c>
      <c r="O540" s="4" t="s">
        <v>34</v>
      </c>
      <c r="P540" s="4" t="str">
        <f t="shared" si="100"/>
        <v>00</v>
      </c>
      <c r="Q540" s="4" t="str">
        <f t="shared" si="101"/>
        <v>01</v>
      </c>
      <c r="R540" s="4" t="str">
        <f t="shared" si="102"/>
        <v>00</v>
      </c>
      <c r="U540" s="4" t="s">
        <v>461</v>
      </c>
      <c r="V540" s="4" t="str">
        <f t="shared" si="103"/>
        <v/>
      </c>
      <c r="W540" s="4">
        <f t="shared" si="97"/>
        <v>0</v>
      </c>
      <c r="X540" s="4" t="b">
        <f t="shared" si="98"/>
        <v>0</v>
      </c>
      <c r="Y540" s="4" t="e">
        <f>VLOOKUP(D540,'Orden de Imagen'!$A$1:D616,4,FALSE())</f>
        <v>#N/A</v>
      </c>
      <c r="Z540" s="4" t="e">
        <f t="shared" si="99"/>
        <v>#N/A</v>
      </c>
    </row>
    <row r="541" spans="3:26" x14ac:dyDescent="0.25">
      <c r="C541" s="4" t="str">
        <f t="shared" si="94"/>
        <v>CL_MLP_PAO_IF_Ortho_00_01_00_.tif</v>
      </c>
      <c r="D541" s="4" t="str">
        <f t="shared" si="95"/>
        <v>CL_MLP_PAO_IF_Ortho_00_01_00_</v>
      </c>
      <c r="F541" s="15" t="s">
        <v>460</v>
      </c>
      <c r="G541" s="15" t="s">
        <v>29</v>
      </c>
      <c r="J541" s="15" t="s">
        <v>30</v>
      </c>
      <c r="K541" s="2" t="str">
        <f t="shared" si="96"/>
        <v>https://sig.aminerals.cl/imgdyn/rest/services/CL_MLP_PAO/CL_MLP_PAO_IF_Ortho_Geosupport/ImageServer/file?id=.\\00_01_00\CL_MLP_PAO_IF_Ortho_00_01_00_.tif&amp;rasterId=</v>
      </c>
      <c r="L541" s="4" t="s">
        <v>31</v>
      </c>
      <c r="M541" s="4" t="s">
        <v>32</v>
      </c>
      <c r="N541" s="4" t="s">
        <v>33</v>
      </c>
      <c r="O541" s="4" t="s">
        <v>34</v>
      </c>
      <c r="P541" s="4" t="str">
        <f t="shared" si="100"/>
        <v>00</v>
      </c>
      <c r="Q541" s="4" t="str">
        <f t="shared" si="101"/>
        <v>01</v>
      </c>
      <c r="R541" s="4" t="str">
        <f t="shared" si="102"/>
        <v>00</v>
      </c>
      <c r="U541" s="4" t="s">
        <v>461</v>
      </c>
      <c r="V541" s="4" t="str">
        <f t="shared" si="103"/>
        <v/>
      </c>
      <c r="W541" s="4">
        <f t="shared" si="97"/>
        <v>0</v>
      </c>
      <c r="X541" s="4" t="b">
        <f t="shared" si="98"/>
        <v>0</v>
      </c>
      <c r="Y541" s="4" t="e">
        <f>VLOOKUP(D541,'Orden de Imagen'!$A$1:D617,4,FALSE())</f>
        <v>#N/A</v>
      </c>
      <c r="Z541" s="4" t="e">
        <f t="shared" si="99"/>
        <v>#N/A</v>
      </c>
    </row>
    <row r="542" spans="3:26" x14ac:dyDescent="0.25">
      <c r="C542" s="4" t="str">
        <f t="shared" si="94"/>
        <v>CL_MLP_PAO_IF_Ortho_00_01_00_.tif</v>
      </c>
      <c r="D542" s="4" t="str">
        <f t="shared" si="95"/>
        <v>CL_MLP_PAO_IF_Ortho_00_01_00_</v>
      </c>
      <c r="F542" s="15" t="s">
        <v>460</v>
      </c>
      <c r="G542" s="15" t="s">
        <v>29</v>
      </c>
      <c r="J542" s="15" t="s">
        <v>30</v>
      </c>
      <c r="K542" s="2" t="str">
        <f t="shared" si="96"/>
        <v>https://sig.aminerals.cl/imgdyn/rest/services/CL_MLP_PAO/CL_MLP_PAO_IF_Ortho_Geosupport/ImageServer/file?id=.\\00_01_00\CL_MLP_PAO_IF_Ortho_00_01_00_.tif&amp;rasterId=</v>
      </c>
      <c r="L542" s="4" t="s">
        <v>31</v>
      </c>
      <c r="M542" s="4" t="s">
        <v>32</v>
      </c>
      <c r="N542" s="4" t="s">
        <v>33</v>
      </c>
      <c r="O542" s="4" t="s">
        <v>34</v>
      </c>
      <c r="P542" s="4" t="str">
        <f t="shared" si="100"/>
        <v>00</v>
      </c>
      <c r="Q542" s="4" t="str">
        <f t="shared" si="101"/>
        <v>01</v>
      </c>
      <c r="R542" s="4" t="str">
        <f t="shared" si="102"/>
        <v>00</v>
      </c>
      <c r="U542" s="4" t="s">
        <v>461</v>
      </c>
      <c r="V542" s="4" t="str">
        <f t="shared" si="103"/>
        <v/>
      </c>
      <c r="W542" s="4">
        <f t="shared" si="97"/>
        <v>0</v>
      </c>
      <c r="X542" s="4" t="b">
        <f t="shared" si="98"/>
        <v>0</v>
      </c>
      <c r="Y542" s="4" t="e">
        <f>VLOOKUP(D542,'Orden de Imagen'!$A$1:D618,4,FALSE())</f>
        <v>#N/A</v>
      </c>
      <c r="Z542" s="4" t="e">
        <f t="shared" si="99"/>
        <v>#N/A</v>
      </c>
    </row>
    <row r="543" spans="3:26" x14ac:dyDescent="0.25">
      <c r="C543" s="4" t="str">
        <f t="shared" si="94"/>
        <v>CL_MLP_PAO_IF_Ortho_00_01_00_.tif</v>
      </c>
      <c r="D543" s="4" t="str">
        <f t="shared" si="95"/>
        <v>CL_MLP_PAO_IF_Ortho_00_01_00_</v>
      </c>
      <c r="F543" s="15" t="s">
        <v>460</v>
      </c>
      <c r="G543" s="15" t="s">
        <v>29</v>
      </c>
      <c r="J543" s="15" t="s">
        <v>30</v>
      </c>
      <c r="K543" s="2" t="str">
        <f t="shared" si="96"/>
        <v>https://sig.aminerals.cl/imgdyn/rest/services/CL_MLP_PAO/CL_MLP_PAO_IF_Ortho_Geosupport/ImageServer/file?id=.\\00_01_00\CL_MLP_PAO_IF_Ortho_00_01_00_.tif&amp;rasterId=</v>
      </c>
      <c r="L543" s="4" t="s">
        <v>31</v>
      </c>
      <c r="M543" s="4" t="s">
        <v>32</v>
      </c>
      <c r="N543" s="4" t="s">
        <v>33</v>
      </c>
      <c r="O543" s="4" t="s">
        <v>34</v>
      </c>
      <c r="P543" s="4" t="str">
        <f t="shared" si="100"/>
        <v>00</v>
      </c>
      <c r="Q543" s="4" t="str">
        <f t="shared" si="101"/>
        <v>01</v>
      </c>
      <c r="R543" s="4" t="str">
        <f t="shared" si="102"/>
        <v>00</v>
      </c>
      <c r="U543" s="4" t="s">
        <v>461</v>
      </c>
      <c r="V543" s="4" t="str">
        <f t="shared" si="103"/>
        <v/>
      </c>
      <c r="W543" s="4">
        <f t="shared" si="97"/>
        <v>0</v>
      </c>
      <c r="X543" s="4" t="b">
        <f t="shared" si="98"/>
        <v>0</v>
      </c>
      <c r="Y543" s="4" t="e">
        <f>VLOOKUP(D543,'Orden de Imagen'!$A$1:D619,4,FALSE())</f>
        <v>#N/A</v>
      </c>
      <c r="Z543" s="4" t="e">
        <f t="shared" si="99"/>
        <v>#N/A</v>
      </c>
    </row>
    <row r="544" spans="3:26" x14ac:dyDescent="0.25">
      <c r="C544" s="4" t="str">
        <f t="shared" si="94"/>
        <v>CL_MLP_PAO_IF_Ortho_00_01_00_.tif</v>
      </c>
      <c r="D544" s="4" t="str">
        <f t="shared" si="95"/>
        <v>CL_MLP_PAO_IF_Ortho_00_01_00_</v>
      </c>
      <c r="F544" s="15" t="s">
        <v>460</v>
      </c>
      <c r="G544" s="15" t="s">
        <v>29</v>
      </c>
      <c r="J544" s="15" t="s">
        <v>30</v>
      </c>
      <c r="K544" s="2" t="str">
        <f t="shared" si="96"/>
        <v>https://sig.aminerals.cl/imgdyn/rest/services/CL_MLP_PAO/CL_MLP_PAO_IF_Ortho_Geosupport/ImageServer/file?id=.\\00_01_00\CL_MLP_PAO_IF_Ortho_00_01_00_.tif&amp;rasterId=</v>
      </c>
      <c r="L544" s="4" t="s">
        <v>31</v>
      </c>
      <c r="M544" s="4" t="s">
        <v>32</v>
      </c>
      <c r="N544" s="4" t="s">
        <v>33</v>
      </c>
      <c r="O544" s="4" t="s">
        <v>34</v>
      </c>
      <c r="P544" s="4" t="str">
        <f t="shared" si="100"/>
        <v>00</v>
      </c>
      <c r="Q544" s="4" t="str">
        <f t="shared" si="101"/>
        <v>01</v>
      </c>
      <c r="R544" s="4" t="str">
        <f t="shared" si="102"/>
        <v>00</v>
      </c>
      <c r="U544" s="4" t="s">
        <v>461</v>
      </c>
      <c r="V544" s="4" t="str">
        <f t="shared" si="103"/>
        <v/>
      </c>
      <c r="W544" s="4">
        <f t="shared" si="97"/>
        <v>0</v>
      </c>
      <c r="X544" s="4" t="b">
        <f t="shared" si="98"/>
        <v>0</v>
      </c>
      <c r="Y544" s="4" t="e">
        <f>VLOOKUP(D544,'Orden de Imagen'!$A$1:D620,4,FALSE())</f>
        <v>#N/A</v>
      </c>
      <c r="Z544" s="4" t="e">
        <f t="shared" si="99"/>
        <v>#N/A</v>
      </c>
    </row>
    <row r="545" spans="3:26" x14ac:dyDescent="0.25">
      <c r="C545" s="4" t="str">
        <f t="shared" si="94"/>
        <v>CL_MLP_PAO_IF_Ortho_00_01_00_.tif</v>
      </c>
      <c r="D545" s="4" t="str">
        <f t="shared" si="95"/>
        <v>CL_MLP_PAO_IF_Ortho_00_01_00_</v>
      </c>
      <c r="F545" s="15" t="s">
        <v>460</v>
      </c>
      <c r="G545" s="15" t="s">
        <v>29</v>
      </c>
      <c r="J545" s="15" t="s">
        <v>30</v>
      </c>
      <c r="K545" s="2" t="str">
        <f t="shared" si="96"/>
        <v>https://sig.aminerals.cl/imgdyn/rest/services/CL_MLP_PAO/CL_MLP_PAO_IF_Ortho_Geosupport/ImageServer/file?id=.\\00_01_00\CL_MLP_PAO_IF_Ortho_00_01_00_.tif&amp;rasterId=</v>
      </c>
      <c r="L545" s="4" t="s">
        <v>31</v>
      </c>
      <c r="M545" s="4" t="s">
        <v>32</v>
      </c>
      <c r="N545" s="4" t="s">
        <v>33</v>
      </c>
      <c r="O545" s="4" t="s">
        <v>34</v>
      </c>
      <c r="P545" s="4" t="str">
        <f t="shared" si="100"/>
        <v>00</v>
      </c>
      <c r="Q545" s="4" t="str">
        <f t="shared" si="101"/>
        <v>01</v>
      </c>
      <c r="R545" s="4" t="str">
        <f t="shared" si="102"/>
        <v>00</v>
      </c>
      <c r="U545" s="4" t="s">
        <v>461</v>
      </c>
      <c r="V545" s="4" t="str">
        <f t="shared" si="103"/>
        <v/>
      </c>
      <c r="W545" s="4">
        <f t="shared" si="97"/>
        <v>0</v>
      </c>
      <c r="X545" s="4" t="b">
        <f t="shared" si="98"/>
        <v>0</v>
      </c>
      <c r="Y545" s="4" t="e">
        <f>VLOOKUP(D545,'Orden de Imagen'!$A$1:D621,4,FALSE())</f>
        <v>#N/A</v>
      </c>
      <c r="Z545" s="4" t="e">
        <f t="shared" si="99"/>
        <v>#N/A</v>
      </c>
    </row>
    <row r="546" spans="3:26" x14ac:dyDescent="0.25">
      <c r="C546" s="4" t="str">
        <f t="shared" si="94"/>
        <v>CL_MLP_PAO_IF_Ortho_00_01_00_.tif</v>
      </c>
      <c r="D546" s="4" t="str">
        <f t="shared" si="95"/>
        <v>CL_MLP_PAO_IF_Ortho_00_01_00_</v>
      </c>
      <c r="F546" s="15" t="s">
        <v>460</v>
      </c>
      <c r="G546" s="15" t="s">
        <v>29</v>
      </c>
      <c r="J546" s="15" t="s">
        <v>30</v>
      </c>
      <c r="K546" s="2" t="str">
        <f t="shared" si="96"/>
        <v>https://sig.aminerals.cl/imgdyn/rest/services/CL_MLP_PAO/CL_MLP_PAO_IF_Ortho_Geosupport/ImageServer/file?id=.\\00_01_00\CL_MLP_PAO_IF_Ortho_00_01_00_.tif&amp;rasterId=</v>
      </c>
      <c r="L546" s="4" t="s">
        <v>31</v>
      </c>
      <c r="M546" s="4" t="s">
        <v>32</v>
      </c>
      <c r="N546" s="4" t="s">
        <v>33</v>
      </c>
      <c r="O546" s="4" t="s">
        <v>34</v>
      </c>
      <c r="P546" s="4" t="str">
        <f t="shared" si="100"/>
        <v>00</v>
      </c>
      <c r="Q546" s="4" t="str">
        <f t="shared" si="101"/>
        <v>01</v>
      </c>
      <c r="R546" s="4" t="str">
        <f t="shared" si="102"/>
        <v>00</v>
      </c>
      <c r="U546" s="4" t="s">
        <v>461</v>
      </c>
      <c r="V546" s="4" t="str">
        <f t="shared" si="103"/>
        <v/>
      </c>
      <c r="W546" s="4">
        <f t="shared" si="97"/>
        <v>0</v>
      </c>
      <c r="X546" s="4" t="b">
        <f t="shared" si="98"/>
        <v>0</v>
      </c>
      <c r="Y546" s="4" t="e">
        <f>VLOOKUP(D546,'Orden de Imagen'!$A$1:D622,4,FALSE())</f>
        <v>#N/A</v>
      </c>
      <c r="Z546" s="4" t="e">
        <f t="shared" si="99"/>
        <v>#N/A</v>
      </c>
    </row>
    <row r="547" spans="3:26" x14ac:dyDescent="0.25">
      <c r="C547" s="4" t="str">
        <f t="shared" si="94"/>
        <v>CL_MLP_PAO_IF_Ortho_00_01_00_.tif</v>
      </c>
      <c r="D547" s="4" t="str">
        <f t="shared" si="95"/>
        <v>CL_MLP_PAO_IF_Ortho_00_01_00_</v>
      </c>
      <c r="F547" s="15" t="s">
        <v>460</v>
      </c>
      <c r="G547" s="15" t="s">
        <v>29</v>
      </c>
      <c r="J547" s="15" t="s">
        <v>30</v>
      </c>
      <c r="K547" s="2" t="str">
        <f t="shared" si="96"/>
        <v>https://sig.aminerals.cl/imgdyn/rest/services/CL_MLP_PAO/CL_MLP_PAO_IF_Ortho_Geosupport/ImageServer/file?id=.\\00_01_00\CL_MLP_PAO_IF_Ortho_00_01_00_.tif&amp;rasterId=</v>
      </c>
      <c r="L547" s="4" t="s">
        <v>31</v>
      </c>
      <c r="M547" s="4" t="s">
        <v>32</v>
      </c>
      <c r="N547" s="4" t="s">
        <v>33</v>
      </c>
      <c r="O547" s="4" t="s">
        <v>34</v>
      </c>
      <c r="P547" s="4" t="str">
        <f t="shared" si="100"/>
        <v>00</v>
      </c>
      <c r="Q547" s="4" t="str">
        <f t="shared" si="101"/>
        <v>01</v>
      </c>
      <c r="R547" s="4" t="str">
        <f t="shared" si="102"/>
        <v>00</v>
      </c>
      <c r="U547" s="4" t="s">
        <v>461</v>
      </c>
      <c r="V547" s="4" t="str">
        <f t="shared" si="103"/>
        <v/>
      </c>
      <c r="W547" s="4">
        <f t="shared" si="97"/>
        <v>0</v>
      </c>
      <c r="X547" s="4" t="b">
        <f t="shared" si="98"/>
        <v>0</v>
      </c>
      <c r="Y547" s="4" t="e">
        <f>VLOOKUP(D547,'Orden de Imagen'!$A$1:D623,4,FALSE())</f>
        <v>#N/A</v>
      </c>
      <c r="Z547" s="4" t="e">
        <f t="shared" si="99"/>
        <v>#N/A</v>
      </c>
    </row>
    <row r="548" spans="3:26" x14ac:dyDescent="0.25">
      <c r="C548" s="4" t="str">
        <f t="shared" si="94"/>
        <v>CL_MLP_PAO_IF_Ortho_00_01_00_.tif</v>
      </c>
      <c r="D548" s="4" t="str">
        <f t="shared" si="95"/>
        <v>CL_MLP_PAO_IF_Ortho_00_01_00_</v>
      </c>
      <c r="F548" s="15" t="s">
        <v>460</v>
      </c>
      <c r="G548" s="15" t="s">
        <v>29</v>
      </c>
      <c r="J548" s="15" t="s">
        <v>30</v>
      </c>
      <c r="K548" s="2" t="str">
        <f t="shared" si="96"/>
        <v>https://sig.aminerals.cl/imgdyn/rest/services/CL_MLP_PAO/CL_MLP_PAO_IF_Ortho_Geosupport/ImageServer/file?id=.\\00_01_00\CL_MLP_PAO_IF_Ortho_00_01_00_.tif&amp;rasterId=</v>
      </c>
      <c r="L548" s="4" t="s">
        <v>31</v>
      </c>
      <c r="M548" s="4" t="s">
        <v>32</v>
      </c>
      <c r="N548" s="4" t="s">
        <v>33</v>
      </c>
      <c r="O548" s="4" t="s">
        <v>34</v>
      </c>
      <c r="P548" s="4" t="str">
        <f t="shared" si="100"/>
        <v>00</v>
      </c>
      <c r="Q548" s="4" t="str">
        <f t="shared" si="101"/>
        <v>01</v>
      </c>
      <c r="R548" s="4" t="str">
        <f t="shared" si="102"/>
        <v>00</v>
      </c>
      <c r="U548" s="4" t="s">
        <v>461</v>
      </c>
      <c r="V548" s="4" t="str">
        <f t="shared" si="103"/>
        <v/>
      </c>
      <c r="W548" s="4">
        <f t="shared" si="97"/>
        <v>0</v>
      </c>
      <c r="X548" s="4" t="b">
        <f t="shared" si="98"/>
        <v>0</v>
      </c>
      <c r="Y548" s="4" t="e">
        <f>VLOOKUP(D548,'Orden de Imagen'!$A$1:D624,4,FALSE())</f>
        <v>#N/A</v>
      </c>
      <c r="Z548" s="4" t="e">
        <f t="shared" si="99"/>
        <v>#N/A</v>
      </c>
    </row>
    <row r="549" spans="3:26" x14ac:dyDescent="0.25">
      <c r="C549" s="4" t="str">
        <f t="shared" si="94"/>
        <v>CL_MLP_PAO_IF_Ortho_00_01_00_.tif</v>
      </c>
      <c r="D549" s="4" t="str">
        <f t="shared" si="95"/>
        <v>CL_MLP_PAO_IF_Ortho_00_01_00_</v>
      </c>
      <c r="F549" s="15" t="s">
        <v>460</v>
      </c>
      <c r="G549" s="15" t="s">
        <v>29</v>
      </c>
      <c r="J549" s="15" t="s">
        <v>30</v>
      </c>
      <c r="K549" s="2" t="str">
        <f t="shared" si="96"/>
        <v>https://sig.aminerals.cl/imgdyn/rest/services/CL_MLP_PAO/CL_MLP_PAO_IF_Ortho_Geosupport/ImageServer/file?id=.\\00_01_00\CL_MLP_PAO_IF_Ortho_00_01_00_.tif&amp;rasterId=</v>
      </c>
      <c r="L549" s="4" t="s">
        <v>31</v>
      </c>
      <c r="M549" s="4" t="s">
        <v>32</v>
      </c>
      <c r="N549" s="4" t="s">
        <v>33</v>
      </c>
      <c r="O549" s="4" t="s">
        <v>34</v>
      </c>
      <c r="P549" s="4" t="str">
        <f t="shared" si="100"/>
        <v>00</v>
      </c>
      <c r="Q549" s="4" t="str">
        <f t="shared" si="101"/>
        <v>01</v>
      </c>
      <c r="R549" s="4" t="str">
        <f t="shared" si="102"/>
        <v>00</v>
      </c>
      <c r="U549" s="4" t="s">
        <v>461</v>
      </c>
      <c r="V549" s="4" t="str">
        <f t="shared" si="103"/>
        <v/>
      </c>
      <c r="W549" s="4">
        <f t="shared" si="97"/>
        <v>0</v>
      </c>
      <c r="X549" s="4" t="b">
        <f t="shared" si="98"/>
        <v>0</v>
      </c>
      <c r="Y549" s="4" t="e">
        <f>VLOOKUP(D549,'Orden de Imagen'!$A$1:D625,4,FALSE())</f>
        <v>#N/A</v>
      </c>
      <c r="Z549" s="4" t="e">
        <f t="shared" si="99"/>
        <v>#N/A</v>
      </c>
    </row>
    <row r="550" spans="3:26" x14ac:dyDescent="0.25">
      <c r="C550" s="4" t="str">
        <f t="shared" si="94"/>
        <v>CL_MLP_PAO_IF_Ortho_00_01_00_.tif</v>
      </c>
      <c r="D550" s="4" t="str">
        <f t="shared" si="95"/>
        <v>CL_MLP_PAO_IF_Ortho_00_01_00_</v>
      </c>
      <c r="F550" s="15" t="s">
        <v>460</v>
      </c>
      <c r="G550" s="15" t="s">
        <v>29</v>
      </c>
      <c r="J550" s="15" t="s">
        <v>30</v>
      </c>
      <c r="K550" s="2" t="str">
        <f t="shared" si="96"/>
        <v>https://sig.aminerals.cl/imgdyn/rest/services/CL_MLP_PAO/CL_MLP_PAO_IF_Ortho_Geosupport/ImageServer/file?id=.\\00_01_00\CL_MLP_PAO_IF_Ortho_00_01_00_.tif&amp;rasterId=</v>
      </c>
      <c r="L550" s="4" t="s">
        <v>31</v>
      </c>
      <c r="M550" s="4" t="s">
        <v>32</v>
      </c>
      <c r="N550" s="4" t="s">
        <v>33</v>
      </c>
      <c r="O550" s="4" t="s">
        <v>34</v>
      </c>
      <c r="P550" s="4" t="str">
        <f t="shared" si="100"/>
        <v>00</v>
      </c>
      <c r="Q550" s="4" t="str">
        <f t="shared" si="101"/>
        <v>01</v>
      </c>
      <c r="R550" s="4" t="str">
        <f t="shared" si="102"/>
        <v>00</v>
      </c>
      <c r="U550" s="4" t="s">
        <v>461</v>
      </c>
      <c r="V550" s="4" t="str">
        <f t="shared" si="103"/>
        <v/>
      </c>
      <c r="W550" s="4">
        <f t="shared" si="97"/>
        <v>0</v>
      </c>
      <c r="X550" s="4" t="b">
        <f t="shared" si="98"/>
        <v>0</v>
      </c>
      <c r="Y550" s="4" t="e">
        <f>VLOOKUP(D550,'Orden de Imagen'!$A$1:D626,4,FALSE())</f>
        <v>#N/A</v>
      </c>
      <c r="Z550" s="4" t="e">
        <f t="shared" si="99"/>
        <v>#N/A</v>
      </c>
    </row>
    <row r="551" spans="3:26" x14ac:dyDescent="0.25">
      <c r="C551" s="4" t="str">
        <f t="shared" si="94"/>
        <v>CL_MLP_PAO_IF_Ortho_00_01_00_.tif</v>
      </c>
      <c r="D551" s="4" t="str">
        <f t="shared" si="95"/>
        <v>CL_MLP_PAO_IF_Ortho_00_01_00_</v>
      </c>
      <c r="F551" s="15" t="s">
        <v>460</v>
      </c>
      <c r="G551" s="15" t="s">
        <v>29</v>
      </c>
      <c r="J551" s="15" t="s">
        <v>30</v>
      </c>
      <c r="K551" s="2" t="str">
        <f t="shared" si="96"/>
        <v>https://sig.aminerals.cl/imgdyn/rest/services/CL_MLP_PAO/CL_MLP_PAO_IF_Ortho_Geosupport/ImageServer/file?id=.\\00_01_00\CL_MLP_PAO_IF_Ortho_00_01_00_.tif&amp;rasterId=</v>
      </c>
      <c r="L551" s="4" t="s">
        <v>31</v>
      </c>
      <c r="M551" s="4" t="s">
        <v>32</v>
      </c>
      <c r="N551" s="4" t="s">
        <v>33</v>
      </c>
      <c r="O551" s="4" t="s">
        <v>34</v>
      </c>
      <c r="P551" s="4" t="str">
        <f t="shared" si="100"/>
        <v>00</v>
      </c>
      <c r="Q551" s="4" t="str">
        <f t="shared" si="101"/>
        <v>01</v>
      </c>
      <c r="R551" s="4" t="str">
        <f t="shared" si="102"/>
        <v>00</v>
      </c>
      <c r="U551" s="4" t="s">
        <v>461</v>
      </c>
      <c r="V551" s="4" t="str">
        <f t="shared" si="103"/>
        <v/>
      </c>
      <c r="W551" s="4">
        <f t="shared" si="97"/>
        <v>0</v>
      </c>
      <c r="X551" s="4" t="b">
        <f t="shared" si="98"/>
        <v>0</v>
      </c>
      <c r="Y551" s="4" t="e">
        <f>VLOOKUP(D551,'Orden de Imagen'!$A$1:D627,4,FALSE())</f>
        <v>#N/A</v>
      </c>
      <c r="Z551" s="4" t="e">
        <f t="shared" si="99"/>
        <v>#N/A</v>
      </c>
    </row>
    <row r="552" spans="3:26" x14ac:dyDescent="0.25">
      <c r="C552" s="4" t="str">
        <f t="shared" si="94"/>
        <v>CL_MLP_PAO_IF_Ortho_00_01_00_.tif</v>
      </c>
      <c r="D552" s="4" t="str">
        <f t="shared" si="95"/>
        <v>CL_MLP_PAO_IF_Ortho_00_01_00_</v>
      </c>
      <c r="F552" s="15" t="s">
        <v>460</v>
      </c>
      <c r="G552" s="15" t="s">
        <v>29</v>
      </c>
      <c r="J552" s="15" t="s">
        <v>30</v>
      </c>
      <c r="K552" s="2" t="str">
        <f t="shared" si="96"/>
        <v>https://sig.aminerals.cl/imgdyn/rest/services/CL_MLP_PAO/CL_MLP_PAO_IF_Ortho_Geosupport/ImageServer/file?id=.\\00_01_00\CL_MLP_PAO_IF_Ortho_00_01_00_.tif&amp;rasterId=</v>
      </c>
      <c r="L552" s="4" t="s">
        <v>31</v>
      </c>
      <c r="M552" s="4" t="s">
        <v>32</v>
      </c>
      <c r="N552" s="4" t="s">
        <v>33</v>
      </c>
      <c r="O552" s="4" t="s">
        <v>34</v>
      </c>
      <c r="P552" s="4" t="str">
        <f t="shared" si="100"/>
        <v>00</v>
      </c>
      <c r="Q552" s="4" t="str">
        <f t="shared" si="101"/>
        <v>01</v>
      </c>
      <c r="R552" s="4" t="str">
        <f t="shared" si="102"/>
        <v>00</v>
      </c>
      <c r="U552" s="4" t="s">
        <v>461</v>
      </c>
      <c r="V552" s="4" t="str">
        <f t="shared" si="103"/>
        <v/>
      </c>
      <c r="W552" s="4">
        <f t="shared" si="97"/>
        <v>0</v>
      </c>
      <c r="X552" s="4" t="b">
        <f t="shared" si="98"/>
        <v>0</v>
      </c>
      <c r="Y552" s="4" t="e">
        <f>VLOOKUP(D552,'Orden de Imagen'!$A$1:D628,4,FALSE())</f>
        <v>#N/A</v>
      </c>
      <c r="Z552" s="4" t="e">
        <f t="shared" si="99"/>
        <v>#N/A</v>
      </c>
    </row>
    <row r="553" spans="3:26" x14ac:dyDescent="0.25">
      <c r="C553" s="4" t="str">
        <f t="shared" ref="C553:C591" si="104">CONCATENATE(L553,"_",M553,"_",G553,"_",N553,"_",O553,"_",R553,"_",Q553,"_",P553,"_",E553,".tif")</f>
        <v>CL_MLP_PAO_IF_Ortho_00_01_00_.tif</v>
      </c>
      <c r="D553" s="4" t="str">
        <f t="shared" ref="D553:D591" si="105">CONCATENATE(L553,"_",M553,"_",G553,"_",N553,"_",O553,"_",R553,"_",Q553,"_",P553,"_",E553)</f>
        <v>CL_MLP_PAO_IF_Ortho_00_01_00_</v>
      </c>
      <c r="F553" s="15" t="s">
        <v>460</v>
      </c>
      <c r="G553" s="15" t="s">
        <v>29</v>
      </c>
      <c r="J553" s="15" t="s">
        <v>30</v>
      </c>
      <c r="K553" s="2" t="str">
        <f t="shared" ref="K553:K591" si="106">CONCATENATE("https://sig.aminerals.cl/imgdyn/rest/services/CL_MLP_PAO/",U553,"/","ImageServer/file?id=.\",S553,"\",R553,"_",Q553,"_",P553,"\",C553,"&amp;rasterId=")</f>
        <v>https://sig.aminerals.cl/imgdyn/rest/services/CL_MLP_PAO/CL_MLP_PAO_IF_Ortho_Geosupport/ImageServer/file?id=.\\00_01_00\CL_MLP_PAO_IF_Ortho_00_01_00_.tif&amp;rasterId=</v>
      </c>
      <c r="L553" s="4" t="s">
        <v>31</v>
      </c>
      <c r="M553" s="4" t="s">
        <v>32</v>
      </c>
      <c r="N553" s="4" t="s">
        <v>33</v>
      </c>
      <c r="O553" s="4" t="s">
        <v>34</v>
      </c>
      <c r="P553" s="4" t="str">
        <f t="shared" si="100"/>
        <v>00</v>
      </c>
      <c r="Q553" s="4" t="str">
        <f t="shared" si="101"/>
        <v>01</v>
      </c>
      <c r="R553" s="4" t="str">
        <f t="shared" si="102"/>
        <v>00</v>
      </c>
      <c r="U553" s="4" t="s">
        <v>461</v>
      </c>
      <c r="V553" s="4" t="str">
        <f t="shared" si="103"/>
        <v/>
      </c>
      <c r="W553" s="4">
        <f t="shared" ref="W553:W591" si="107">E553</f>
        <v>0</v>
      </c>
      <c r="X553" s="4" t="b">
        <f t="shared" ref="X553:X591" si="108">V553=W553</f>
        <v>0</v>
      </c>
      <c r="Y553" s="4" t="e">
        <f>VLOOKUP(D553,'Orden de Imagen'!$A$1:D629,4,FALSE())</f>
        <v>#N/A</v>
      </c>
      <c r="Z553" s="4" t="e">
        <f t="shared" ref="Z553:Z591" si="109">CONCATENATE(Y553,"_",R553,"_",Q553,"_",P553,"_",E553)</f>
        <v>#N/A</v>
      </c>
    </row>
    <row r="554" spans="3:26" x14ac:dyDescent="0.25">
      <c r="C554" s="4" t="str">
        <f t="shared" si="104"/>
        <v>CL_MLP_PAO_IF_Ortho_00_01_00_.tif</v>
      </c>
      <c r="D554" s="4" t="str">
        <f t="shared" si="105"/>
        <v>CL_MLP_PAO_IF_Ortho_00_01_00_</v>
      </c>
      <c r="F554" s="15" t="s">
        <v>460</v>
      </c>
      <c r="G554" s="15" t="s">
        <v>29</v>
      </c>
      <c r="J554" s="15" t="s">
        <v>30</v>
      </c>
      <c r="K554" s="2" t="str">
        <f t="shared" si="106"/>
        <v>https://sig.aminerals.cl/imgdyn/rest/services/CL_MLP_PAO/CL_MLP_PAO_IF_Ortho_Geosupport/ImageServer/file?id=.\\00_01_00\CL_MLP_PAO_IF_Ortho_00_01_00_.tif&amp;rasterId=</v>
      </c>
      <c r="L554" s="4" t="s">
        <v>31</v>
      </c>
      <c r="M554" s="4" t="s">
        <v>32</v>
      </c>
      <c r="N554" s="4" t="s">
        <v>33</v>
      </c>
      <c r="O554" s="4" t="s">
        <v>34</v>
      </c>
      <c r="P554" s="4" t="str">
        <f t="shared" si="100"/>
        <v>00</v>
      </c>
      <c r="Q554" s="4" t="str">
        <f t="shared" si="101"/>
        <v>01</v>
      </c>
      <c r="R554" s="4" t="str">
        <f t="shared" si="102"/>
        <v>00</v>
      </c>
      <c r="U554" s="4" t="s">
        <v>461</v>
      </c>
      <c r="V554" s="4" t="str">
        <f t="shared" si="103"/>
        <v/>
      </c>
      <c r="W554" s="4">
        <f t="shared" si="107"/>
        <v>0</v>
      </c>
      <c r="X554" s="4" t="b">
        <f t="shared" si="108"/>
        <v>0</v>
      </c>
      <c r="Y554" s="4" t="e">
        <f>VLOOKUP(D554,'Orden de Imagen'!$A$1:D630,4,FALSE())</f>
        <v>#N/A</v>
      </c>
      <c r="Z554" s="4" t="e">
        <f t="shared" si="109"/>
        <v>#N/A</v>
      </c>
    </row>
    <row r="555" spans="3:26" x14ac:dyDescent="0.25">
      <c r="C555" s="4" t="str">
        <f t="shared" si="104"/>
        <v>CL_MLP_PAO_IF_Ortho_00_01_00_.tif</v>
      </c>
      <c r="D555" s="4" t="str">
        <f t="shared" si="105"/>
        <v>CL_MLP_PAO_IF_Ortho_00_01_00_</v>
      </c>
      <c r="F555" s="15" t="s">
        <v>460</v>
      </c>
      <c r="G555" s="15" t="s">
        <v>29</v>
      </c>
      <c r="J555" s="15" t="s">
        <v>30</v>
      </c>
      <c r="K555" s="2" t="str">
        <f t="shared" si="106"/>
        <v>https://sig.aminerals.cl/imgdyn/rest/services/CL_MLP_PAO/CL_MLP_PAO_IF_Ortho_Geosupport/ImageServer/file?id=.\\00_01_00\CL_MLP_PAO_IF_Ortho_00_01_00_.tif&amp;rasterId=</v>
      </c>
      <c r="L555" s="4" t="s">
        <v>31</v>
      </c>
      <c r="M555" s="4" t="s">
        <v>32</v>
      </c>
      <c r="N555" s="4" t="s">
        <v>33</v>
      </c>
      <c r="O555" s="4" t="s">
        <v>34</v>
      </c>
      <c r="P555" s="4" t="str">
        <f t="shared" si="100"/>
        <v>00</v>
      </c>
      <c r="Q555" s="4" t="str">
        <f t="shared" si="101"/>
        <v>01</v>
      </c>
      <c r="R555" s="4" t="str">
        <f t="shared" si="102"/>
        <v>00</v>
      </c>
      <c r="U555" s="4" t="s">
        <v>461</v>
      </c>
      <c r="V555" s="4" t="str">
        <f t="shared" si="103"/>
        <v/>
      </c>
      <c r="W555" s="4">
        <f t="shared" si="107"/>
        <v>0</v>
      </c>
      <c r="X555" s="4" t="b">
        <f t="shared" si="108"/>
        <v>0</v>
      </c>
      <c r="Y555" s="4" t="e">
        <f>VLOOKUP(D555,'Orden de Imagen'!$A$1:D631,4,FALSE())</f>
        <v>#N/A</v>
      </c>
      <c r="Z555" s="4" t="e">
        <f t="shared" si="109"/>
        <v>#N/A</v>
      </c>
    </row>
    <row r="556" spans="3:26" x14ac:dyDescent="0.25">
      <c r="C556" s="4" t="str">
        <f t="shared" si="104"/>
        <v>CL_MLP_PAO_IF_Ortho_00_01_00_.tif</v>
      </c>
      <c r="D556" s="4" t="str">
        <f t="shared" si="105"/>
        <v>CL_MLP_PAO_IF_Ortho_00_01_00_</v>
      </c>
      <c r="F556" s="15" t="s">
        <v>460</v>
      </c>
      <c r="G556" s="15" t="s">
        <v>29</v>
      </c>
      <c r="J556" s="15" t="s">
        <v>30</v>
      </c>
      <c r="K556" s="2" t="str">
        <f t="shared" si="106"/>
        <v>https://sig.aminerals.cl/imgdyn/rest/services/CL_MLP_PAO/CL_MLP_PAO_IF_Ortho_Geosupport/ImageServer/file?id=.\\00_01_00\CL_MLP_PAO_IF_Ortho_00_01_00_.tif&amp;rasterId=</v>
      </c>
      <c r="L556" s="4" t="s">
        <v>31</v>
      </c>
      <c r="M556" s="4" t="s">
        <v>32</v>
      </c>
      <c r="N556" s="4" t="s">
        <v>33</v>
      </c>
      <c r="O556" s="4" t="s">
        <v>34</v>
      </c>
      <c r="P556" s="4" t="str">
        <f t="shared" si="100"/>
        <v>00</v>
      </c>
      <c r="Q556" s="4" t="str">
        <f t="shared" si="101"/>
        <v>01</v>
      </c>
      <c r="R556" s="4" t="str">
        <f t="shared" si="102"/>
        <v>00</v>
      </c>
      <c r="U556" s="4" t="s">
        <v>461</v>
      </c>
      <c r="V556" s="4" t="str">
        <f t="shared" si="103"/>
        <v/>
      </c>
      <c r="W556" s="4">
        <f t="shared" si="107"/>
        <v>0</v>
      </c>
      <c r="X556" s="4" t="b">
        <f t="shared" si="108"/>
        <v>0</v>
      </c>
      <c r="Y556" s="4" t="e">
        <f>VLOOKUP(D556,'Orden de Imagen'!$A$1:D632,4,FALSE())</f>
        <v>#N/A</v>
      </c>
      <c r="Z556" s="4" t="e">
        <f t="shared" si="109"/>
        <v>#N/A</v>
      </c>
    </row>
    <row r="557" spans="3:26" x14ac:dyDescent="0.25">
      <c r="C557" s="4" t="str">
        <f t="shared" si="104"/>
        <v>CL_MLP_PAO_IF_Ortho_00_01_00_.tif</v>
      </c>
      <c r="D557" s="4" t="str">
        <f t="shared" si="105"/>
        <v>CL_MLP_PAO_IF_Ortho_00_01_00_</v>
      </c>
      <c r="F557" s="15" t="s">
        <v>460</v>
      </c>
      <c r="G557" s="15" t="s">
        <v>29</v>
      </c>
      <c r="J557" s="15" t="s">
        <v>30</v>
      </c>
      <c r="K557" s="2" t="str">
        <f t="shared" si="106"/>
        <v>https://sig.aminerals.cl/imgdyn/rest/services/CL_MLP_PAO/CL_MLP_PAO_IF_Ortho_Geosupport/ImageServer/file?id=.\\00_01_00\CL_MLP_PAO_IF_Ortho_00_01_00_.tif&amp;rasterId=</v>
      </c>
      <c r="L557" s="4" t="s">
        <v>31</v>
      </c>
      <c r="M557" s="4" t="s">
        <v>32</v>
      </c>
      <c r="N557" s="4" t="s">
        <v>33</v>
      </c>
      <c r="O557" s="4" t="s">
        <v>34</v>
      </c>
      <c r="P557" s="4" t="str">
        <f t="shared" si="100"/>
        <v>00</v>
      </c>
      <c r="Q557" s="4" t="str">
        <f t="shared" si="101"/>
        <v>01</v>
      </c>
      <c r="R557" s="4" t="str">
        <f t="shared" si="102"/>
        <v>00</v>
      </c>
      <c r="U557" s="4" t="s">
        <v>461</v>
      </c>
      <c r="V557" s="4" t="str">
        <f t="shared" si="103"/>
        <v/>
      </c>
      <c r="W557" s="4">
        <f t="shared" si="107"/>
        <v>0</v>
      </c>
      <c r="X557" s="4" t="b">
        <f t="shared" si="108"/>
        <v>0</v>
      </c>
      <c r="Y557" s="4" t="e">
        <f>VLOOKUP(D557,'Orden de Imagen'!$A$1:D633,4,FALSE())</f>
        <v>#N/A</v>
      </c>
      <c r="Z557" s="4" t="e">
        <f t="shared" si="109"/>
        <v>#N/A</v>
      </c>
    </row>
    <row r="558" spans="3:26" x14ac:dyDescent="0.25">
      <c r="C558" s="4" t="str">
        <f t="shared" si="104"/>
        <v>CL_MLP_PAO_IF_Ortho_00_01_00_.tif</v>
      </c>
      <c r="D558" s="4" t="str">
        <f t="shared" si="105"/>
        <v>CL_MLP_PAO_IF_Ortho_00_01_00_</v>
      </c>
      <c r="F558" s="15" t="s">
        <v>460</v>
      </c>
      <c r="G558" s="15" t="s">
        <v>29</v>
      </c>
      <c r="J558" s="15" t="s">
        <v>30</v>
      </c>
      <c r="K558" s="2" t="str">
        <f t="shared" si="106"/>
        <v>https://sig.aminerals.cl/imgdyn/rest/services/CL_MLP_PAO/CL_MLP_PAO_IF_Ortho_Geosupport/ImageServer/file?id=.\\00_01_00\CL_MLP_PAO_IF_Ortho_00_01_00_.tif&amp;rasterId=</v>
      </c>
      <c r="L558" s="4" t="s">
        <v>31</v>
      </c>
      <c r="M558" s="4" t="s">
        <v>32</v>
      </c>
      <c r="N558" s="4" t="s">
        <v>33</v>
      </c>
      <c r="O558" s="4" t="s">
        <v>34</v>
      </c>
      <c r="P558" s="4" t="str">
        <f t="shared" si="100"/>
        <v>00</v>
      </c>
      <c r="Q558" s="4" t="str">
        <f t="shared" si="101"/>
        <v>01</v>
      </c>
      <c r="R558" s="4" t="str">
        <f t="shared" si="102"/>
        <v>00</v>
      </c>
      <c r="U558" s="4" t="s">
        <v>461</v>
      </c>
      <c r="V558" s="4" t="str">
        <f t="shared" si="103"/>
        <v/>
      </c>
      <c r="W558" s="4">
        <f t="shared" si="107"/>
        <v>0</v>
      </c>
      <c r="X558" s="4" t="b">
        <f t="shared" si="108"/>
        <v>0</v>
      </c>
      <c r="Y558" s="4" t="e">
        <f>VLOOKUP(D558,'Orden de Imagen'!$A$1:D634,4,FALSE())</f>
        <v>#N/A</v>
      </c>
      <c r="Z558" s="4" t="e">
        <f t="shared" si="109"/>
        <v>#N/A</v>
      </c>
    </row>
    <row r="559" spans="3:26" x14ac:dyDescent="0.25">
      <c r="C559" s="4" t="str">
        <f t="shared" si="104"/>
        <v>CL_MLP_PAO_IF_Ortho_00_01_00_.tif</v>
      </c>
      <c r="D559" s="4" t="str">
        <f t="shared" si="105"/>
        <v>CL_MLP_PAO_IF_Ortho_00_01_00_</v>
      </c>
      <c r="F559" s="15" t="s">
        <v>460</v>
      </c>
      <c r="G559" s="15" t="s">
        <v>29</v>
      </c>
      <c r="J559" s="15" t="s">
        <v>30</v>
      </c>
      <c r="K559" s="2" t="str">
        <f t="shared" si="106"/>
        <v>https://sig.aminerals.cl/imgdyn/rest/services/CL_MLP_PAO/CL_MLP_PAO_IF_Ortho_Geosupport/ImageServer/file?id=.\\00_01_00\CL_MLP_PAO_IF_Ortho_00_01_00_.tif&amp;rasterId=</v>
      </c>
      <c r="L559" s="4" t="s">
        <v>31</v>
      </c>
      <c r="M559" s="4" t="s">
        <v>32</v>
      </c>
      <c r="N559" s="4" t="s">
        <v>33</v>
      </c>
      <c r="O559" s="4" t="s">
        <v>34</v>
      </c>
      <c r="P559" s="4" t="str">
        <f t="shared" si="100"/>
        <v>00</v>
      </c>
      <c r="Q559" s="4" t="str">
        <f t="shared" si="101"/>
        <v>01</v>
      </c>
      <c r="R559" s="4" t="str">
        <f t="shared" si="102"/>
        <v>00</v>
      </c>
      <c r="U559" s="4" t="s">
        <v>461</v>
      </c>
      <c r="V559" s="4" t="str">
        <f t="shared" si="103"/>
        <v/>
      </c>
      <c r="W559" s="4">
        <f t="shared" si="107"/>
        <v>0</v>
      </c>
      <c r="X559" s="4" t="b">
        <f t="shared" si="108"/>
        <v>0</v>
      </c>
      <c r="Y559" s="4" t="e">
        <f>VLOOKUP(D559,'Orden de Imagen'!$A$1:D635,4,FALSE())</f>
        <v>#N/A</v>
      </c>
      <c r="Z559" s="4" t="e">
        <f t="shared" si="109"/>
        <v>#N/A</v>
      </c>
    </row>
    <row r="560" spans="3:26" x14ac:dyDescent="0.25">
      <c r="C560" s="4" t="str">
        <f t="shared" si="104"/>
        <v>CL_MLP_PAO_IF_Ortho_00_01_00_.tif</v>
      </c>
      <c r="D560" s="4" t="str">
        <f t="shared" si="105"/>
        <v>CL_MLP_PAO_IF_Ortho_00_01_00_</v>
      </c>
      <c r="F560" s="15" t="s">
        <v>460</v>
      </c>
      <c r="G560" s="15" t="s">
        <v>29</v>
      </c>
      <c r="J560" s="15" t="s">
        <v>30</v>
      </c>
      <c r="K560" s="2" t="str">
        <f t="shared" si="106"/>
        <v>https://sig.aminerals.cl/imgdyn/rest/services/CL_MLP_PAO/CL_MLP_PAO_IF_Ortho_Geosupport/ImageServer/file?id=.\\00_01_00\CL_MLP_PAO_IF_Ortho_00_01_00_.tif&amp;rasterId=</v>
      </c>
      <c r="L560" s="4" t="s">
        <v>31</v>
      </c>
      <c r="M560" s="4" t="s">
        <v>32</v>
      </c>
      <c r="N560" s="4" t="s">
        <v>33</v>
      </c>
      <c r="O560" s="4" t="s">
        <v>34</v>
      </c>
      <c r="P560" s="4" t="str">
        <f t="shared" si="100"/>
        <v>00</v>
      </c>
      <c r="Q560" s="4" t="str">
        <f t="shared" si="101"/>
        <v>01</v>
      </c>
      <c r="R560" s="4" t="str">
        <f t="shared" si="102"/>
        <v>00</v>
      </c>
      <c r="U560" s="4" t="s">
        <v>461</v>
      </c>
      <c r="V560" s="4" t="str">
        <f t="shared" si="103"/>
        <v/>
      </c>
      <c r="W560" s="4">
        <f t="shared" si="107"/>
        <v>0</v>
      </c>
      <c r="X560" s="4" t="b">
        <f t="shared" si="108"/>
        <v>0</v>
      </c>
      <c r="Y560" s="4" t="e">
        <f>VLOOKUP(D560,'Orden de Imagen'!$A$1:D636,4,FALSE())</f>
        <v>#N/A</v>
      </c>
      <c r="Z560" s="4" t="e">
        <f t="shared" si="109"/>
        <v>#N/A</v>
      </c>
    </row>
    <row r="561" spans="3:26" x14ac:dyDescent="0.25">
      <c r="C561" s="4" t="str">
        <f t="shared" si="104"/>
        <v>CL_MLP_PAO_IF_Ortho_00_01_00_.tif</v>
      </c>
      <c r="D561" s="4" t="str">
        <f t="shared" si="105"/>
        <v>CL_MLP_PAO_IF_Ortho_00_01_00_</v>
      </c>
      <c r="F561" s="15" t="s">
        <v>460</v>
      </c>
      <c r="G561" s="15" t="s">
        <v>29</v>
      </c>
      <c r="J561" s="15" t="s">
        <v>30</v>
      </c>
      <c r="K561" s="2" t="str">
        <f t="shared" si="106"/>
        <v>https://sig.aminerals.cl/imgdyn/rest/services/CL_MLP_PAO/CL_MLP_PAO_IF_Ortho_Geosupport/ImageServer/file?id=.\\00_01_00\CL_MLP_PAO_IF_Ortho_00_01_00_.tif&amp;rasterId=</v>
      </c>
      <c r="L561" s="4" t="s">
        <v>31</v>
      </c>
      <c r="M561" s="4" t="s">
        <v>32</v>
      </c>
      <c r="N561" s="4" t="s">
        <v>33</v>
      </c>
      <c r="O561" s="4" t="s">
        <v>34</v>
      </c>
      <c r="P561" s="4" t="str">
        <f t="shared" si="100"/>
        <v>00</v>
      </c>
      <c r="Q561" s="4" t="str">
        <f t="shared" si="101"/>
        <v>01</v>
      </c>
      <c r="R561" s="4" t="str">
        <f t="shared" si="102"/>
        <v>00</v>
      </c>
      <c r="U561" s="4" t="s">
        <v>461</v>
      </c>
      <c r="V561" s="4" t="str">
        <f t="shared" si="103"/>
        <v/>
      </c>
      <c r="W561" s="4">
        <f t="shared" si="107"/>
        <v>0</v>
      </c>
      <c r="X561" s="4" t="b">
        <f t="shared" si="108"/>
        <v>0</v>
      </c>
      <c r="Y561" s="4" t="e">
        <f>VLOOKUP(D561,'Orden de Imagen'!$A$1:D637,4,FALSE())</f>
        <v>#N/A</v>
      </c>
      <c r="Z561" s="4" t="e">
        <f t="shared" si="109"/>
        <v>#N/A</v>
      </c>
    </row>
    <row r="562" spans="3:26" x14ac:dyDescent="0.25">
      <c r="C562" s="4" t="str">
        <f t="shared" si="104"/>
        <v>CL_MLP_PAO_IF_Ortho_00_01_00_.tif</v>
      </c>
      <c r="D562" s="4" t="str">
        <f t="shared" si="105"/>
        <v>CL_MLP_PAO_IF_Ortho_00_01_00_</v>
      </c>
      <c r="F562" s="15" t="s">
        <v>460</v>
      </c>
      <c r="G562" s="15" t="s">
        <v>29</v>
      </c>
      <c r="J562" s="15" t="s">
        <v>30</v>
      </c>
      <c r="K562" s="2" t="str">
        <f t="shared" si="106"/>
        <v>https://sig.aminerals.cl/imgdyn/rest/services/CL_MLP_PAO/CL_MLP_PAO_IF_Ortho_Geosupport/ImageServer/file?id=.\\00_01_00\CL_MLP_PAO_IF_Ortho_00_01_00_.tif&amp;rasterId=</v>
      </c>
      <c r="L562" s="4" t="s">
        <v>31</v>
      </c>
      <c r="M562" s="4" t="s">
        <v>32</v>
      </c>
      <c r="N562" s="4" t="s">
        <v>33</v>
      </c>
      <c r="O562" s="4" t="s">
        <v>34</v>
      </c>
      <c r="P562" s="4" t="str">
        <f t="shared" si="100"/>
        <v>00</v>
      </c>
      <c r="Q562" s="4" t="str">
        <f t="shared" si="101"/>
        <v>01</v>
      </c>
      <c r="R562" s="4" t="str">
        <f t="shared" si="102"/>
        <v>00</v>
      </c>
      <c r="U562" s="4" t="s">
        <v>461</v>
      </c>
      <c r="V562" s="4" t="str">
        <f t="shared" si="103"/>
        <v/>
      </c>
      <c r="W562" s="4">
        <f t="shared" si="107"/>
        <v>0</v>
      </c>
      <c r="X562" s="4" t="b">
        <f t="shared" si="108"/>
        <v>0</v>
      </c>
      <c r="Y562" s="4" t="e">
        <f>VLOOKUP(D562,'Orden de Imagen'!$A$1:D638,4,FALSE())</f>
        <v>#N/A</v>
      </c>
      <c r="Z562" s="4" t="e">
        <f t="shared" si="109"/>
        <v>#N/A</v>
      </c>
    </row>
    <row r="563" spans="3:26" x14ac:dyDescent="0.25">
      <c r="C563" s="4" t="str">
        <f t="shared" si="104"/>
        <v>CL_MLP_PAO_IF_Ortho_00_01_00_.tif</v>
      </c>
      <c r="D563" s="4" t="str">
        <f t="shared" si="105"/>
        <v>CL_MLP_PAO_IF_Ortho_00_01_00_</v>
      </c>
      <c r="F563" s="15" t="s">
        <v>460</v>
      </c>
      <c r="G563" s="15" t="s">
        <v>29</v>
      </c>
      <c r="J563" s="15" t="s">
        <v>30</v>
      </c>
      <c r="K563" s="2" t="str">
        <f t="shared" si="106"/>
        <v>https://sig.aminerals.cl/imgdyn/rest/services/CL_MLP_PAO/CL_MLP_PAO_IF_Ortho_Geosupport/ImageServer/file?id=.\\00_01_00\CL_MLP_PAO_IF_Ortho_00_01_00_.tif&amp;rasterId=</v>
      </c>
      <c r="L563" s="4" t="s">
        <v>31</v>
      </c>
      <c r="M563" s="4" t="s">
        <v>32</v>
      </c>
      <c r="N563" s="4" t="s">
        <v>33</v>
      </c>
      <c r="O563" s="4" t="s">
        <v>34</v>
      </c>
      <c r="P563" s="4" t="str">
        <f t="shared" si="100"/>
        <v>00</v>
      </c>
      <c r="Q563" s="4" t="str">
        <f t="shared" si="101"/>
        <v>01</v>
      </c>
      <c r="R563" s="4" t="str">
        <f t="shared" si="102"/>
        <v>00</v>
      </c>
      <c r="U563" s="4" t="s">
        <v>461</v>
      </c>
      <c r="V563" s="4" t="str">
        <f t="shared" si="103"/>
        <v/>
      </c>
      <c r="W563" s="4">
        <f t="shared" si="107"/>
        <v>0</v>
      </c>
      <c r="X563" s="4" t="b">
        <f t="shared" si="108"/>
        <v>0</v>
      </c>
      <c r="Y563" s="4" t="e">
        <f>VLOOKUP(D563,'Orden de Imagen'!$A$1:D639,4,FALSE())</f>
        <v>#N/A</v>
      </c>
      <c r="Z563" s="4" t="e">
        <f t="shared" si="109"/>
        <v>#N/A</v>
      </c>
    </row>
    <row r="564" spans="3:26" x14ac:dyDescent="0.25">
      <c r="C564" s="4" t="str">
        <f t="shared" si="104"/>
        <v>CL_MLP_PAO_IF_Ortho_00_01_00_.tif</v>
      </c>
      <c r="D564" s="4" t="str">
        <f t="shared" si="105"/>
        <v>CL_MLP_PAO_IF_Ortho_00_01_00_</v>
      </c>
      <c r="F564" s="15" t="s">
        <v>460</v>
      </c>
      <c r="G564" s="15" t="s">
        <v>29</v>
      </c>
      <c r="J564" s="15" t="s">
        <v>30</v>
      </c>
      <c r="K564" s="2" t="str">
        <f t="shared" si="106"/>
        <v>https://sig.aminerals.cl/imgdyn/rest/services/CL_MLP_PAO/CL_MLP_PAO_IF_Ortho_Geosupport/ImageServer/file?id=.\\00_01_00\CL_MLP_PAO_IF_Ortho_00_01_00_.tif&amp;rasterId=</v>
      </c>
      <c r="L564" s="4" t="s">
        <v>31</v>
      </c>
      <c r="M564" s="4" t="s">
        <v>32</v>
      </c>
      <c r="N564" s="4" t="s">
        <v>33</v>
      </c>
      <c r="O564" s="4" t="s">
        <v>34</v>
      </c>
      <c r="P564" s="4" t="str">
        <f t="shared" si="100"/>
        <v>00</v>
      </c>
      <c r="Q564" s="4" t="str">
        <f t="shared" si="101"/>
        <v>01</v>
      </c>
      <c r="R564" s="4" t="str">
        <f t="shared" si="102"/>
        <v>00</v>
      </c>
      <c r="U564" s="4" t="s">
        <v>461</v>
      </c>
      <c r="V564" s="4" t="str">
        <f t="shared" si="103"/>
        <v/>
      </c>
      <c r="W564" s="4">
        <f t="shared" si="107"/>
        <v>0</v>
      </c>
      <c r="X564" s="4" t="b">
        <f t="shared" si="108"/>
        <v>0</v>
      </c>
      <c r="Y564" s="4" t="e">
        <f>VLOOKUP(D564,'Orden de Imagen'!$A$1:D640,4,FALSE())</f>
        <v>#N/A</v>
      </c>
      <c r="Z564" s="4" t="e">
        <f t="shared" si="109"/>
        <v>#N/A</v>
      </c>
    </row>
    <row r="565" spans="3:26" x14ac:dyDescent="0.25">
      <c r="C565" s="4" t="str">
        <f t="shared" si="104"/>
        <v>CL_MLP_PAO_IF_Ortho_00_01_00_.tif</v>
      </c>
      <c r="D565" s="4" t="str">
        <f t="shared" si="105"/>
        <v>CL_MLP_PAO_IF_Ortho_00_01_00_</v>
      </c>
      <c r="F565" s="15" t="s">
        <v>460</v>
      </c>
      <c r="G565" s="15" t="s">
        <v>29</v>
      </c>
      <c r="J565" s="15" t="s">
        <v>30</v>
      </c>
      <c r="K565" s="2" t="str">
        <f t="shared" si="106"/>
        <v>https://sig.aminerals.cl/imgdyn/rest/services/CL_MLP_PAO/CL_MLP_PAO_IF_Ortho_Geosupport/ImageServer/file?id=.\\00_01_00\CL_MLP_PAO_IF_Ortho_00_01_00_.tif&amp;rasterId=</v>
      </c>
      <c r="L565" s="4" t="s">
        <v>31</v>
      </c>
      <c r="M565" s="4" t="s">
        <v>32</v>
      </c>
      <c r="N565" s="4" t="s">
        <v>33</v>
      </c>
      <c r="O565" s="4" t="s">
        <v>34</v>
      </c>
      <c r="P565" s="4" t="str">
        <f t="shared" si="100"/>
        <v>00</v>
      </c>
      <c r="Q565" s="4" t="str">
        <f t="shared" si="101"/>
        <v>01</v>
      </c>
      <c r="R565" s="4" t="str">
        <f t="shared" si="102"/>
        <v>00</v>
      </c>
      <c r="U565" s="4" t="s">
        <v>461</v>
      </c>
      <c r="V565" s="4" t="str">
        <f t="shared" si="103"/>
        <v/>
      </c>
      <c r="W565" s="4">
        <f t="shared" si="107"/>
        <v>0</v>
      </c>
      <c r="X565" s="4" t="b">
        <f t="shared" si="108"/>
        <v>0</v>
      </c>
      <c r="Y565" s="4" t="e">
        <f>VLOOKUP(D565,'Orden de Imagen'!$A$1:D641,4,FALSE())</f>
        <v>#N/A</v>
      </c>
      <c r="Z565" s="4" t="e">
        <f t="shared" si="109"/>
        <v>#N/A</v>
      </c>
    </row>
    <row r="566" spans="3:26" x14ac:dyDescent="0.25">
      <c r="C566" s="4" t="str">
        <f t="shared" si="104"/>
        <v>CL_MLP_PAO_IF_Ortho_00_01_00_.tif</v>
      </c>
      <c r="D566" s="4" t="str">
        <f t="shared" si="105"/>
        <v>CL_MLP_PAO_IF_Ortho_00_01_00_</v>
      </c>
      <c r="F566" s="15" t="s">
        <v>460</v>
      </c>
      <c r="G566" s="15" t="s">
        <v>29</v>
      </c>
      <c r="J566" s="15" t="s">
        <v>30</v>
      </c>
      <c r="K566" s="2" t="str">
        <f t="shared" si="106"/>
        <v>https://sig.aminerals.cl/imgdyn/rest/services/CL_MLP_PAO/CL_MLP_PAO_IF_Ortho_Geosupport/ImageServer/file?id=.\\00_01_00\CL_MLP_PAO_IF_Ortho_00_01_00_.tif&amp;rasterId=</v>
      </c>
      <c r="L566" s="4" t="s">
        <v>31</v>
      </c>
      <c r="M566" s="4" t="s">
        <v>32</v>
      </c>
      <c r="N566" s="4" t="s">
        <v>33</v>
      </c>
      <c r="O566" s="4" t="s">
        <v>34</v>
      </c>
      <c r="P566" s="4" t="str">
        <f t="shared" si="100"/>
        <v>00</v>
      </c>
      <c r="Q566" s="4" t="str">
        <f t="shared" si="101"/>
        <v>01</v>
      </c>
      <c r="R566" s="4" t="str">
        <f t="shared" si="102"/>
        <v>00</v>
      </c>
      <c r="U566" s="4" t="s">
        <v>461</v>
      </c>
      <c r="V566" s="4" t="str">
        <f t="shared" si="103"/>
        <v/>
      </c>
      <c r="W566" s="4">
        <f t="shared" si="107"/>
        <v>0</v>
      </c>
      <c r="X566" s="4" t="b">
        <f t="shared" si="108"/>
        <v>0</v>
      </c>
      <c r="Y566" s="4" t="e">
        <f>VLOOKUP(D566,'Orden de Imagen'!$A$1:D642,4,FALSE())</f>
        <v>#N/A</v>
      </c>
      <c r="Z566" s="4" t="e">
        <f t="shared" si="109"/>
        <v>#N/A</v>
      </c>
    </row>
    <row r="567" spans="3:26" x14ac:dyDescent="0.25">
      <c r="C567" s="4" t="str">
        <f t="shared" si="104"/>
        <v>CL_MLP_PAO_IF_Ortho_00_01_00_.tif</v>
      </c>
      <c r="D567" s="4" t="str">
        <f t="shared" si="105"/>
        <v>CL_MLP_PAO_IF_Ortho_00_01_00_</v>
      </c>
      <c r="F567" s="15" t="s">
        <v>460</v>
      </c>
      <c r="G567" s="15" t="s">
        <v>29</v>
      </c>
      <c r="J567" s="15" t="s">
        <v>30</v>
      </c>
      <c r="K567" s="2" t="str">
        <f t="shared" si="106"/>
        <v>https://sig.aminerals.cl/imgdyn/rest/services/CL_MLP_PAO/CL_MLP_PAO_IF_Ortho_Geosupport/ImageServer/file?id=.\\00_01_00\CL_MLP_PAO_IF_Ortho_00_01_00_.tif&amp;rasterId=</v>
      </c>
      <c r="L567" s="4" t="s">
        <v>31</v>
      </c>
      <c r="M567" s="4" t="s">
        <v>32</v>
      </c>
      <c r="N567" s="4" t="s">
        <v>33</v>
      </c>
      <c r="O567" s="4" t="s">
        <v>34</v>
      </c>
      <c r="P567" s="4" t="str">
        <f t="shared" si="100"/>
        <v>00</v>
      </c>
      <c r="Q567" s="4" t="str">
        <f t="shared" si="101"/>
        <v>01</v>
      </c>
      <c r="R567" s="4" t="str">
        <f t="shared" si="102"/>
        <v>00</v>
      </c>
      <c r="U567" s="4" t="s">
        <v>461</v>
      </c>
      <c r="V567" s="4" t="str">
        <f t="shared" si="103"/>
        <v/>
      </c>
      <c r="W567" s="4">
        <f t="shared" si="107"/>
        <v>0</v>
      </c>
      <c r="X567" s="4" t="b">
        <f t="shared" si="108"/>
        <v>0</v>
      </c>
      <c r="Y567" s="4" t="e">
        <f>VLOOKUP(D567,'Orden de Imagen'!$A$1:D643,4,FALSE())</f>
        <v>#N/A</v>
      </c>
      <c r="Z567" s="4" t="e">
        <f t="shared" si="109"/>
        <v>#N/A</v>
      </c>
    </row>
    <row r="568" spans="3:26" x14ac:dyDescent="0.25">
      <c r="C568" s="4" t="str">
        <f t="shared" si="104"/>
        <v>CL_MLP_PAO_IF_Ortho_00_01_00_.tif</v>
      </c>
      <c r="D568" s="4" t="str">
        <f t="shared" si="105"/>
        <v>CL_MLP_PAO_IF_Ortho_00_01_00_</v>
      </c>
      <c r="F568" s="15" t="s">
        <v>460</v>
      </c>
      <c r="G568" s="15" t="s">
        <v>29</v>
      </c>
      <c r="J568" s="15" t="s">
        <v>30</v>
      </c>
      <c r="K568" s="2" t="str">
        <f t="shared" si="106"/>
        <v>https://sig.aminerals.cl/imgdyn/rest/services/CL_MLP_PAO/CL_MLP_PAO_IF_Ortho_Geosupport/ImageServer/file?id=.\\00_01_00\CL_MLP_PAO_IF_Ortho_00_01_00_.tif&amp;rasterId=</v>
      </c>
      <c r="L568" s="4" t="s">
        <v>31</v>
      </c>
      <c r="M568" s="4" t="s">
        <v>32</v>
      </c>
      <c r="N568" s="4" t="s">
        <v>33</v>
      </c>
      <c r="O568" s="4" t="s">
        <v>34</v>
      </c>
      <c r="P568" s="4" t="str">
        <f t="shared" si="100"/>
        <v>00</v>
      </c>
      <c r="Q568" s="4" t="str">
        <f t="shared" si="101"/>
        <v>01</v>
      </c>
      <c r="R568" s="4" t="str">
        <f t="shared" si="102"/>
        <v>00</v>
      </c>
      <c r="U568" s="4" t="s">
        <v>461</v>
      </c>
      <c r="V568" s="4" t="str">
        <f t="shared" si="103"/>
        <v/>
      </c>
      <c r="W568" s="4">
        <f t="shared" si="107"/>
        <v>0</v>
      </c>
      <c r="X568" s="4" t="b">
        <f t="shared" si="108"/>
        <v>0</v>
      </c>
      <c r="Y568" s="4" t="e">
        <f>VLOOKUP(D568,'Orden de Imagen'!$A$1:D644,4,FALSE())</f>
        <v>#N/A</v>
      </c>
      <c r="Z568" s="4" t="e">
        <f t="shared" si="109"/>
        <v>#N/A</v>
      </c>
    </row>
    <row r="569" spans="3:26" x14ac:dyDescent="0.25">
      <c r="C569" s="4" t="str">
        <f t="shared" si="104"/>
        <v>CL_MLP_PAO_IF_Ortho_00_01_00_.tif</v>
      </c>
      <c r="D569" s="4" t="str">
        <f t="shared" si="105"/>
        <v>CL_MLP_PAO_IF_Ortho_00_01_00_</v>
      </c>
      <c r="F569" s="15" t="s">
        <v>460</v>
      </c>
      <c r="G569" s="15" t="s">
        <v>29</v>
      </c>
      <c r="J569" s="15" t="s">
        <v>30</v>
      </c>
      <c r="K569" s="2" t="str">
        <f t="shared" si="106"/>
        <v>https://sig.aminerals.cl/imgdyn/rest/services/CL_MLP_PAO/CL_MLP_PAO_IF_Ortho_Geosupport/ImageServer/file?id=.\\00_01_00\CL_MLP_PAO_IF_Ortho_00_01_00_.tif&amp;rasterId=</v>
      </c>
      <c r="L569" s="4" t="s">
        <v>31</v>
      </c>
      <c r="M569" s="4" t="s">
        <v>32</v>
      </c>
      <c r="N569" s="4" t="s">
        <v>33</v>
      </c>
      <c r="O569" s="4" t="s">
        <v>34</v>
      </c>
      <c r="P569" s="4" t="str">
        <f t="shared" si="100"/>
        <v>00</v>
      </c>
      <c r="Q569" s="4" t="str">
        <f t="shared" si="101"/>
        <v>01</v>
      </c>
      <c r="R569" s="4" t="str">
        <f t="shared" si="102"/>
        <v>00</v>
      </c>
      <c r="U569" s="4" t="s">
        <v>461</v>
      </c>
      <c r="V569" s="4" t="str">
        <f t="shared" si="103"/>
        <v/>
      </c>
      <c r="W569" s="4">
        <f t="shared" si="107"/>
        <v>0</v>
      </c>
      <c r="X569" s="4" t="b">
        <f t="shared" si="108"/>
        <v>0</v>
      </c>
      <c r="Y569" s="4" t="e">
        <f>VLOOKUP(D569,'Orden de Imagen'!$A$1:D645,4,FALSE())</f>
        <v>#N/A</v>
      </c>
      <c r="Z569" s="4" t="e">
        <f t="shared" si="109"/>
        <v>#N/A</v>
      </c>
    </row>
    <row r="570" spans="3:26" x14ac:dyDescent="0.25">
      <c r="C570" s="4" t="str">
        <f t="shared" si="104"/>
        <v>CL_MLP_PAO_IF_Ortho_00_01_00_.tif</v>
      </c>
      <c r="D570" s="4" t="str">
        <f t="shared" si="105"/>
        <v>CL_MLP_PAO_IF_Ortho_00_01_00_</v>
      </c>
      <c r="F570" s="15" t="s">
        <v>460</v>
      </c>
      <c r="G570" s="15" t="s">
        <v>29</v>
      </c>
      <c r="J570" s="15" t="s">
        <v>30</v>
      </c>
      <c r="K570" s="2" t="str">
        <f t="shared" si="106"/>
        <v>https://sig.aminerals.cl/imgdyn/rest/services/CL_MLP_PAO/CL_MLP_PAO_IF_Ortho_Geosupport/ImageServer/file?id=.\\00_01_00\CL_MLP_PAO_IF_Ortho_00_01_00_.tif&amp;rasterId=</v>
      </c>
      <c r="L570" s="4" t="s">
        <v>31</v>
      </c>
      <c r="M570" s="4" t="s">
        <v>32</v>
      </c>
      <c r="N570" s="4" t="s">
        <v>33</v>
      </c>
      <c r="O570" s="4" t="s">
        <v>34</v>
      </c>
      <c r="P570" s="4" t="str">
        <f t="shared" si="100"/>
        <v>00</v>
      </c>
      <c r="Q570" s="4" t="str">
        <f t="shared" si="101"/>
        <v>01</v>
      </c>
      <c r="R570" s="4" t="str">
        <f t="shared" si="102"/>
        <v>00</v>
      </c>
      <c r="U570" s="4" t="s">
        <v>461</v>
      </c>
      <c r="V570" s="4" t="str">
        <f t="shared" si="103"/>
        <v/>
      </c>
      <c r="W570" s="4">
        <f t="shared" si="107"/>
        <v>0</v>
      </c>
      <c r="X570" s="4" t="b">
        <f t="shared" si="108"/>
        <v>0</v>
      </c>
      <c r="Y570" s="4" t="e">
        <f>VLOOKUP(D570,'Orden de Imagen'!$A$1:D646,4,FALSE())</f>
        <v>#N/A</v>
      </c>
      <c r="Z570" s="4" t="e">
        <f t="shared" si="109"/>
        <v>#N/A</v>
      </c>
    </row>
    <row r="571" spans="3:26" x14ac:dyDescent="0.25">
      <c r="C571" s="4" t="str">
        <f t="shared" si="104"/>
        <v>CL_MLP_PAO_IF_Ortho_00_01_00_.tif</v>
      </c>
      <c r="D571" s="4" t="str">
        <f t="shared" si="105"/>
        <v>CL_MLP_PAO_IF_Ortho_00_01_00_</v>
      </c>
      <c r="F571" s="15" t="s">
        <v>460</v>
      </c>
      <c r="G571" s="15" t="s">
        <v>29</v>
      </c>
      <c r="J571" s="15" t="s">
        <v>30</v>
      </c>
      <c r="K571" s="2" t="str">
        <f t="shared" si="106"/>
        <v>https://sig.aminerals.cl/imgdyn/rest/services/CL_MLP_PAO/CL_MLP_PAO_IF_Ortho_Geosupport/ImageServer/file?id=.\\00_01_00\CL_MLP_PAO_IF_Ortho_00_01_00_.tif&amp;rasterId=</v>
      </c>
      <c r="L571" s="4" t="s">
        <v>31</v>
      </c>
      <c r="M571" s="4" t="s">
        <v>32</v>
      </c>
      <c r="N571" s="4" t="s">
        <v>33</v>
      </c>
      <c r="O571" s="4" t="s">
        <v>34</v>
      </c>
      <c r="P571" s="4" t="str">
        <f t="shared" si="100"/>
        <v>00</v>
      </c>
      <c r="Q571" s="4" t="str">
        <f t="shared" si="101"/>
        <v>01</v>
      </c>
      <c r="R571" s="4" t="str">
        <f t="shared" si="102"/>
        <v>00</v>
      </c>
      <c r="U571" s="4" t="s">
        <v>461</v>
      </c>
      <c r="V571" s="4" t="str">
        <f t="shared" si="103"/>
        <v/>
      </c>
      <c r="W571" s="4">
        <f t="shared" si="107"/>
        <v>0</v>
      </c>
      <c r="X571" s="4" t="b">
        <f t="shared" si="108"/>
        <v>0</v>
      </c>
      <c r="Y571" s="4" t="e">
        <f>VLOOKUP(D571,'Orden de Imagen'!$A$1:D647,4,FALSE())</f>
        <v>#N/A</v>
      </c>
      <c r="Z571" s="4" t="e">
        <f t="shared" si="109"/>
        <v>#N/A</v>
      </c>
    </row>
    <row r="572" spans="3:26" x14ac:dyDescent="0.25">
      <c r="C572" s="4" t="str">
        <f t="shared" si="104"/>
        <v>CL_MLP_PAO_IF_Ortho_00_01_00_.tif</v>
      </c>
      <c r="D572" s="4" t="str">
        <f t="shared" si="105"/>
        <v>CL_MLP_PAO_IF_Ortho_00_01_00_</v>
      </c>
      <c r="F572" s="15" t="s">
        <v>460</v>
      </c>
      <c r="G572" s="15" t="s">
        <v>29</v>
      </c>
      <c r="J572" s="15" t="s">
        <v>30</v>
      </c>
      <c r="K572" s="2" t="str">
        <f t="shared" si="106"/>
        <v>https://sig.aminerals.cl/imgdyn/rest/services/CL_MLP_PAO/CL_MLP_PAO_IF_Ortho_Geosupport/ImageServer/file?id=.\\00_01_00\CL_MLP_PAO_IF_Ortho_00_01_00_.tif&amp;rasterId=</v>
      </c>
      <c r="L572" s="4" t="s">
        <v>31</v>
      </c>
      <c r="M572" s="4" t="s">
        <v>32</v>
      </c>
      <c r="N572" s="4" t="s">
        <v>33</v>
      </c>
      <c r="O572" s="4" t="s">
        <v>34</v>
      </c>
      <c r="P572" s="4" t="str">
        <f t="shared" si="100"/>
        <v>00</v>
      </c>
      <c r="Q572" s="4" t="str">
        <f t="shared" si="101"/>
        <v>01</v>
      </c>
      <c r="R572" s="4" t="str">
        <f t="shared" si="102"/>
        <v>00</v>
      </c>
      <c r="U572" s="4" t="s">
        <v>461</v>
      </c>
      <c r="V572" s="4" t="str">
        <f t="shared" si="103"/>
        <v/>
      </c>
      <c r="W572" s="4">
        <f t="shared" si="107"/>
        <v>0</v>
      </c>
      <c r="X572" s="4" t="b">
        <f t="shared" si="108"/>
        <v>0</v>
      </c>
      <c r="Y572" s="4" t="e">
        <f>VLOOKUP(D572,'Orden de Imagen'!$A$1:D648,4,FALSE())</f>
        <v>#N/A</v>
      </c>
      <c r="Z572" s="4" t="e">
        <f t="shared" si="109"/>
        <v>#N/A</v>
      </c>
    </row>
    <row r="573" spans="3:26" x14ac:dyDescent="0.25">
      <c r="C573" s="4" t="str">
        <f t="shared" si="104"/>
        <v>CL_MLP_PAO_IF_Ortho_00_01_00_.tif</v>
      </c>
      <c r="D573" s="4" t="str">
        <f t="shared" si="105"/>
        <v>CL_MLP_PAO_IF_Ortho_00_01_00_</v>
      </c>
      <c r="F573" s="15" t="s">
        <v>460</v>
      </c>
      <c r="G573" s="15" t="s">
        <v>29</v>
      </c>
      <c r="J573" s="15" t="s">
        <v>30</v>
      </c>
      <c r="K573" s="2" t="str">
        <f t="shared" si="106"/>
        <v>https://sig.aminerals.cl/imgdyn/rest/services/CL_MLP_PAO/CL_MLP_PAO_IF_Ortho_Geosupport/ImageServer/file?id=.\\00_01_00\CL_MLP_PAO_IF_Ortho_00_01_00_.tif&amp;rasterId=</v>
      </c>
      <c r="L573" s="4" t="s">
        <v>31</v>
      </c>
      <c r="M573" s="4" t="s">
        <v>32</v>
      </c>
      <c r="N573" s="4" t="s">
        <v>33</v>
      </c>
      <c r="O573" s="4" t="s">
        <v>34</v>
      </c>
      <c r="P573" s="4" t="str">
        <f t="shared" si="100"/>
        <v>00</v>
      </c>
      <c r="Q573" s="4" t="str">
        <f t="shared" si="101"/>
        <v>01</v>
      </c>
      <c r="R573" s="4" t="str">
        <f t="shared" si="102"/>
        <v>00</v>
      </c>
      <c r="U573" s="4" t="s">
        <v>461</v>
      </c>
      <c r="V573" s="4" t="str">
        <f t="shared" si="103"/>
        <v/>
      </c>
      <c r="W573" s="4">
        <f t="shared" si="107"/>
        <v>0</v>
      </c>
      <c r="X573" s="4" t="b">
        <f t="shared" si="108"/>
        <v>0</v>
      </c>
      <c r="Y573" s="4" t="e">
        <f>VLOOKUP(D573,'Orden de Imagen'!$A$1:D649,4,FALSE())</f>
        <v>#N/A</v>
      </c>
      <c r="Z573" s="4" t="e">
        <f t="shared" si="109"/>
        <v>#N/A</v>
      </c>
    </row>
    <row r="574" spans="3:26" x14ac:dyDescent="0.25">
      <c r="C574" s="4" t="str">
        <f t="shared" si="104"/>
        <v>CL_MLP_PAO_IF_Ortho_00_01_00_.tif</v>
      </c>
      <c r="D574" s="4" t="str">
        <f t="shared" si="105"/>
        <v>CL_MLP_PAO_IF_Ortho_00_01_00_</v>
      </c>
      <c r="F574" s="15" t="s">
        <v>460</v>
      </c>
      <c r="G574" s="15" t="s">
        <v>29</v>
      </c>
      <c r="J574" s="15" t="s">
        <v>30</v>
      </c>
      <c r="K574" s="2" t="str">
        <f t="shared" si="106"/>
        <v>https://sig.aminerals.cl/imgdyn/rest/services/CL_MLP_PAO/CL_MLP_PAO_IF_Ortho_Geosupport/ImageServer/file?id=.\\00_01_00\CL_MLP_PAO_IF_Ortho_00_01_00_.tif&amp;rasterId=</v>
      </c>
      <c r="L574" s="4" t="s">
        <v>31</v>
      </c>
      <c r="M574" s="4" t="s">
        <v>32</v>
      </c>
      <c r="N574" s="4" t="s">
        <v>33</v>
      </c>
      <c r="O574" s="4" t="s">
        <v>34</v>
      </c>
      <c r="P574" s="4" t="str">
        <f t="shared" si="100"/>
        <v>00</v>
      </c>
      <c r="Q574" s="4" t="str">
        <f t="shared" si="101"/>
        <v>01</v>
      </c>
      <c r="R574" s="4" t="str">
        <f t="shared" si="102"/>
        <v>00</v>
      </c>
      <c r="U574" s="4" t="s">
        <v>461</v>
      </c>
      <c r="V574" s="4" t="str">
        <f t="shared" si="103"/>
        <v/>
      </c>
      <c r="W574" s="4">
        <f t="shared" si="107"/>
        <v>0</v>
      </c>
      <c r="X574" s="4" t="b">
        <f t="shared" si="108"/>
        <v>0</v>
      </c>
      <c r="Y574" s="4" t="e">
        <f>VLOOKUP(D574,'Orden de Imagen'!$A$1:D650,4,FALSE())</f>
        <v>#N/A</v>
      </c>
      <c r="Z574" s="4" t="e">
        <f t="shared" si="109"/>
        <v>#N/A</v>
      </c>
    </row>
    <row r="575" spans="3:26" x14ac:dyDescent="0.25">
      <c r="C575" s="4" t="str">
        <f t="shared" si="104"/>
        <v>CL_MLP_PAO_IF_Ortho_00_01_00_.tif</v>
      </c>
      <c r="D575" s="4" t="str">
        <f t="shared" si="105"/>
        <v>CL_MLP_PAO_IF_Ortho_00_01_00_</v>
      </c>
      <c r="F575" s="15" t="s">
        <v>460</v>
      </c>
      <c r="G575" s="15" t="s">
        <v>29</v>
      </c>
      <c r="J575" s="15" t="s">
        <v>30</v>
      </c>
      <c r="K575" s="2" t="str">
        <f t="shared" si="106"/>
        <v>https://sig.aminerals.cl/imgdyn/rest/services/CL_MLP_PAO/CL_MLP_PAO_IF_Ortho_Geosupport/ImageServer/file?id=.\\00_01_00\CL_MLP_PAO_IF_Ortho_00_01_00_.tif&amp;rasterId=</v>
      </c>
      <c r="L575" s="4" t="s">
        <v>31</v>
      </c>
      <c r="M575" s="4" t="s">
        <v>32</v>
      </c>
      <c r="N575" s="4" t="s">
        <v>33</v>
      </c>
      <c r="O575" s="4" t="s">
        <v>34</v>
      </c>
      <c r="P575" s="4" t="str">
        <f t="shared" si="100"/>
        <v>00</v>
      </c>
      <c r="Q575" s="4" t="str">
        <f t="shared" si="101"/>
        <v>01</v>
      </c>
      <c r="R575" s="4" t="str">
        <f t="shared" si="102"/>
        <v>00</v>
      </c>
      <c r="U575" s="4" t="s">
        <v>461</v>
      </c>
      <c r="V575" s="4" t="str">
        <f t="shared" si="103"/>
        <v/>
      </c>
      <c r="W575" s="4">
        <f t="shared" si="107"/>
        <v>0</v>
      </c>
      <c r="X575" s="4" t="b">
        <f t="shared" si="108"/>
        <v>0</v>
      </c>
      <c r="Y575" s="4" t="e">
        <f>VLOOKUP(D575,'Orden de Imagen'!$A$1:D651,4,FALSE())</f>
        <v>#N/A</v>
      </c>
      <c r="Z575" s="4" t="e">
        <f t="shared" si="109"/>
        <v>#N/A</v>
      </c>
    </row>
    <row r="576" spans="3:26" x14ac:dyDescent="0.25">
      <c r="C576" s="4" t="str">
        <f t="shared" si="104"/>
        <v>CL_MLP_PAO_IF_Ortho_00_01_00_.tif</v>
      </c>
      <c r="D576" s="4" t="str">
        <f t="shared" si="105"/>
        <v>CL_MLP_PAO_IF_Ortho_00_01_00_</v>
      </c>
      <c r="F576" s="15" t="s">
        <v>460</v>
      </c>
      <c r="G576" s="15" t="s">
        <v>29</v>
      </c>
      <c r="J576" s="15" t="s">
        <v>30</v>
      </c>
      <c r="K576" s="2" t="str">
        <f t="shared" si="106"/>
        <v>https://sig.aminerals.cl/imgdyn/rest/services/CL_MLP_PAO/CL_MLP_PAO_IF_Ortho_Geosupport/ImageServer/file?id=.\\00_01_00\CL_MLP_PAO_IF_Ortho_00_01_00_.tif&amp;rasterId=</v>
      </c>
      <c r="L576" s="4" t="s">
        <v>31</v>
      </c>
      <c r="M576" s="4" t="s">
        <v>32</v>
      </c>
      <c r="N576" s="4" t="s">
        <v>33</v>
      </c>
      <c r="O576" s="4" t="s">
        <v>34</v>
      </c>
      <c r="P576" s="4" t="str">
        <f t="shared" si="100"/>
        <v>00</v>
      </c>
      <c r="Q576" s="4" t="str">
        <f t="shared" si="101"/>
        <v>01</v>
      </c>
      <c r="R576" s="4" t="str">
        <f t="shared" si="102"/>
        <v>00</v>
      </c>
      <c r="U576" s="4" t="s">
        <v>461</v>
      </c>
      <c r="V576" s="4" t="str">
        <f t="shared" si="103"/>
        <v/>
      </c>
      <c r="W576" s="4">
        <f t="shared" si="107"/>
        <v>0</v>
      </c>
      <c r="X576" s="4" t="b">
        <f t="shared" si="108"/>
        <v>0</v>
      </c>
      <c r="Y576" s="4" t="e">
        <f>VLOOKUP(D576,'Orden de Imagen'!$A$1:D652,4,FALSE())</f>
        <v>#N/A</v>
      </c>
      <c r="Z576" s="4" t="e">
        <f t="shared" si="109"/>
        <v>#N/A</v>
      </c>
    </row>
    <row r="577" spans="3:26" x14ac:dyDescent="0.25">
      <c r="C577" s="4" t="str">
        <f t="shared" si="104"/>
        <v>CL_MLP_PAO_IF_Ortho_00_01_00_.tif</v>
      </c>
      <c r="D577" s="4" t="str">
        <f t="shared" si="105"/>
        <v>CL_MLP_PAO_IF_Ortho_00_01_00_</v>
      </c>
      <c r="F577" s="15" t="s">
        <v>460</v>
      </c>
      <c r="G577" s="15" t="s">
        <v>29</v>
      </c>
      <c r="J577" s="15" t="s">
        <v>30</v>
      </c>
      <c r="K577" s="2" t="str">
        <f t="shared" si="106"/>
        <v>https://sig.aminerals.cl/imgdyn/rest/services/CL_MLP_PAO/CL_MLP_PAO_IF_Ortho_Geosupport/ImageServer/file?id=.\\00_01_00\CL_MLP_PAO_IF_Ortho_00_01_00_.tif&amp;rasterId=</v>
      </c>
      <c r="L577" s="4" t="s">
        <v>31</v>
      </c>
      <c r="M577" s="4" t="s">
        <v>32</v>
      </c>
      <c r="N577" s="4" t="s">
        <v>33</v>
      </c>
      <c r="O577" s="4" t="s">
        <v>34</v>
      </c>
      <c r="P577" s="4" t="str">
        <f t="shared" si="100"/>
        <v>00</v>
      </c>
      <c r="Q577" s="4" t="str">
        <f t="shared" si="101"/>
        <v>01</v>
      </c>
      <c r="R577" s="4" t="str">
        <f t="shared" si="102"/>
        <v>00</v>
      </c>
      <c r="U577" s="4" t="s">
        <v>461</v>
      </c>
      <c r="V577" s="4" t="str">
        <f t="shared" si="103"/>
        <v/>
      </c>
      <c r="W577" s="4">
        <f t="shared" si="107"/>
        <v>0</v>
      </c>
      <c r="X577" s="4" t="b">
        <f t="shared" si="108"/>
        <v>0</v>
      </c>
      <c r="Y577" s="4" t="e">
        <f>VLOOKUP(D577,'Orden de Imagen'!$A$1:D653,4,FALSE())</f>
        <v>#N/A</v>
      </c>
      <c r="Z577" s="4" t="e">
        <f t="shared" si="109"/>
        <v>#N/A</v>
      </c>
    </row>
    <row r="578" spans="3:26" x14ac:dyDescent="0.25">
      <c r="C578" s="4" t="str">
        <f t="shared" si="104"/>
        <v>CL_MLP_PAO_IF_Ortho_00_01_00_.tif</v>
      </c>
      <c r="D578" s="4" t="str">
        <f t="shared" si="105"/>
        <v>CL_MLP_PAO_IF_Ortho_00_01_00_</v>
      </c>
      <c r="F578" s="15" t="s">
        <v>460</v>
      </c>
      <c r="G578" s="15" t="s">
        <v>29</v>
      </c>
      <c r="J578" s="15" t="s">
        <v>30</v>
      </c>
      <c r="K578" s="2" t="str">
        <f t="shared" si="106"/>
        <v>https://sig.aminerals.cl/imgdyn/rest/services/CL_MLP_PAO/CL_MLP_PAO_IF_Ortho_Geosupport/ImageServer/file?id=.\\00_01_00\CL_MLP_PAO_IF_Ortho_00_01_00_.tif&amp;rasterId=</v>
      </c>
      <c r="L578" s="4" t="s">
        <v>31</v>
      </c>
      <c r="M578" s="4" t="s">
        <v>32</v>
      </c>
      <c r="N578" s="4" t="s">
        <v>33</v>
      </c>
      <c r="O578" s="4" t="s">
        <v>34</v>
      </c>
      <c r="P578" s="4" t="str">
        <f t="shared" ref="P578:P591" si="110">TEXT(H578,"dd")</f>
        <v>00</v>
      </c>
      <c r="Q578" s="4" t="str">
        <f t="shared" ref="Q578:Q591" si="111">TEXT(H578,"MM")</f>
        <v>01</v>
      </c>
      <c r="R578" s="4" t="str">
        <f t="shared" ref="R578:R591" si="112">TEXT(H578,"YY")</f>
        <v>00</v>
      </c>
      <c r="U578" s="4" t="s">
        <v>461</v>
      </c>
      <c r="V578" s="4" t="str">
        <f t="shared" ref="V578:V591" si="113">RIGHT(D578,LEN(D578)-29)</f>
        <v/>
      </c>
      <c r="W578" s="4">
        <f t="shared" si="107"/>
        <v>0</v>
      </c>
      <c r="X578" s="4" t="b">
        <f t="shared" si="108"/>
        <v>0</v>
      </c>
      <c r="Y578" s="4" t="e">
        <f>VLOOKUP(D578,'Orden de Imagen'!$A$1:D654,4,FALSE())</f>
        <v>#N/A</v>
      </c>
      <c r="Z578" s="4" t="e">
        <f t="shared" si="109"/>
        <v>#N/A</v>
      </c>
    </row>
    <row r="579" spans="3:26" x14ac:dyDescent="0.25">
      <c r="C579" s="4" t="str">
        <f t="shared" si="104"/>
        <v>CL_MLP_PAO_IF_Ortho_00_01_00_.tif</v>
      </c>
      <c r="D579" s="4" t="str">
        <f t="shared" si="105"/>
        <v>CL_MLP_PAO_IF_Ortho_00_01_00_</v>
      </c>
      <c r="F579" s="15" t="s">
        <v>460</v>
      </c>
      <c r="G579" s="15" t="s">
        <v>29</v>
      </c>
      <c r="J579" s="15" t="s">
        <v>30</v>
      </c>
      <c r="K579" s="2" t="str">
        <f t="shared" si="106"/>
        <v>https://sig.aminerals.cl/imgdyn/rest/services/CL_MLP_PAO/CL_MLP_PAO_IF_Ortho_Geosupport/ImageServer/file?id=.\\00_01_00\CL_MLP_PAO_IF_Ortho_00_01_00_.tif&amp;rasterId=</v>
      </c>
      <c r="L579" s="4" t="s">
        <v>31</v>
      </c>
      <c r="M579" s="4" t="s">
        <v>32</v>
      </c>
      <c r="N579" s="4" t="s">
        <v>33</v>
      </c>
      <c r="O579" s="4" t="s">
        <v>34</v>
      </c>
      <c r="P579" s="4" t="str">
        <f t="shared" si="110"/>
        <v>00</v>
      </c>
      <c r="Q579" s="4" t="str">
        <f t="shared" si="111"/>
        <v>01</v>
      </c>
      <c r="R579" s="4" t="str">
        <f t="shared" si="112"/>
        <v>00</v>
      </c>
      <c r="U579" s="4" t="s">
        <v>461</v>
      </c>
      <c r="V579" s="4" t="str">
        <f t="shared" si="113"/>
        <v/>
      </c>
      <c r="W579" s="4">
        <f t="shared" si="107"/>
        <v>0</v>
      </c>
      <c r="X579" s="4" t="b">
        <f t="shared" si="108"/>
        <v>0</v>
      </c>
      <c r="Y579" s="4" t="e">
        <f>VLOOKUP(D579,'Orden de Imagen'!$A$1:D655,4,FALSE())</f>
        <v>#N/A</v>
      </c>
      <c r="Z579" s="4" t="e">
        <f t="shared" si="109"/>
        <v>#N/A</v>
      </c>
    </row>
    <row r="580" spans="3:26" x14ac:dyDescent="0.25">
      <c r="C580" s="4" t="str">
        <f t="shared" si="104"/>
        <v>CL_MLP_PAO_IF_Ortho_00_01_00_.tif</v>
      </c>
      <c r="D580" s="4" t="str">
        <f t="shared" si="105"/>
        <v>CL_MLP_PAO_IF_Ortho_00_01_00_</v>
      </c>
      <c r="F580" s="15" t="s">
        <v>460</v>
      </c>
      <c r="G580" s="15" t="s">
        <v>29</v>
      </c>
      <c r="J580" s="15" t="s">
        <v>30</v>
      </c>
      <c r="K580" s="2" t="str">
        <f t="shared" si="106"/>
        <v>https://sig.aminerals.cl/imgdyn/rest/services/CL_MLP_PAO/CL_MLP_PAO_IF_Ortho_Geosupport/ImageServer/file?id=.\\00_01_00\CL_MLP_PAO_IF_Ortho_00_01_00_.tif&amp;rasterId=</v>
      </c>
      <c r="L580" s="4" t="s">
        <v>31</v>
      </c>
      <c r="M580" s="4" t="s">
        <v>32</v>
      </c>
      <c r="N580" s="4" t="s">
        <v>33</v>
      </c>
      <c r="O580" s="4" t="s">
        <v>34</v>
      </c>
      <c r="P580" s="4" t="str">
        <f t="shared" si="110"/>
        <v>00</v>
      </c>
      <c r="Q580" s="4" t="str">
        <f t="shared" si="111"/>
        <v>01</v>
      </c>
      <c r="R580" s="4" t="str">
        <f t="shared" si="112"/>
        <v>00</v>
      </c>
      <c r="U580" s="4" t="s">
        <v>461</v>
      </c>
      <c r="V580" s="4" t="str">
        <f t="shared" si="113"/>
        <v/>
      </c>
      <c r="W580" s="4">
        <f t="shared" si="107"/>
        <v>0</v>
      </c>
      <c r="X580" s="4" t="b">
        <f t="shared" si="108"/>
        <v>0</v>
      </c>
      <c r="Y580" s="4" t="e">
        <f>VLOOKUP(D580,'Orden de Imagen'!$A$1:D656,4,FALSE())</f>
        <v>#N/A</v>
      </c>
      <c r="Z580" s="4" t="e">
        <f t="shared" si="109"/>
        <v>#N/A</v>
      </c>
    </row>
    <row r="581" spans="3:26" x14ac:dyDescent="0.25">
      <c r="C581" s="4" t="str">
        <f t="shared" si="104"/>
        <v>CL_MLP_PAO_IF_Ortho_00_01_00_.tif</v>
      </c>
      <c r="D581" s="4" t="str">
        <f t="shared" si="105"/>
        <v>CL_MLP_PAO_IF_Ortho_00_01_00_</v>
      </c>
      <c r="F581" s="15" t="s">
        <v>460</v>
      </c>
      <c r="G581" s="15" t="s">
        <v>29</v>
      </c>
      <c r="J581" s="15" t="s">
        <v>30</v>
      </c>
      <c r="K581" s="2" t="str">
        <f t="shared" si="106"/>
        <v>https://sig.aminerals.cl/imgdyn/rest/services/CL_MLP_PAO/CL_MLP_PAO_IF_Ortho_Geosupport/ImageServer/file?id=.\\00_01_00\CL_MLP_PAO_IF_Ortho_00_01_00_.tif&amp;rasterId=</v>
      </c>
      <c r="L581" s="4" t="s">
        <v>31</v>
      </c>
      <c r="M581" s="4" t="s">
        <v>32</v>
      </c>
      <c r="N581" s="4" t="s">
        <v>33</v>
      </c>
      <c r="O581" s="4" t="s">
        <v>34</v>
      </c>
      <c r="P581" s="4" t="str">
        <f t="shared" si="110"/>
        <v>00</v>
      </c>
      <c r="Q581" s="4" t="str">
        <f t="shared" si="111"/>
        <v>01</v>
      </c>
      <c r="R581" s="4" t="str">
        <f t="shared" si="112"/>
        <v>00</v>
      </c>
      <c r="U581" s="4" t="s">
        <v>461</v>
      </c>
      <c r="V581" s="4" t="str">
        <f t="shared" si="113"/>
        <v/>
      </c>
      <c r="W581" s="4">
        <f t="shared" si="107"/>
        <v>0</v>
      </c>
      <c r="X581" s="4" t="b">
        <f t="shared" si="108"/>
        <v>0</v>
      </c>
      <c r="Y581" s="4" t="e">
        <f>VLOOKUP(D581,'Orden de Imagen'!$A$1:D657,4,FALSE())</f>
        <v>#N/A</v>
      </c>
      <c r="Z581" s="4" t="e">
        <f t="shared" si="109"/>
        <v>#N/A</v>
      </c>
    </row>
    <row r="582" spans="3:26" x14ac:dyDescent="0.25">
      <c r="C582" s="4" t="str">
        <f t="shared" si="104"/>
        <v>CL_MLP_PAO_IF_Ortho_00_01_00_.tif</v>
      </c>
      <c r="D582" s="4" t="str">
        <f t="shared" si="105"/>
        <v>CL_MLP_PAO_IF_Ortho_00_01_00_</v>
      </c>
      <c r="F582" s="15" t="s">
        <v>460</v>
      </c>
      <c r="G582" s="15" t="s">
        <v>29</v>
      </c>
      <c r="J582" s="15" t="s">
        <v>30</v>
      </c>
      <c r="K582" s="2" t="str">
        <f t="shared" si="106"/>
        <v>https://sig.aminerals.cl/imgdyn/rest/services/CL_MLP_PAO/CL_MLP_PAO_IF_Ortho_Geosupport/ImageServer/file?id=.\\00_01_00\CL_MLP_PAO_IF_Ortho_00_01_00_.tif&amp;rasterId=</v>
      </c>
      <c r="L582" s="4" t="s">
        <v>31</v>
      </c>
      <c r="M582" s="4" t="s">
        <v>32</v>
      </c>
      <c r="N582" s="4" t="s">
        <v>33</v>
      </c>
      <c r="O582" s="4" t="s">
        <v>34</v>
      </c>
      <c r="P582" s="4" t="str">
        <f t="shared" si="110"/>
        <v>00</v>
      </c>
      <c r="Q582" s="4" t="str">
        <f t="shared" si="111"/>
        <v>01</v>
      </c>
      <c r="R582" s="4" t="str">
        <f t="shared" si="112"/>
        <v>00</v>
      </c>
      <c r="U582" s="4" t="s">
        <v>461</v>
      </c>
      <c r="V582" s="4" t="str">
        <f t="shared" si="113"/>
        <v/>
      </c>
      <c r="W582" s="4">
        <f t="shared" si="107"/>
        <v>0</v>
      </c>
      <c r="X582" s="4" t="b">
        <f t="shared" si="108"/>
        <v>0</v>
      </c>
      <c r="Y582" s="4" t="e">
        <f>VLOOKUP(D582,'Orden de Imagen'!$A$1:D658,4,FALSE())</f>
        <v>#N/A</v>
      </c>
      <c r="Z582" s="4" t="e">
        <f t="shared" si="109"/>
        <v>#N/A</v>
      </c>
    </row>
    <row r="583" spans="3:26" x14ac:dyDescent="0.25">
      <c r="C583" s="4" t="str">
        <f t="shared" si="104"/>
        <v>CL_MLP_PAO_IF_Ortho_00_01_00_.tif</v>
      </c>
      <c r="D583" s="4" t="str">
        <f t="shared" si="105"/>
        <v>CL_MLP_PAO_IF_Ortho_00_01_00_</v>
      </c>
      <c r="F583" s="15" t="s">
        <v>460</v>
      </c>
      <c r="G583" s="15" t="s">
        <v>29</v>
      </c>
      <c r="J583" s="15" t="s">
        <v>30</v>
      </c>
      <c r="K583" s="2" t="str">
        <f t="shared" si="106"/>
        <v>https://sig.aminerals.cl/imgdyn/rest/services/CL_MLP_PAO/CL_MLP_PAO_IF_Ortho_Geosupport/ImageServer/file?id=.\\00_01_00\CL_MLP_PAO_IF_Ortho_00_01_00_.tif&amp;rasterId=</v>
      </c>
      <c r="L583" s="4" t="s">
        <v>31</v>
      </c>
      <c r="M583" s="4" t="s">
        <v>32</v>
      </c>
      <c r="N583" s="4" t="s">
        <v>33</v>
      </c>
      <c r="O583" s="4" t="s">
        <v>34</v>
      </c>
      <c r="P583" s="4" t="str">
        <f t="shared" si="110"/>
        <v>00</v>
      </c>
      <c r="Q583" s="4" t="str">
        <f t="shared" si="111"/>
        <v>01</v>
      </c>
      <c r="R583" s="4" t="str">
        <f t="shared" si="112"/>
        <v>00</v>
      </c>
      <c r="U583" s="4" t="s">
        <v>461</v>
      </c>
      <c r="V583" s="4" t="str">
        <f t="shared" si="113"/>
        <v/>
      </c>
      <c r="W583" s="4">
        <f t="shared" si="107"/>
        <v>0</v>
      </c>
      <c r="X583" s="4" t="b">
        <f t="shared" si="108"/>
        <v>0</v>
      </c>
      <c r="Y583" s="4" t="e">
        <f>VLOOKUP(D583,'Orden de Imagen'!$A$1:D659,4,FALSE())</f>
        <v>#N/A</v>
      </c>
      <c r="Z583" s="4" t="e">
        <f t="shared" si="109"/>
        <v>#N/A</v>
      </c>
    </row>
    <row r="584" spans="3:26" x14ac:dyDescent="0.25">
      <c r="C584" s="4" t="str">
        <f t="shared" si="104"/>
        <v>CL_MLP_PAO_IF_Ortho_00_01_00_.tif</v>
      </c>
      <c r="D584" s="4" t="str">
        <f t="shared" si="105"/>
        <v>CL_MLP_PAO_IF_Ortho_00_01_00_</v>
      </c>
      <c r="F584" s="15" t="s">
        <v>460</v>
      </c>
      <c r="G584" s="15" t="s">
        <v>29</v>
      </c>
      <c r="J584" s="15" t="s">
        <v>30</v>
      </c>
      <c r="K584" s="2" t="str">
        <f t="shared" si="106"/>
        <v>https://sig.aminerals.cl/imgdyn/rest/services/CL_MLP_PAO/CL_MLP_PAO_IF_Ortho_Geosupport/ImageServer/file?id=.\\00_01_00\CL_MLP_PAO_IF_Ortho_00_01_00_.tif&amp;rasterId=</v>
      </c>
      <c r="L584" s="4" t="s">
        <v>31</v>
      </c>
      <c r="M584" s="4" t="s">
        <v>32</v>
      </c>
      <c r="N584" s="4" t="s">
        <v>33</v>
      </c>
      <c r="O584" s="4" t="s">
        <v>34</v>
      </c>
      <c r="P584" s="4" t="str">
        <f t="shared" si="110"/>
        <v>00</v>
      </c>
      <c r="Q584" s="4" t="str">
        <f t="shared" si="111"/>
        <v>01</v>
      </c>
      <c r="R584" s="4" t="str">
        <f t="shared" si="112"/>
        <v>00</v>
      </c>
      <c r="U584" s="4" t="s">
        <v>461</v>
      </c>
      <c r="V584" s="4" t="str">
        <f t="shared" si="113"/>
        <v/>
      </c>
      <c r="W584" s="4">
        <f t="shared" si="107"/>
        <v>0</v>
      </c>
      <c r="X584" s="4" t="b">
        <f t="shared" si="108"/>
        <v>0</v>
      </c>
      <c r="Y584" s="4" t="e">
        <f>VLOOKUP(D584,'Orden de Imagen'!$A$1:D660,4,FALSE())</f>
        <v>#N/A</v>
      </c>
      <c r="Z584" s="4" t="e">
        <f t="shared" si="109"/>
        <v>#N/A</v>
      </c>
    </row>
    <row r="585" spans="3:26" x14ac:dyDescent="0.25">
      <c r="C585" s="4" t="str">
        <f t="shared" si="104"/>
        <v>CL_MLP_PAO_IF_Ortho_00_01_00_.tif</v>
      </c>
      <c r="D585" s="4" t="str">
        <f t="shared" si="105"/>
        <v>CL_MLP_PAO_IF_Ortho_00_01_00_</v>
      </c>
      <c r="F585" s="15" t="s">
        <v>460</v>
      </c>
      <c r="G585" s="15" t="s">
        <v>29</v>
      </c>
      <c r="J585" s="15" t="s">
        <v>30</v>
      </c>
      <c r="K585" s="2" t="str">
        <f t="shared" si="106"/>
        <v>https://sig.aminerals.cl/imgdyn/rest/services/CL_MLP_PAO/CL_MLP_PAO_IF_Ortho_Geosupport/ImageServer/file?id=.\\00_01_00\CL_MLP_PAO_IF_Ortho_00_01_00_.tif&amp;rasterId=</v>
      </c>
      <c r="L585" s="4" t="s">
        <v>31</v>
      </c>
      <c r="M585" s="4" t="s">
        <v>32</v>
      </c>
      <c r="N585" s="4" t="s">
        <v>33</v>
      </c>
      <c r="O585" s="4" t="s">
        <v>34</v>
      </c>
      <c r="P585" s="4" t="str">
        <f t="shared" si="110"/>
        <v>00</v>
      </c>
      <c r="Q585" s="4" t="str">
        <f t="shared" si="111"/>
        <v>01</v>
      </c>
      <c r="R585" s="4" t="str">
        <f t="shared" si="112"/>
        <v>00</v>
      </c>
      <c r="U585" s="4" t="s">
        <v>461</v>
      </c>
      <c r="V585" s="4" t="str">
        <f t="shared" si="113"/>
        <v/>
      </c>
      <c r="W585" s="4">
        <f t="shared" si="107"/>
        <v>0</v>
      </c>
      <c r="X585" s="4" t="b">
        <f t="shared" si="108"/>
        <v>0</v>
      </c>
      <c r="Y585" s="4" t="e">
        <f>VLOOKUP(D585,'Orden de Imagen'!$A$1:D661,4,FALSE())</f>
        <v>#N/A</v>
      </c>
      <c r="Z585" s="4" t="e">
        <f t="shared" si="109"/>
        <v>#N/A</v>
      </c>
    </row>
    <row r="586" spans="3:26" x14ac:dyDescent="0.25">
      <c r="C586" s="4" t="str">
        <f t="shared" si="104"/>
        <v>CL_MLP_PAO_IF_Ortho_00_01_00_.tif</v>
      </c>
      <c r="D586" s="4" t="str">
        <f t="shared" si="105"/>
        <v>CL_MLP_PAO_IF_Ortho_00_01_00_</v>
      </c>
      <c r="F586" s="15" t="s">
        <v>460</v>
      </c>
      <c r="G586" s="15" t="s">
        <v>29</v>
      </c>
      <c r="J586" s="15" t="s">
        <v>30</v>
      </c>
      <c r="K586" s="2" t="str">
        <f t="shared" si="106"/>
        <v>https://sig.aminerals.cl/imgdyn/rest/services/CL_MLP_PAO/CL_MLP_PAO_IF_Ortho_Geosupport/ImageServer/file?id=.\\00_01_00\CL_MLP_PAO_IF_Ortho_00_01_00_.tif&amp;rasterId=</v>
      </c>
      <c r="L586" s="4" t="s">
        <v>31</v>
      </c>
      <c r="M586" s="4" t="s">
        <v>32</v>
      </c>
      <c r="N586" s="4" t="s">
        <v>33</v>
      </c>
      <c r="O586" s="4" t="s">
        <v>34</v>
      </c>
      <c r="P586" s="4" t="str">
        <f t="shared" si="110"/>
        <v>00</v>
      </c>
      <c r="Q586" s="4" t="str">
        <f t="shared" si="111"/>
        <v>01</v>
      </c>
      <c r="R586" s="4" t="str">
        <f t="shared" si="112"/>
        <v>00</v>
      </c>
      <c r="U586" s="4" t="s">
        <v>461</v>
      </c>
      <c r="V586" s="4" t="str">
        <f t="shared" si="113"/>
        <v/>
      </c>
      <c r="W586" s="4">
        <f t="shared" si="107"/>
        <v>0</v>
      </c>
      <c r="X586" s="4" t="b">
        <f t="shared" si="108"/>
        <v>0</v>
      </c>
      <c r="Y586" s="4" t="e">
        <f>VLOOKUP(D586,'Orden de Imagen'!$A$1:D662,4,FALSE())</f>
        <v>#N/A</v>
      </c>
      <c r="Z586" s="4" t="e">
        <f t="shared" si="109"/>
        <v>#N/A</v>
      </c>
    </row>
    <row r="587" spans="3:26" x14ac:dyDescent="0.25">
      <c r="C587" s="4" t="str">
        <f t="shared" si="104"/>
        <v>CL_MLP_PAO_IF_Ortho_00_01_00_.tif</v>
      </c>
      <c r="D587" s="4" t="str">
        <f t="shared" si="105"/>
        <v>CL_MLP_PAO_IF_Ortho_00_01_00_</v>
      </c>
      <c r="F587" s="15" t="s">
        <v>460</v>
      </c>
      <c r="G587" s="15" t="s">
        <v>29</v>
      </c>
      <c r="J587" s="15" t="s">
        <v>30</v>
      </c>
      <c r="K587" s="2" t="str">
        <f t="shared" si="106"/>
        <v>https://sig.aminerals.cl/imgdyn/rest/services/CL_MLP_PAO/CL_MLP_PAO_IF_Ortho_Geosupport/ImageServer/file?id=.\\00_01_00\CL_MLP_PAO_IF_Ortho_00_01_00_.tif&amp;rasterId=</v>
      </c>
      <c r="L587" s="4" t="s">
        <v>31</v>
      </c>
      <c r="M587" s="4" t="s">
        <v>32</v>
      </c>
      <c r="N587" s="4" t="s">
        <v>33</v>
      </c>
      <c r="O587" s="4" t="s">
        <v>34</v>
      </c>
      <c r="P587" s="4" t="str">
        <f t="shared" si="110"/>
        <v>00</v>
      </c>
      <c r="Q587" s="4" t="str">
        <f t="shared" si="111"/>
        <v>01</v>
      </c>
      <c r="R587" s="4" t="str">
        <f t="shared" si="112"/>
        <v>00</v>
      </c>
      <c r="U587" s="4" t="s">
        <v>461</v>
      </c>
      <c r="V587" s="4" t="str">
        <f t="shared" si="113"/>
        <v/>
      </c>
      <c r="W587" s="4">
        <f t="shared" si="107"/>
        <v>0</v>
      </c>
      <c r="X587" s="4" t="b">
        <f t="shared" si="108"/>
        <v>0</v>
      </c>
      <c r="Y587" s="4" t="e">
        <f>VLOOKUP(D587,'Orden de Imagen'!$A$1:D663,4,FALSE())</f>
        <v>#N/A</v>
      </c>
      <c r="Z587" s="4" t="e">
        <f t="shared" si="109"/>
        <v>#N/A</v>
      </c>
    </row>
    <row r="588" spans="3:26" x14ac:dyDescent="0.25">
      <c r="C588" s="4" t="str">
        <f t="shared" si="104"/>
        <v>CL_MLP_PAO_IF_Ortho_00_01_00_.tif</v>
      </c>
      <c r="D588" s="4" t="str">
        <f t="shared" si="105"/>
        <v>CL_MLP_PAO_IF_Ortho_00_01_00_</v>
      </c>
      <c r="F588" s="15" t="s">
        <v>460</v>
      </c>
      <c r="G588" s="15" t="s">
        <v>29</v>
      </c>
      <c r="J588" s="15" t="s">
        <v>30</v>
      </c>
      <c r="K588" s="2" t="str">
        <f t="shared" si="106"/>
        <v>https://sig.aminerals.cl/imgdyn/rest/services/CL_MLP_PAO/CL_MLP_PAO_IF_Ortho_Geosupport/ImageServer/file?id=.\\00_01_00\CL_MLP_PAO_IF_Ortho_00_01_00_.tif&amp;rasterId=</v>
      </c>
      <c r="L588" s="4" t="s">
        <v>31</v>
      </c>
      <c r="M588" s="4" t="s">
        <v>32</v>
      </c>
      <c r="N588" s="4" t="s">
        <v>33</v>
      </c>
      <c r="O588" s="4" t="s">
        <v>34</v>
      </c>
      <c r="P588" s="4" t="str">
        <f t="shared" si="110"/>
        <v>00</v>
      </c>
      <c r="Q588" s="4" t="str">
        <f t="shared" si="111"/>
        <v>01</v>
      </c>
      <c r="R588" s="4" t="str">
        <f t="shared" si="112"/>
        <v>00</v>
      </c>
      <c r="U588" s="4" t="s">
        <v>461</v>
      </c>
      <c r="V588" s="4" t="str">
        <f t="shared" si="113"/>
        <v/>
      </c>
      <c r="W588" s="4">
        <f t="shared" si="107"/>
        <v>0</v>
      </c>
      <c r="X588" s="4" t="b">
        <f t="shared" si="108"/>
        <v>0</v>
      </c>
      <c r="Y588" s="4" t="e">
        <f>VLOOKUP(D588,'Orden de Imagen'!$A$1:D664,4,FALSE())</f>
        <v>#N/A</v>
      </c>
      <c r="Z588" s="4" t="e">
        <f t="shared" si="109"/>
        <v>#N/A</v>
      </c>
    </row>
    <row r="589" spans="3:26" x14ac:dyDescent="0.25">
      <c r="C589" s="4" t="str">
        <f t="shared" si="104"/>
        <v>CL_MLP_PAO_IF_Ortho_00_01_00_.tif</v>
      </c>
      <c r="D589" s="4" t="str">
        <f t="shared" si="105"/>
        <v>CL_MLP_PAO_IF_Ortho_00_01_00_</v>
      </c>
      <c r="F589" s="15" t="s">
        <v>460</v>
      </c>
      <c r="G589" s="15" t="s">
        <v>29</v>
      </c>
      <c r="J589" s="15" t="s">
        <v>30</v>
      </c>
      <c r="K589" s="2" t="str">
        <f t="shared" si="106"/>
        <v>https://sig.aminerals.cl/imgdyn/rest/services/CL_MLP_PAO/CL_MLP_PAO_IF_Ortho_Geosupport/ImageServer/file?id=.\\00_01_00\CL_MLP_PAO_IF_Ortho_00_01_00_.tif&amp;rasterId=</v>
      </c>
      <c r="L589" s="4" t="s">
        <v>31</v>
      </c>
      <c r="M589" s="4" t="s">
        <v>32</v>
      </c>
      <c r="N589" s="4" t="s">
        <v>33</v>
      </c>
      <c r="O589" s="4" t="s">
        <v>34</v>
      </c>
      <c r="P589" s="4" t="str">
        <f t="shared" si="110"/>
        <v>00</v>
      </c>
      <c r="Q589" s="4" t="str">
        <f t="shared" si="111"/>
        <v>01</v>
      </c>
      <c r="R589" s="4" t="str">
        <f t="shared" si="112"/>
        <v>00</v>
      </c>
      <c r="U589" s="4" t="s">
        <v>461</v>
      </c>
      <c r="V589" s="4" t="str">
        <f t="shared" si="113"/>
        <v/>
      </c>
      <c r="W589" s="4">
        <f t="shared" si="107"/>
        <v>0</v>
      </c>
      <c r="X589" s="4" t="b">
        <f t="shared" si="108"/>
        <v>0</v>
      </c>
      <c r="Y589" s="4" t="e">
        <f>VLOOKUP(D589,'Orden de Imagen'!$A$1:D665,4,FALSE())</f>
        <v>#N/A</v>
      </c>
      <c r="Z589" s="4" t="e">
        <f t="shared" si="109"/>
        <v>#N/A</v>
      </c>
    </row>
    <row r="590" spans="3:26" x14ac:dyDescent="0.25">
      <c r="C590" s="4" t="str">
        <f t="shared" si="104"/>
        <v>CL_MLP_PAO_IF_Ortho_00_01_00_.tif</v>
      </c>
      <c r="D590" s="4" t="str">
        <f t="shared" si="105"/>
        <v>CL_MLP_PAO_IF_Ortho_00_01_00_</v>
      </c>
      <c r="F590" s="15" t="s">
        <v>460</v>
      </c>
      <c r="G590" s="15" t="s">
        <v>29</v>
      </c>
      <c r="J590" s="15" t="s">
        <v>30</v>
      </c>
      <c r="K590" s="2" t="str">
        <f t="shared" si="106"/>
        <v>https://sig.aminerals.cl/imgdyn/rest/services/CL_MLP_PAO/CL_MLP_PAO_IF_Ortho_Geosupport/ImageServer/file?id=.\\00_01_00\CL_MLP_PAO_IF_Ortho_00_01_00_.tif&amp;rasterId=</v>
      </c>
      <c r="L590" s="4" t="s">
        <v>31</v>
      </c>
      <c r="M590" s="4" t="s">
        <v>32</v>
      </c>
      <c r="N590" s="4" t="s">
        <v>33</v>
      </c>
      <c r="O590" s="4" t="s">
        <v>34</v>
      </c>
      <c r="P590" s="4" t="str">
        <f t="shared" si="110"/>
        <v>00</v>
      </c>
      <c r="Q590" s="4" t="str">
        <f t="shared" si="111"/>
        <v>01</v>
      </c>
      <c r="R590" s="4" t="str">
        <f t="shared" si="112"/>
        <v>00</v>
      </c>
      <c r="U590" s="4" t="s">
        <v>461</v>
      </c>
      <c r="V590" s="4" t="str">
        <f t="shared" si="113"/>
        <v/>
      </c>
      <c r="W590" s="4">
        <f t="shared" si="107"/>
        <v>0</v>
      </c>
      <c r="X590" s="4" t="b">
        <f t="shared" si="108"/>
        <v>0</v>
      </c>
      <c r="Y590" s="4" t="e">
        <f>VLOOKUP(D590,'Orden de Imagen'!$A$1:D666,4,FALSE())</f>
        <v>#N/A</v>
      </c>
      <c r="Z590" s="4" t="e">
        <f t="shared" si="109"/>
        <v>#N/A</v>
      </c>
    </row>
    <row r="591" spans="3:26" x14ac:dyDescent="0.25">
      <c r="C591" s="4" t="str">
        <f t="shared" si="104"/>
        <v>CL_MLP_PAO_IF_Ortho_00_01_00_.tif</v>
      </c>
      <c r="D591" s="4" t="str">
        <f t="shared" si="105"/>
        <v>CL_MLP_PAO_IF_Ortho_00_01_00_</v>
      </c>
      <c r="F591" s="15" t="s">
        <v>460</v>
      </c>
      <c r="G591" s="15" t="s">
        <v>29</v>
      </c>
      <c r="J591" s="15" t="s">
        <v>30</v>
      </c>
      <c r="K591" s="2" t="str">
        <f t="shared" si="106"/>
        <v>https://sig.aminerals.cl/imgdyn/rest/services/CL_MLP_PAO/CL_MLP_PAO_IF_Ortho_Geosupport/ImageServer/file?id=.\\00_01_00\CL_MLP_PAO_IF_Ortho_00_01_00_.tif&amp;rasterId=</v>
      </c>
      <c r="L591" s="4" t="s">
        <v>31</v>
      </c>
      <c r="M591" s="4" t="s">
        <v>32</v>
      </c>
      <c r="N591" s="4" t="s">
        <v>33</v>
      </c>
      <c r="O591" s="4" t="s">
        <v>34</v>
      </c>
      <c r="P591" s="4" t="str">
        <f t="shared" si="110"/>
        <v>00</v>
      </c>
      <c r="Q591" s="4" t="str">
        <f t="shared" si="111"/>
        <v>01</v>
      </c>
      <c r="R591" s="4" t="str">
        <f t="shared" si="112"/>
        <v>00</v>
      </c>
      <c r="U591" s="4" t="s">
        <v>461</v>
      </c>
      <c r="V591" s="4" t="str">
        <f t="shared" si="113"/>
        <v/>
      </c>
      <c r="W591" s="4">
        <f t="shared" si="107"/>
        <v>0</v>
      </c>
      <c r="X591" s="4" t="b">
        <f t="shared" si="108"/>
        <v>0</v>
      </c>
      <c r="Y591" s="4" t="e">
        <f>VLOOKUP(D591,'Orden de Imagen'!$A$1:D667,4,FALSE())</f>
        <v>#N/A</v>
      </c>
      <c r="Z591" s="4" t="e">
        <f t="shared" si="109"/>
        <v>#N/A</v>
      </c>
    </row>
  </sheetData>
  <autoFilter ref="A1:Z488"/>
  <conditionalFormatting sqref="B463">
    <cfRule type="duplicateValues" dxfId="49" priority="2"/>
  </conditionalFormatting>
  <conditionalFormatting sqref="C454">
    <cfRule type="duplicateValues" dxfId="48" priority="3"/>
  </conditionalFormatting>
  <conditionalFormatting sqref="C1:C453 C592:C1048576">
    <cfRule type="duplicateValues" dxfId="47" priority="4"/>
  </conditionalFormatting>
  <conditionalFormatting sqref="K78">
    <cfRule type="containsText" dxfId="46" priority="5" operator="containsText" text=" ">
      <formula>NOT(ISERROR(SEARCH(" ",K78)))</formula>
    </cfRule>
  </conditionalFormatting>
  <conditionalFormatting sqref="E78">
    <cfRule type="duplicateValues" dxfId="45" priority="6"/>
  </conditionalFormatting>
  <conditionalFormatting sqref="K1:K77 K79:K1048576">
    <cfRule type="containsText" dxfId="44" priority="7" operator="containsText" text=" ">
      <formula>NOT(ISERROR(SEARCH(" ",K1)))</formula>
    </cfRule>
  </conditionalFormatting>
  <conditionalFormatting sqref="D218:D243">
    <cfRule type="duplicateValues" dxfId="43" priority="8"/>
  </conditionalFormatting>
  <conditionalFormatting sqref="D209:D217">
    <cfRule type="duplicateValues" dxfId="42" priority="9"/>
  </conditionalFormatting>
  <conditionalFormatting sqref="D208">
    <cfRule type="duplicateValues" dxfId="41" priority="10"/>
  </conditionalFormatting>
  <conditionalFormatting sqref="D207">
    <cfRule type="duplicateValues" dxfId="40" priority="11"/>
  </conditionalFormatting>
  <conditionalFormatting sqref="D206">
    <cfRule type="duplicateValues" dxfId="39" priority="12"/>
  </conditionalFormatting>
  <conditionalFormatting sqref="D205">
    <cfRule type="duplicateValues" dxfId="38" priority="13"/>
  </conditionalFormatting>
  <conditionalFormatting sqref="D203:D204">
    <cfRule type="duplicateValues" dxfId="37" priority="14"/>
  </conditionalFormatting>
  <conditionalFormatting sqref="D201:D202">
    <cfRule type="duplicateValues" dxfId="36" priority="15"/>
  </conditionalFormatting>
  <conditionalFormatting sqref="D200">
    <cfRule type="duplicateValues" dxfId="35" priority="16"/>
  </conditionalFormatting>
  <conditionalFormatting sqref="D198:D199">
    <cfRule type="duplicateValues" dxfId="34" priority="17"/>
  </conditionalFormatting>
  <conditionalFormatting sqref="D197">
    <cfRule type="duplicateValues" dxfId="33" priority="18"/>
  </conditionalFormatting>
  <conditionalFormatting sqref="D196">
    <cfRule type="duplicateValues" dxfId="32" priority="19"/>
  </conditionalFormatting>
  <conditionalFormatting sqref="D195">
    <cfRule type="duplicateValues" dxfId="31" priority="20"/>
  </conditionalFormatting>
  <conditionalFormatting sqref="D194">
    <cfRule type="duplicateValues" dxfId="30" priority="21"/>
  </conditionalFormatting>
  <conditionalFormatting sqref="D193">
    <cfRule type="duplicateValues" dxfId="29" priority="22"/>
  </conditionalFormatting>
  <conditionalFormatting sqref="D192">
    <cfRule type="duplicateValues" dxfId="28" priority="23"/>
  </conditionalFormatting>
  <conditionalFormatting sqref="D191">
    <cfRule type="duplicateValues" dxfId="27" priority="24"/>
  </conditionalFormatting>
  <conditionalFormatting sqref="D190">
    <cfRule type="duplicateValues" dxfId="26" priority="25"/>
  </conditionalFormatting>
  <conditionalFormatting sqref="D189">
    <cfRule type="duplicateValues" dxfId="25" priority="26"/>
  </conditionalFormatting>
  <conditionalFormatting sqref="D188">
    <cfRule type="duplicateValues" dxfId="24" priority="27"/>
  </conditionalFormatting>
  <conditionalFormatting sqref="D186:D187">
    <cfRule type="duplicateValues" dxfId="23" priority="28"/>
  </conditionalFormatting>
  <conditionalFormatting sqref="D185">
    <cfRule type="duplicateValues" dxfId="22" priority="29"/>
  </conditionalFormatting>
  <conditionalFormatting sqref="D173:D184">
    <cfRule type="duplicateValues" dxfId="21" priority="30"/>
  </conditionalFormatting>
  <conditionalFormatting sqref="D170:D172">
    <cfRule type="duplicateValues" dxfId="20" priority="31"/>
  </conditionalFormatting>
  <conditionalFormatting sqref="D169">
    <cfRule type="duplicateValues" dxfId="19" priority="32"/>
  </conditionalFormatting>
  <conditionalFormatting sqref="D144:D168">
    <cfRule type="duplicateValues" dxfId="18" priority="33"/>
  </conditionalFormatting>
  <conditionalFormatting sqref="D143">
    <cfRule type="duplicateValues" dxfId="17" priority="34"/>
  </conditionalFormatting>
  <conditionalFormatting sqref="D142">
    <cfRule type="duplicateValues" dxfId="16" priority="35"/>
  </conditionalFormatting>
  <conditionalFormatting sqref="D47">
    <cfRule type="duplicateValues" dxfId="15" priority="36"/>
  </conditionalFormatting>
  <conditionalFormatting sqref="D40">
    <cfRule type="duplicateValues" dxfId="14" priority="37"/>
  </conditionalFormatting>
  <conditionalFormatting sqref="D141">
    <cfRule type="duplicateValues" dxfId="13" priority="38"/>
  </conditionalFormatting>
  <conditionalFormatting sqref="D140">
    <cfRule type="duplicateValues" dxfId="12" priority="39"/>
  </conditionalFormatting>
  <conditionalFormatting sqref="D139">
    <cfRule type="duplicateValues" dxfId="11" priority="40"/>
  </conditionalFormatting>
  <conditionalFormatting sqref="D138">
    <cfRule type="duplicateValues" dxfId="10" priority="41"/>
  </conditionalFormatting>
  <conditionalFormatting sqref="D137">
    <cfRule type="duplicateValues" dxfId="9" priority="42"/>
  </conditionalFormatting>
  <conditionalFormatting sqref="D136">
    <cfRule type="duplicateValues" dxfId="8" priority="43"/>
  </conditionalFormatting>
  <conditionalFormatting sqref="D135">
    <cfRule type="duplicateValues" dxfId="7" priority="44"/>
  </conditionalFormatting>
  <conditionalFormatting sqref="D134">
    <cfRule type="duplicateValues" dxfId="6" priority="45"/>
  </conditionalFormatting>
  <conditionalFormatting sqref="D133">
    <cfRule type="duplicateValues" dxfId="5" priority="46"/>
  </conditionalFormatting>
  <conditionalFormatting sqref="D98:D132">
    <cfRule type="duplicateValues" dxfId="4" priority="47"/>
  </conditionalFormatting>
  <conditionalFormatting sqref="D97">
    <cfRule type="duplicateValues" dxfId="3" priority="48"/>
  </conditionalFormatting>
  <conditionalFormatting sqref="D2:D39 D41:D46 D48:D96">
    <cfRule type="duplicateValues" dxfId="2" priority="49"/>
  </conditionalFormatting>
  <conditionalFormatting sqref="B1:B488 B492:B1048576">
    <cfRule type="duplicateValues" dxfId="1" priority="50"/>
  </conditionalFormatting>
  <conditionalFormatting sqref="C455:C591">
    <cfRule type="duplicateValues" dxfId="0" priority="51"/>
  </conditionalFormatting>
  <hyperlinks>
    <hyperlink ref="S8" r:id="rId1"/>
  </hyperlinks>
  <pageMargins left="0.7" right="0.7" top="0.75" bottom="0.75" header="0.511811023622047" footer="0.511811023622047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topLeftCell="A10" zoomScaleNormal="100" workbookViewId="0">
      <selection activeCell="A2" sqref="A2"/>
    </sheetView>
  </sheetViews>
  <sheetFormatPr baseColWidth="10" defaultColWidth="10.7109375" defaultRowHeight="15" x14ac:dyDescent="0.25"/>
  <cols>
    <col min="1" max="1" width="67.85546875" customWidth="1"/>
  </cols>
  <sheetData>
    <row r="1" spans="1:1" x14ac:dyDescent="0.25">
      <c r="A1" s="9" t="s">
        <v>824</v>
      </c>
    </row>
    <row r="2" spans="1:1" x14ac:dyDescent="0.25">
      <c r="A2" t="s">
        <v>825</v>
      </c>
    </row>
    <row r="3" spans="1:1" x14ac:dyDescent="0.25">
      <c r="A3" t="s">
        <v>826</v>
      </c>
    </row>
    <row r="4" spans="1:1" x14ac:dyDescent="0.25">
      <c r="A4" t="s">
        <v>827</v>
      </c>
    </row>
    <row r="5" spans="1:1" x14ac:dyDescent="0.25">
      <c r="A5" t="s">
        <v>828</v>
      </c>
    </row>
    <row r="6" spans="1:1" x14ac:dyDescent="0.25">
      <c r="A6" t="s">
        <v>829</v>
      </c>
    </row>
    <row r="7" spans="1:1" x14ac:dyDescent="0.25">
      <c r="A7" t="s">
        <v>830</v>
      </c>
    </row>
    <row r="8" spans="1:1" x14ac:dyDescent="0.25">
      <c r="A8" t="s">
        <v>831</v>
      </c>
    </row>
    <row r="9" spans="1:1" x14ac:dyDescent="0.25">
      <c r="A9" t="s">
        <v>832</v>
      </c>
    </row>
    <row r="10" spans="1:1" x14ac:dyDescent="0.25">
      <c r="A10" t="s">
        <v>833</v>
      </c>
    </row>
    <row r="11" spans="1:1" x14ac:dyDescent="0.25">
      <c r="A11" t="s">
        <v>834</v>
      </c>
    </row>
    <row r="12" spans="1:1" x14ac:dyDescent="0.25">
      <c r="A12" t="s">
        <v>835</v>
      </c>
    </row>
    <row r="13" spans="1:1" x14ac:dyDescent="0.25">
      <c r="A13" t="s">
        <v>836</v>
      </c>
    </row>
    <row r="14" spans="1:1" x14ac:dyDescent="0.25">
      <c r="A14" t="s">
        <v>837</v>
      </c>
    </row>
    <row r="15" spans="1:1" x14ac:dyDescent="0.25">
      <c r="A15" t="s">
        <v>838</v>
      </c>
    </row>
    <row r="16" spans="1:1" x14ac:dyDescent="0.25">
      <c r="A16" t="s">
        <v>839</v>
      </c>
    </row>
    <row r="17" spans="1:1" x14ac:dyDescent="0.25">
      <c r="A17" t="s">
        <v>840</v>
      </c>
    </row>
    <row r="18" spans="1:1" x14ac:dyDescent="0.25">
      <c r="A18" t="s">
        <v>841</v>
      </c>
    </row>
    <row r="19" spans="1:1" x14ac:dyDescent="0.25">
      <c r="A19" t="s">
        <v>842</v>
      </c>
    </row>
    <row r="20" spans="1:1" x14ac:dyDescent="0.25">
      <c r="A20" t="s">
        <v>843</v>
      </c>
    </row>
    <row r="21" spans="1:1" x14ac:dyDescent="0.25">
      <c r="A21" t="s">
        <v>844</v>
      </c>
    </row>
    <row r="22" spans="1:1" x14ac:dyDescent="0.25">
      <c r="A22" t="s">
        <v>845</v>
      </c>
    </row>
    <row r="23" spans="1:1" x14ac:dyDescent="0.25">
      <c r="A23" t="s">
        <v>846</v>
      </c>
    </row>
    <row r="24" spans="1:1" x14ac:dyDescent="0.25">
      <c r="A24" t="s">
        <v>847</v>
      </c>
    </row>
    <row r="25" spans="1:1" x14ac:dyDescent="0.25">
      <c r="A25" t="s">
        <v>848</v>
      </c>
    </row>
    <row r="26" spans="1:1" x14ac:dyDescent="0.25">
      <c r="A26" t="s">
        <v>849</v>
      </c>
    </row>
    <row r="27" spans="1:1" x14ac:dyDescent="0.25">
      <c r="A27" t="s">
        <v>850</v>
      </c>
    </row>
    <row r="28" spans="1:1" x14ac:dyDescent="0.25">
      <c r="A28" t="s">
        <v>851</v>
      </c>
    </row>
    <row r="29" spans="1:1" x14ac:dyDescent="0.25">
      <c r="A29" t="s">
        <v>852</v>
      </c>
    </row>
    <row r="30" spans="1:1" x14ac:dyDescent="0.25">
      <c r="A30" t="s">
        <v>853</v>
      </c>
    </row>
    <row r="31" spans="1:1" x14ac:dyDescent="0.25">
      <c r="A31" t="s">
        <v>854</v>
      </c>
    </row>
    <row r="32" spans="1:1" x14ac:dyDescent="0.25">
      <c r="A32" t="s">
        <v>855</v>
      </c>
    </row>
    <row r="33" spans="1:1" x14ac:dyDescent="0.25">
      <c r="A33" t="s">
        <v>856</v>
      </c>
    </row>
    <row r="34" spans="1:1" x14ac:dyDescent="0.25">
      <c r="A34" t="s">
        <v>857</v>
      </c>
    </row>
    <row r="35" spans="1:1" x14ac:dyDescent="0.25">
      <c r="A35" t="s">
        <v>858</v>
      </c>
    </row>
    <row r="36" spans="1:1" x14ac:dyDescent="0.25">
      <c r="A36" t="s">
        <v>859</v>
      </c>
    </row>
  </sheetData>
  <autoFilter ref="A1:A36">
    <sortState ref="A2:A36">
      <sortCondition ref="A2:A36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0"/>
  <sheetViews>
    <sheetView topLeftCell="A428" zoomScale="70" zoomScaleNormal="70" workbookViewId="0">
      <selection activeCell="A462" sqref="A462"/>
    </sheetView>
  </sheetViews>
  <sheetFormatPr baseColWidth="10" defaultColWidth="10.7109375" defaultRowHeight="15" x14ac:dyDescent="0.25"/>
  <cols>
    <col min="1" max="1" width="81.42578125" customWidth="1"/>
    <col min="2" max="2" width="48.5703125" customWidth="1"/>
  </cols>
  <sheetData>
    <row r="1" spans="1:5" x14ac:dyDescent="0.25">
      <c r="A1" s="9" t="s">
        <v>3</v>
      </c>
      <c r="B1" s="9" t="s">
        <v>25</v>
      </c>
      <c r="C1" s="9" t="s">
        <v>860</v>
      </c>
      <c r="D1">
        <v>0</v>
      </c>
    </row>
    <row r="2" spans="1:5" x14ac:dyDescent="0.25">
      <c r="A2" t="s">
        <v>861</v>
      </c>
      <c r="B2" t="str">
        <f t="shared" ref="B2:B65" si="0">RIGHT(A2, LEN(A2)-29)</f>
        <v>EB1</v>
      </c>
      <c r="C2" s="10">
        <v>1</v>
      </c>
      <c r="D2" t="str">
        <f t="shared" ref="D2:D10" si="1">CONCATENATE("00",C2)</f>
        <v>001</v>
      </c>
    </row>
    <row r="3" spans="1:5" x14ac:dyDescent="0.25">
      <c r="A3" t="s">
        <v>862</v>
      </c>
      <c r="B3" t="str">
        <f t="shared" si="0"/>
        <v>RutaD835</v>
      </c>
      <c r="C3" s="10">
        <v>2</v>
      </c>
      <c r="D3" t="str">
        <f t="shared" si="1"/>
        <v>002</v>
      </c>
      <c r="E3" s="10">
        <f t="shared" ref="E3:E66" si="2">C3-C2</f>
        <v>1</v>
      </c>
    </row>
    <row r="4" spans="1:5" x14ac:dyDescent="0.25">
      <c r="A4" t="s">
        <v>863</v>
      </c>
      <c r="B4" t="str">
        <f t="shared" si="0"/>
        <v>NSTC_116a118</v>
      </c>
      <c r="C4" s="10">
        <v>3</v>
      </c>
      <c r="D4" t="str">
        <f t="shared" si="1"/>
        <v>003</v>
      </c>
      <c r="E4" s="10">
        <f t="shared" si="2"/>
        <v>1</v>
      </c>
    </row>
    <row r="5" spans="1:5" x14ac:dyDescent="0.25">
      <c r="A5" t="s">
        <v>864</v>
      </c>
      <c r="B5" t="str">
        <f t="shared" si="0"/>
        <v>NSTC_118a120</v>
      </c>
      <c r="C5" s="10">
        <v>4</v>
      </c>
      <c r="D5" t="str">
        <f t="shared" si="1"/>
        <v>004</v>
      </c>
      <c r="E5" s="10">
        <f t="shared" si="2"/>
        <v>1</v>
      </c>
    </row>
    <row r="6" spans="1:5" x14ac:dyDescent="0.25">
      <c r="A6" t="s">
        <v>865</v>
      </c>
      <c r="B6" t="str">
        <f t="shared" si="0"/>
        <v>SRA2</v>
      </c>
      <c r="C6" s="10">
        <v>5</v>
      </c>
      <c r="D6" t="str">
        <f t="shared" si="1"/>
        <v>005</v>
      </c>
      <c r="E6" s="10">
        <f t="shared" si="2"/>
        <v>1</v>
      </c>
    </row>
    <row r="7" spans="1:5" x14ac:dyDescent="0.25">
      <c r="A7" t="s">
        <v>866</v>
      </c>
      <c r="B7" t="str">
        <f t="shared" si="0"/>
        <v>NSTC_Km_120_a_121</v>
      </c>
      <c r="C7" s="10">
        <v>6</v>
      </c>
      <c r="D7" t="str">
        <f t="shared" si="1"/>
        <v>006</v>
      </c>
      <c r="E7" s="10">
        <f t="shared" si="2"/>
        <v>1</v>
      </c>
    </row>
    <row r="8" spans="1:5" x14ac:dyDescent="0.25">
      <c r="A8" t="s">
        <v>867</v>
      </c>
      <c r="B8" t="str">
        <f t="shared" si="0"/>
        <v>Orejas16_Ruta-D-865</v>
      </c>
      <c r="C8" s="10">
        <v>7</v>
      </c>
      <c r="D8" t="str">
        <f t="shared" si="1"/>
        <v>007</v>
      </c>
      <c r="E8" s="10">
        <f t="shared" si="2"/>
        <v>1</v>
      </c>
    </row>
    <row r="9" spans="1:5" x14ac:dyDescent="0.25">
      <c r="A9" t="s">
        <v>868</v>
      </c>
      <c r="B9" t="str">
        <f t="shared" si="0"/>
        <v>Orejas17_Ruta-D-865</v>
      </c>
      <c r="C9" s="10">
        <v>8</v>
      </c>
      <c r="D9" t="str">
        <f t="shared" si="1"/>
        <v>008</v>
      </c>
      <c r="E9" s="10">
        <f t="shared" si="2"/>
        <v>1</v>
      </c>
    </row>
    <row r="10" spans="1:5" x14ac:dyDescent="0.25">
      <c r="A10" t="s">
        <v>869</v>
      </c>
      <c r="B10" t="str">
        <f t="shared" si="0"/>
        <v>Orejas18</v>
      </c>
      <c r="C10" s="10">
        <v>9</v>
      </c>
      <c r="D10" t="str">
        <f t="shared" si="1"/>
        <v>009</v>
      </c>
      <c r="E10" s="10">
        <f t="shared" si="2"/>
        <v>1</v>
      </c>
    </row>
    <row r="11" spans="1:5" x14ac:dyDescent="0.25">
      <c r="A11" t="s">
        <v>870</v>
      </c>
      <c r="B11" t="str">
        <f t="shared" si="0"/>
        <v>EB2</v>
      </c>
      <c r="C11" s="10">
        <v>10</v>
      </c>
      <c r="D11" t="str">
        <f t="shared" ref="D11:D42" si="3">CONCATENATE("0",C11)</f>
        <v>010</v>
      </c>
      <c r="E11" s="10">
        <f t="shared" si="2"/>
        <v>1</v>
      </c>
    </row>
    <row r="12" spans="1:5" x14ac:dyDescent="0.25">
      <c r="A12" t="s">
        <v>871</v>
      </c>
      <c r="B12" t="str">
        <f t="shared" si="0"/>
        <v>EV2</v>
      </c>
      <c r="C12" s="10">
        <v>11</v>
      </c>
      <c r="D12" t="str">
        <f t="shared" si="3"/>
        <v>011</v>
      </c>
      <c r="E12" s="10">
        <f t="shared" si="2"/>
        <v>1</v>
      </c>
    </row>
    <row r="13" spans="1:5" x14ac:dyDescent="0.25">
      <c r="A13" t="s">
        <v>872</v>
      </c>
      <c r="B13" t="str">
        <f t="shared" si="0"/>
        <v>DME-13</v>
      </c>
      <c r="C13" s="10">
        <v>12</v>
      </c>
      <c r="D13" t="str">
        <f t="shared" si="3"/>
        <v>012</v>
      </c>
      <c r="E13" s="10">
        <f t="shared" si="2"/>
        <v>1</v>
      </c>
    </row>
    <row r="14" spans="1:5" x14ac:dyDescent="0.25">
      <c r="A14" t="s">
        <v>873</v>
      </c>
      <c r="B14" t="str">
        <f t="shared" si="0"/>
        <v>Patio-Acopio-17</v>
      </c>
      <c r="C14" s="10">
        <v>13</v>
      </c>
      <c r="D14" t="str">
        <f t="shared" si="3"/>
        <v>013</v>
      </c>
      <c r="E14" s="10">
        <f t="shared" si="2"/>
        <v>1</v>
      </c>
    </row>
    <row r="15" spans="1:5" x14ac:dyDescent="0.25">
      <c r="A15" t="s">
        <v>874</v>
      </c>
      <c r="B15" t="str">
        <f t="shared" si="0"/>
        <v>Ruta-SE-a-DME-13</v>
      </c>
      <c r="C15" s="10">
        <v>14</v>
      </c>
      <c r="D15" t="str">
        <f t="shared" si="3"/>
        <v>014</v>
      </c>
      <c r="E15" s="10">
        <f t="shared" si="2"/>
        <v>1</v>
      </c>
    </row>
    <row r="16" spans="1:5" x14ac:dyDescent="0.25">
      <c r="A16" t="s">
        <v>875</v>
      </c>
      <c r="B16" t="str">
        <f t="shared" si="0"/>
        <v>Area-patio-19b-y-armado</v>
      </c>
      <c r="C16" s="10">
        <v>15</v>
      </c>
      <c r="D16" t="str">
        <f t="shared" si="3"/>
        <v>015</v>
      </c>
      <c r="E16" s="10">
        <f t="shared" si="2"/>
        <v>1</v>
      </c>
    </row>
    <row r="17" spans="1:5" x14ac:dyDescent="0.25">
      <c r="A17" t="s">
        <v>876</v>
      </c>
      <c r="B17" t="str">
        <f t="shared" si="0"/>
        <v>Subestacion-El-Mauro</v>
      </c>
      <c r="C17" s="10">
        <v>16</v>
      </c>
      <c r="D17" t="str">
        <f t="shared" si="3"/>
        <v>016</v>
      </c>
      <c r="E17" s="10">
        <f t="shared" si="2"/>
        <v>1</v>
      </c>
    </row>
    <row r="18" spans="1:5" x14ac:dyDescent="0.25">
      <c r="A18" t="s">
        <v>877</v>
      </c>
      <c r="B18" t="str">
        <f t="shared" si="0"/>
        <v>Cachimba_de_Bajo_Camisas_ED2</v>
      </c>
      <c r="C18" s="10">
        <v>17</v>
      </c>
      <c r="D18" t="str">
        <f t="shared" si="3"/>
        <v>017</v>
      </c>
      <c r="E18" s="10">
        <f t="shared" si="2"/>
        <v>1</v>
      </c>
    </row>
    <row r="19" spans="1:5" x14ac:dyDescent="0.25">
      <c r="A19" t="s">
        <v>878</v>
      </c>
      <c r="B19" t="str">
        <f t="shared" si="0"/>
        <v>Sector_Pupio_I_Area_1</v>
      </c>
      <c r="C19" s="10">
        <v>18</v>
      </c>
      <c r="D19" t="str">
        <f t="shared" si="3"/>
        <v>018</v>
      </c>
      <c r="E19" s="10">
        <f t="shared" si="2"/>
        <v>1</v>
      </c>
    </row>
    <row r="20" spans="1:5" x14ac:dyDescent="0.25">
      <c r="A20" t="s">
        <v>879</v>
      </c>
      <c r="B20" t="str">
        <f t="shared" si="0"/>
        <v>Monte_Aranda_82p3_a_80p7</v>
      </c>
      <c r="C20" s="10">
        <v>19</v>
      </c>
      <c r="D20" t="str">
        <f t="shared" si="3"/>
        <v>019</v>
      </c>
      <c r="E20" s="10">
        <f t="shared" si="2"/>
        <v>1</v>
      </c>
    </row>
    <row r="21" spans="1:5" x14ac:dyDescent="0.25">
      <c r="A21" t="s">
        <v>880</v>
      </c>
      <c r="B21" t="str">
        <f t="shared" si="0"/>
        <v>Monte-Aranda-84p2-a-82p3</v>
      </c>
      <c r="C21" s="10">
        <v>20</v>
      </c>
      <c r="D21" t="str">
        <f t="shared" si="3"/>
        <v>020</v>
      </c>
      <c r="E21" s="10">
        <f t="shared" si="2"/>
        <v>1</v>
      </c>
    </row>
    <row r="22" spans="1:5" x14ac:dyDescent="0.25">
      <c r="A22" t="s">
        <v>881</v>
      </c>
      <c r="B22" t="str">
        <f t="shared" si="0"/>
        <v>EDT</v>
      </c>
      <c r="C22" s="10">
        <v>21</v>
      </c>
      <c r="D22" t="str">
        <f t="shared" si="3"/>
        <v>021</v>
      </c>
      <c r="E22" s="10">
        <f t="shared" si="2"/>
        <v>1</v>
      </c>
    </row>
    <row r="23" spans="1:5" x14ac:dyDescent="0.25">
      <c r="A23" t="s">
        <v>882</v>
      </c>
      <c r="B23" t="str">
        <f t="shared" si="0"/>
        <v>IIFF15-Campamento-Tipay</v>
      </c>
      <c r="C23" s="10">
        <v>22</v>
      </c>
      <c r="D23" t="str">
        <f t="shared" si="3"/>
        <v>022</v>
      </c>
      <c r="E23" s="10">
        <f t="shared" si="2"/>
        <v>1</v>
      </c>
    </row>
    <row r="24" spans="1:5" x14ac:dyDescent="0.25">
      <c r="A24" t="s">
        <v>883</v>
      </c>
      <c r="B24" t="str">
        <f t="shared" si="0"/>
        <v>DME9_PA12_IIFF8</v>
      </c>
      <c r="C24" s="10">
        <v>23</v>
      </c>
      <c r="D24" t="str">
        <f t="shared" si="3"/>
        <v>023</v>
      </c>
      <c r="E24" s="10">
        <f t="shared" si="2"/>
        <v>1</v>
      </c>
    </row>
    <row r="25" spans="1:5" x14ac:dyDescent="0.25">
      <c r="A25" t="s">
        <v>884</v>
      </c>
      <c r="B25" t="str">
        <f t="shared" si="0"/>
        <v>ED1_IIFF7_DME8</v>
      </c>
      <c r="C25" s="10">
        <v>24</v>
      </c>
      <c r="D25" t="str">
        <f t="shared" si="3"/>
        <v>024</v>
      </c>
      <c r="E25" s="10">
        <f t="shared" si="2"/>
        <v>1</v>
      </c>
    </row>
    <row r="26" spans="1:5" x14ac:dyDescent="0.25">
      <c r="A26" t="s">
        <v>885</v>
      </c>
      <c r="B26" t="str">
        <f t="shared" si="0"/>
        <v>EM2_PA11_01</v>
      </c>
      <c r="C26" s="10">
        <v>25</v>
      </c>
      <c r="D26" t="str">
        <f t="shared" si="3"/>
        <v>025</v>
      </c>
      <c r="E26" s="10">
        <f t="shared" si="2"/>
        <v>1</v>
      </c>
    </row>
    <row r="27" spans="1:5" x14ac:dyDescent="0.25">
      <c r="A27" t="s">
        <v>886</v>
      </c>
      <c r="B27" t="str">
        <f t="shared" si="0"/>
        <v>DME5A_DME17_a_NSTC_78p9</v>
      </c>
      <c r="C27" s="10">
        <v>26</v>
      </c>
      <c r="D27" t="str">
        <f t="shared" si="3"/>
        <v>026</v>
      </c>
      <c r="E27" s="10">
        <f t="shared" si="2"/>
        <v>1</v>
      </c>
    </row>
    <row r="28" spans="1:5" x14ac:dyDescent="0.25">
      <c r="A28" t="s">
        <v>887</v>
      </c>
      <c r="B28" t="str">
        <f t="shared" si="0"/>
        <v>ByPassDrenes_Estacion_Drenes_El_Mauro</v>
      </c>
      <c r="C28" s="10">
        <v>27</v>
      </c>
      <c r="D28" t="str">
        <f t="shared" si="3"/>
        <v>027</v>
      </c>
      <c r="E28" s="10">
        <f t="shared" si="2"/>
        <v>1</v>
      </c>
    </row>
    <row r="29" spans="1:5" x14ac:dyDescent="0.25">
      <c r="A29" t="s">
        <v>888</v>
      </c>
      <c r="B29" t="str">
        <f t="shared" si="0"/>
        <v>Estacion_Drenes_El_Mauro</v>
      </c>
      <c r="C29" s="10">
        <v>28</v>
      </c>
      <c r="D29" t="str">
        <f t="shared" si="3"/>
        <v>028</v>
      </c>
      <c r="E29" s="10">
        <f t="shared" si="2"/>
        <v>1</v>
      </c>
    </row>
    <row r="30" spans="1:5" x14ac:dyDescent="0.25">
      <c r="A30" t="s">
        <v>889</v>
      </c>
      <c r="B30" t="str">
        <f t="shared" si="0"/>
        <v>CaminoAcceso03_LasAnimas</v>
      </c>
      <c r="C30" s="10">
        <v>29</v>
      </c>
      <c r="D30" t="str">
        <f t="shared" si="3"/>
        <v>029</v>
      </c>
      <c r="E30" s="10">
        <f t="shared" si="2"/>
        <v>1</v>
      </c>
    </row>
    <row r="31" spans="1:5" x14ac:dyDescent="0.25">
      <c r="A31" t="s">
        <v>890</v>
      </c>
      <c r="B31" t="str">
        <f t="shared" si="0"/>
        <v>EM3</v>
      </c>
      <c r="C31" s="10">
        <v>30</v>
      </c>
      <c r="D31" t="str">
        <f t="shared" si="3"/>
        <v>030</v>
      </c>
      <c r="E31" s="10">
        <f t="shared" si="2"/>
        <v>1</v>
      </c>
    </row>
    <row r="32" spans="1:5" x14ac:dyDescent="0.25">
      <c r="A32" t="s">
        <v>891</v>
      </c>
      <c r="B32" t="str">
        <f t="shared" si="0"/>
        <v>33-kv-74p7-a-75p5</v>
      </c>
      <c r="C32" s="10">
        <v>31</v>
      </c>
      <c r="D32" t="str">
        <f t="shared" si="3"/>
        <v>031</v>
      </c>
      <c r="E32" s="10">
        <f t="shared" si="2"/>
        <v>1</v>
      </c>
    </row>
    <row r="33" spans="1:5" x14ac:dyDescent="0.25">
      <c r="A33" t="s">
        <v>892</v>
      </c>
      <c r="B33" t="str">
        <f t="shared" si="0"/>
        <v>33-kV-NSTC-km-75p5-a-76p4</v>
      </c>
      <c r="C33" s="10">
        <v>32</v>
      </c>
      <c r="D33" t="str">
        <f t="shared" si="3"/>
        <v>032</v>
      </c>
      <c r="E33" s="10">
        <f t="shared" si="2"/>
        <v>1</v>
      </c>
    </row>
    <row r="34" spans="1:5" x14ac:dyDescent="0.25">
      <c r="A34" t="s">
        <v>893</v>
      </c>
      <c r="B34" t="str">
        <f t="shared" si="0"/>
        <v>EB2</v>
      </c>
      <c r="C34" s="10">
        <v>33</v>
      </c>
      <c r="D34" t="str">
        <f t="shared" si="3"/>
        <v>033</v>
      </c>
      <c r="E34" s="10">
        <f t="shared" si="2"/>
        <v>1</v>
      </c>
    </row>
    <row r="35" spans="1:5" x14ac:dyDescent="0.25">
      <c r="A35" t="s">
        <v>894</v>
      </c>
      <c r="B35" t="str">
        <f t="shared" si="0"/>
        <v>EV2</v>
      </c>
      <c r="C35" s="10">
        <v>34</v>
      </c>
      <c r="D35" t="str">
        <f t="shared" si="3"/>
        <v>034</v>
      </c>
      <c r="E35" s="10">
        <f t="shared" si="2"/>
        <v>1</v>
      </c>
    </row>
    <row r="36" spans="1:5" x14ac:dyDescent="0.25">
      <c r="A36" t="s">
        <v>895</v>
      </c>
      <c r="B36" t="str">
        <f t="shared" si="0"/>
        <v>EV2_a_NSTC_Km_87p1</v>
      </c>
      <c r="C36" s="10">
        <v>35</v>
      </c>
      <c r="D36" t="str">
        <f t="shared" si="3"/>
        <v>035</v>
      </c>
      <c r="E36" s="10">
        <f t="shared" si="2"/>
        <v>1</v>
      </c>
    </row>
    <row r="37" spans="1:5" x14ac:dyDescent="0.25">
      <c r="A37" t="s">
        <v>896</v>
      </c>
      <c r="B37" t="str">
        <f t="shared" si="0"/>
        <v>Tramo_EV2_a_EB2</v>
      </c>
      <c r="C37" s="10">
        <v>36</v>
      </c>
      <c r="D37" t="str">
        <f t="shared" si="3"/>
        <v>036</v>
      </c>
      <c r="E37" s="10">
        <f t="shared" si="2"/>
        <v>1</v>
      </c>
    </row>
    <row r="38" spans="1:5" x14ac:dyDescent="0.25">
      <c r="A38" t="s">
        <v>897</v>
      </c>
      <c r="B38" t="str">
        <f t="shared" si="0"/>
        <v>Subestacion_El_Mauro</v>
      </c>
      <c r="C38" s="10">
        <v>37</v>
      </c>
      <c r="D38" t="str">
        <f t="shared" si="3"/>
        <v>037</v>
      </c>
      <c r="E38" s="10">
        <f t="shared" si="2"/>
        <v>1</v>
      </c>
    </row>
    <row r="39" spans="1:5" x14ac:dyDescent="0.25">
      <c r="A39" t="s">
        <v>898</v>
      </c>
      <c r="B39" t="str">
        <f t="shared" si="0"/>
        <v>NSTC_Km_36p5_a_37p7</v>
      </c>
      <c r="C39" s="10">
        <v>38</v>
      </c>
      <c r="D39" t="str">
        <f t="shared" si="3"/>
        <v>038</v>
      </c>
      <c r="E39" s="10">
        <f t="shared" si="2"/>
        <v>1</v>
      </c>
    </row>
    <row r="40" spans="1:5" x14ac:dyDescent="0.25">
      <c r="A40" t="s">
        <v>899</v>
      </c>
      <c r="B40" t="str">
        <f t="shared" si="0"/>
        <v>NSTC_Km_37p7_a_39</v>
      </c>
      <c r="C40" s="10">
        <v>39</v>
      </c>
      <c r="D40" t="str">
        <f t="shared" si="3"/>
        <v>039</v>
      </c>
      <c r="E40" s="10">
        <f t="shared" si="2"/>
        <v>1</v>
      </c>
    </row>
    <row r="41" spans="1:5" x14ac:dyDescent="0.25">
      <c r="A41" t="s">
        <v>900</v>
      </c>
      <c r="B41" t="str">
        <f t="shared" si="0"/>
        <v>NSTC_Km_40p4_a_PA10</v>
      </c>
      <c r="C41" s="10">
        <v>40</v>
      </c>
      <c r="D41" t="str">
        <f t="shared" si="3"/>
        <v>040</v>
      </c>
      <c r="E41" s="10">
        <f t="shared" si="2"/>
        <v>1</v>
      </c>
    </row>
    <row r="42" spans="1:5" x14ac:dyDescent="0.25">
      <c r="A42" t="s">
        <v>901</v>
      </c>
      <c r="B42" t="str">
        <f t="shared" si="0"/>
        <v>NSTC-Km_39_a_40p4f</v>
      </c>
      <c r="C42" s="10">
        <v>41</v>
      </c>
      <c r="D42" t="str">
        <f t="shared" si="3"/>
        <v>041</v>
      </c>
      <c r="E42" s="10">
        <f t="shared" si="2"/>
        <v>1</v>
      </c>
    </row>
    <row r="43" spans="1:5" x14ac:dyDescent="0.25">
      <c r="A43" t="s">
        <v>902</v>
      </c>
      <c r="B43" t="str">
        <f t="shared" si="0"/>
        <v>NSTC_Km_121p5_a_123p5f</v>
      </c>
      <c r="C43" s="10">
        <v>42</v>
      </c>
      <c r="D43" t="str">
        <f t="shared" ref="D43:D74" si="4">CONCATENATE("0",C43)</f>
        <v>042</v>
      </c>
      <c r="E43" s="10">
        <f t="shared" si="2"/>
        <v>1</v>
      </c>
    </row>
    <row r="44" spans="1:5" x14ac:dyDescent="0.25">
      <c r="A44" t="s">
        <v>903</v>
      </c>
      <c r="B44" t="str">
        <f t="shared" si="0"/>
        <v>NSTC_Km_123p5_a_124p7f</v>
      </c>
      <c r="C44" s="10">
        <v>43</v>
      </c>
      <c r="D44" t="str">
        <f t="shared" si="4"/>
        <v>043</v>
      </c>
      <c r="E44" s="10">
        <f t="shared" si="2"/>
        <v>1</v>
      </c>
    </row>
    <row r="45" spans="1:5" x14ac:dyDescent="0.25">
      <c r="A45" t="s">
        <v>904</v>
      </c>
      <c r="B45" t="str">
        <f t="shared" si="0"/>
        <v>EV2</v>
      </c>
      <c r="C45" s="10">
        <v>44</v>
      </c>
      <c r="D45" t="str">
        <f t="shared" si="4"/>
        <v>044</v>
      </c>
      <c r="E45" s="10">
        <f t="shared" si="2"/>
        <v>1</v>
      </c>
    </row>
    <row r="46" spans="1:5" x14ac:dyDescent="0.25">
      <c r="A46" t="s">
        <v>905</v>
      </c>
      <c r="B46" t="str">
        <f t="shared" si="0"/>
        <v>Monte_Aranda_82p3_a_80p7</v>
      </c>
      <c r="C46" s="10">
        <v>45</v>
      </c>
      <c r="D46" t="str">
        <f t="shared" si="4"/>
        <v>045</v>
      </c>
      <c r="E46" s="10">
        <f t="shared" si="2"/>
        <v>1</v>
      </c>
    </row>
    <row r="47" spans="1:5" x14ac:dyDescent="0.25">
      <c r="A47" t="s">
        <v>906</v>
      </c>
      <c r="B47" t="str">
        <f t="shared" si="0"/>
        <v>Monte_Aranda_84p2_a_82p3</v>
      </c>
      <c r="C47" s="10">
        <v>46</v>
      </c>
      <c r="D47" t="str">
        <f t="shared" si="4"/>
        <v>046</v>
      </c>
      <c r="E47" s="10">
        <f t="shared" si="2"/>
        <v>1</v>
      </c>
    </row>
    <row r="48" spans="1:5" x14ac:dyDescent="0.25">
      <c r="A48" t="s">
        <v>249</v>
      </c>
      <c r="B48" t="str">
        <f t="shared" si="0"/>
        <v>Tramo_EV2_a_EB2</v>
      </c>
      <c r="C48" s="10">
        <v>47</v>
      </c>
      <c r="D48" t="str">
        <f t="shared" si="4"/>
        <v>047</v>
      </c>
      <c r="E48" s="10">
        <f t="shared" si="2"/>
        <v>1</v>
      </c>
    </row>
    <row r="49" spans="1:5" x14ac:dyDescent="0.25">
      <c r="A49" t="s">
        <v>907</v>
      </c>
      <c r="B49" t="str">
        <f t="shared" si="0"/>
        <v>DME9_PA12_IIFF8_2</v>
      </c>
      <c r="C49" s="10">
        <v>48</v>
      </c>
      <c r="D49" t="str">
        <f t="shared" si="4"/>
        <v>048</v>
      </c>
      <c r="E49" s="10">
        <f t="shared" si="2"/>
        <v>1</v>
      </c>
    </row>
    <row r="50" spans="1:5" x14ac:dyDescent="0.25">
      <c r="A50" t="s">
        <v>908</v>
      </c>
      <c r="B50" t="str">
        <f t="shared" si="0"/>
        <v>EM2_PA10_PA11_2</v>
      </c>
      <c r="C50" s="10">
        <v>49</v>
      </c>
      <c r="D50" t="str">
        <f t="shared" si="4"/>
        <v>049</v>
      </c>
      <c r="E50" s="10">
        <f t="shared" si="2"/>
        <v>1</v>
      </c>
    </row>
    <row r="51" spans="1:5" x14ac:dyDescent="0.25">
      <c r="A51" t="s">
        <v>909</v>
      </c>
      <c r="B51" t="str">
        <f t="shared" si="0"/>
        <v>EV1</v>
      </c>
      <c r="C51" s="10">
        <v>50</v>
      </c>
      <c r="D51" t="str">
        <f t="shared" si="4"/>
        <v>050</v>
      </c>
      <c r="E51" s="10">
        <f t="shared" si="2"/>
        <v>1</v>
      </c>
    </row>
    <row r="52" spans="1:5" x14ac:dyDescent="0.25">
      <c r="A52" t="s">
        <v>910</v>
      </c>
      <c r="B52" t="str">
        <f t="shared" si="0"/>
        <v>IIFF4_PA4</v>
      </c>
      <c r="C52" s="10">
        <v>51</v>
      </c>
      <c r="D52" t="str">
        <f t="shared" si="4"/>
        <v>051</v>
      </c>
      <c r="E52" s="10">
        <f t="shared" si="2"/>
        <v>1</v>
      </c>
    </row>
    <row r="53" spans="1:5" x14ac:dyDescent="0.25">
      <c r="A53" t="s">
        <v>911</v>
      </c>
      <c r="B53" t="str">
        <f t="shared" si="0"/>
        <v>NSTC_Km_16p1_a_DME4</v>
      </c>
      <c r="C53" s="10">
        <v>52</v>
      </c>
      <c r="D53" t="str">
        <f t="shared" si="4"/>
        <v>052</v>
      </c>
      <c r="E53" s="10">
        <f t="shared" si="2"/>
        <v>1</v>
      </c>
    </row>
    <row r="54" spans="1:5" x14ac:dyDescent="0.25">
      <c r="A54" t="s">
        <v>912</v>
      </c>
      <c r="B54" t="str">
        <f t="shared" si="0"/>
        <v>NSTC_Km_100_a_101</v>
      </c>
      <c r="C54" s="10">
        <v>53</v>
      </c>
      <c r="D54" t="str">
        <f t="shared" si="4"/>
        <v>053</v>
      </c>
      <c r="E54" s="10">
        <f t="shared" si="2"/>
        <v>1</v>
      </c>
    </row>
    <row r="55" spans="1:5" x14ac:dyDescent="0.25">
      <c r="A55" t="s">
        <v>913</v>
      </c>
      <c r="B55" t="str">
        <f t="shared" si="0"/>
        <v>NSTC_Km_101_a_102f</v>
      </c>
      <c r="C55" s="10">
        <v>54</v>
      </c>
      <c r="D55" t="str">
        <f t="shared" si="4"/>
        <v>054</v>
      </c>
      <c r="E55" s="10">
        <f t="shared" si="2"/>
        <v>1</v>
      </c>
    </row>
    <row r="56" spans="1:5" x14ac:dyDescent="0.25">
      <c r="A56" t="s">
        <v>914</v>
      </c>
      <c r="B56" t="str">
        <f t="shared" si="0"/>
        <v>NSTC_Km_102_a_103p2f</v>
      </c>
      <c r="C56" s="10">
        <v>55</v>
      </c>
      <c r="D56" t="str">
        <f t="shared" si="4"/>
        <v>055</v>
      </c>
      <c r="E56" s="10">
        <f t="shared" si="2"/>
        <v>1</v>
      </c>
    </row>
    <row r="57" spans="1:5" x14ac:dyDescent="0.25">
      <c r="A57" t="s">
        <v>915</v>
      </c>
      <c r="B57" t="str">
        <f t="shared" si="0"/>
        <v>Oreja_16_NSTC_103p3_a_103p8_2f</v>
      </c>
      <c r="C57" s="10">
        <v>56</v>
      </c>
      <c r="D57" t="str">
        <f t="shared" si="4"/>
        <v>056</v>
      </c>
      <c r="E57" s="10">
        <f t="shared" si="2"/>
        <v>1</v>
      </c>
    </row>
    <row r="58" spans="1:5" x14ac:dyDescent="0.25">
      <c r="A58" t="s">
        <v>916</v>
      </c>
      <c r="B58" t="str">
        <f t="shared" si="0"/>
        <v>Oreja_17_NSTC_103p7_a_104p9_2f</v>
      </c>
      <c r="C58" s="10">
        <v>57</v>
      </c>
      <c r="D58" t="str">
        <f t="shared" si="4"/>
        <v>057</v>
      </c>
      <c r="E58" s="10">
        <f t="shared" si="2"/>
        <v>1</v>
      </c>
    </row>
    <row r="59" spans="1:5" x14ac:dyDescent="0.25">
      <c r="A59" t="s">
        <v>917</v>
      </c>
      <c r="B59" t="str">
        <f t="shared" si="0"/>
        <v>NSTC_Km_105p6_a_107f</v>
      </c>
      <c r="C59" s="10">
        <v>58</v>
      </c>
      <c r="D59" t="str">
        <f t="shared" si="4"/>
        <v>058</v>
      </c>
      <c r="E59" s="10">
        <f t="shared" si="2"/>
        <v>1</v>
      </c>
    </row>
    <row r="60" spans="1:5" x14ac:dyDescent="0.25">
      <c r="A60" t="s">
        <v>918</v>
      </c>
      <c r="B60" t="str">
        <f t="shared" si="0"/>
        <v>NSTC_Km_99_a_100f</v>
      </c>
      <c r="C60" s="10">
        <v>59</v>
      </c>
      <c r="D60" t="str">
        <f t="shared" si="4"/>
        <v>059</v>
      </c>
      <c r="E60" s="10">
        <f t="shared" si="2"/>
        <v>1</v>
      </c>
    </row>
    <row r="61" spans="1:5" x14ac:dyDescent="0.25">
      <c r="A61" t="s">
        <v>919</v>
      </c>
      <c r="B61" t="str">
        <f t="shared" si="0"/>
        <v>Oreja_18_NSTC_104p9_a_105p6_2f</v>
      </c>
      <c r="C61" s="10">
        <v>60</v>
      </c>
      <c r="D61" t="str">
        <f t="shared" si="4"/>
        <v>060</v>
      </c>
      <c r="E61" s="10">
        <f t="shared" si="2"/>
        <v>1</v>
      </c>
    </row>
    <row r="62" spans="1:5" x14ac:dyDescent="0.25">
      <c r="A62" t="s">
        <v>920</v>
      </c>
      <c r="B62" t="str">
        <f t="shared" si="0"/>
        <v>NSTC_Km_107_a_108</v>
      </c>
      <c r="C62" s="10">
        <v>61</v>
      </c>
      <c r="D62" t="str">
        <f t="shared" si="4"/>
        <v>061</v>
      </c>
      <c r="E62" s="10">
        <f t="shared" si="2"/>
        <v>1</v>
      </c>
    </row>
    <row r="63" spans="1:5" x14ac:dyDescent="0.25">
      <c r="A63" t="s">
        <v>921</v>
      </c>
      <c r="B63" t="str">
        <f t="shared" si="0"/>
        <v>NSTC_Km_108_a_109p1</v>
      </c>
      <c r="C63" s="10">
        <v>62</v>
      </c>
      <c r="D63" t="str">
        <f t="shared" si="4"/>
        <v>062</v>
      </c>
      <c r="E63" s="10">
        <f t="shared" si="2"/>
        <v>1</v>
      </c>
    </row>
    <row r="64" spans="1:5" x14ac:dyDescent="0.25">
      <c r="A64" t="s">
        <v>922</v>
      </c>
      <c r="B64" t="str">
        <f t="shared" si="0"/>
        <v>NSTC_Km_109p1_a_110</v>
      </c>
      <c r="C64" s="10">
        <v>63</v>
      </c>
      <c r="D64" t="str">
        <f t="shared" si="4"/>
        <v>063</v>
      </c>
      <c r="E64" s="10">
        <f t="shared" si="2"/>
        <v>1</v>
      </c>
    </row>
    <row r="65" spans="1:5" x14ac:dyDescent="0.25">
      <c r="A65" t="s">
        <v>923</v>
      </c>
      <c r="B65" t="str">
        <f t="shared" si="0"/>
        <v>NSTC_Km_110_a_111</v>
      </c>
      <c r="C65" s="10">
        <v>64</v>
      </c>
      <c r="D65" t="str">
        <f t="shared" si="4"/>
        <v>064</v>
      </c>
      <c r="E65" s="10">
        <f t="shared" si="2"/>
        <v>1</v>
      </c>
    </row>
    <row r="66" spans="1:5" x14ac:dyDescent="0.25">
      <c r="A66" t="s">
        <v>924</v>
      </c>
      <c r="B66" t="str">
        <f t="shared" ref="B66:B129" si="5">RIGHT(A66, LEN(A66)-29)</f>
        <v>NSTC_Km_111_a_112</v>
      </c>
      <c r="C66" s="10">
        <v>65</v>
      </c>
      <c r="D66" t="str">
        <f t="shared" si="4"/>
        <v>065</v>
      </c>
      <c r="E66" s="10">
        <f t="shared" si="2"/>
        <v>1</v>
      </c>
    </row>
    <row r="67" spans="1:5" x14ac:dyDescent="0.25">
      <c r="A67" t="s">
        <v>925</v>
      </c>
      <c r="B67" t="str">
        <f t="shared" si="5"/>
        <v>Linea_33_kV_NorteElMauro_Area11_11</v>
      </c>
      <c r="C67" s="10">
        <v>66</v>
      </c>
      <c r="D67" t="str">
        <f t="shared" si="4"/>
        <v>066</v>
      </c>
      <c r="E67" s="10">
        <f t="shared" ref="E67:E130" si="6">C67-C66</f>
        <v>1</v>
      </c>
    </row>
    <row r="68" spans="1:5" x14ac:dyDescent="0.25">
      <c r="A68" t="s">
        <v>926</v>
      </c>
      <c r="B68" t="str">
        <f t="shared" si="5"/>
        <v>Linea_33_kV_NorteElMauro_Area12_12</v>
      </c>
      <c r="C68" s="10">
        <v>67</v>
      </c>
      <c r="D68" t="str">
        <f t="shared" si="4"/>
        <v>067</v>
      </c>
      <c r="E68" s="10">
        <f t="shared" si="6"/>
        <v>1</v>
      </c>
    </row>
    <row r="69" spans="1:5" x14ac:dyDescent="0.25">
      <c r="A69" t="s">
        <v>927</v>
      </c>
      <c r="B69" t="str">
        <f t="shared" si="5"/>
        <v>Linea_33_kV_NorteElMauro_Area10_10</v>
      </c>
      <c r="C69" s="10">
        <v>68</v>
      </c>
      <c r="D69" t="str">
        <f t="shared" si="4"/>
        <v>068</v>
      </c>
      <c r="E69" s="10">
        <f t="shared" si="6"/>
        <v>1</v>
      </c>
    </row>
    <row r="70" spans="1:5" x14ac:dyDescent="0.25">
      <c r="A70" t="s">
        <v>928</v>
      </c>
      <c r="B70" t="str">
        <f t="shared" si="5"/>
        <v>Linea_33_kV_NorteElMauro_Area9_9</v>
      </c>
      <c r="C70" s="10">
        <v>69</v>
      </c>
      <c r="D70" t="str">
        <f t="shared" si="4"/>
        <v>069</v>
      </c>
      <c r="E70" s="10">
        <f t="shared" si="6"/>
        <v>1</v>
      </c>
    </row>
    <row r="71" spans="1:5" x14ac:dyDescent="0.25">
      <c r="A71" t="s">
        <v>929</v>
      </c>
      <c r="B71" t="str">
        <f t="shared" si="5"/>
        <v>Linea_33_kV_NorteElMauro_Area7_7</v>
      </c>
      <c r="C71" s="10">
        <v>70</v>
      </c>
      <c r="D71" t="str">
        <f t="shared" si="4"/>
        <v>070</v>
      </c>
      <c r="E71" s="10">
        <f t="shared" si="6"/>
        <v>1</v>
      </c>
    </row>
    <row r="72" spans="1:5" x14ac:dyDescent="0.25">
      <c r="A72" t="s">
        <v>930</v>
      </c>
      <c r="B72" t="str">
        <f t="shared" si="5"/>
        <v>Linea_33_kV_NorteElMauro_Area8_8</v>
      </c>
      <c r="C72" s="10">
        <v>71</v>
      </c>
      <c r="D72" t="str">
        <f t="shared" si="4"/>
        <v>071</v>
      </c>
      <c r="E72" s="10">
        <f t="shared" si="6"/>
        <v>1</v>
      </c>
    </row>
    <row r="73" spans="1:5" x14ac:dyDescent="0.25">
      <c r="A73" t="s">
        <v>931</v>
      </c>
      <c r="B73" t="str">
        <f t="shared" si="5"/>
        <v>Linea_33_kV_NorteElMauro_Area5_5</v>
      </c>
      <c r="C73" s="10">
        <v>72</v>
      </c>
      <c r="D73" t="str">
        <f t="shared" si="4"/>
        <v>072</v>
      </c>
      <c r="E73" s="10">
        <f t="shared" si="6"/>
        <v>1</v>
      </c>
    </row>
    <row r="74" spans="1:5" x14ac:dyDescent="0.25">
      <c r="A74" t="s">
        <v>932</v>
      </c>
      <c r="B74" t="str">
        <f t="shared" si="5"/>
        <v>Linea_33_kV_NorteElMauro_Area6_6</v>
      </c>
      <c r="C74" s="10">
        <v>73</v>
      </c>
      <c r="D74" t="str">
        <f t="shared" si="4"/>
        <v>073</v>
      </c>
      <c r="E74" s="10">
        <f t="shared" si="6"/>
        <v>1</v>
      </c>
    </row>
    <row r="75" spans="1:5" x14ac:dyDescent="0.25">
      <c r="A75" t="s">
        <v>933</v>
      </c>
      <c r="B75" t="str">
        <f t="shared" si="5"/>
        <v>Linea_33_kV_NorteElMauro_Area3_3</v>
      </c>
      <c r="C75" s="10">
        <v>74</v>
      </c>
      <c r="D75" t="str">
        <f t="shared" ref="D75:D100" si="7">CONCATENATE("0",C75)</f>
        <v>074</v>
      </c>
      <c r="E75" s="10">
        <f t="shared" si="6"/>
        <v>1</v>
      </c>
    </row>
    <row r="76" spans="1:5" x14ac:dyDescent="0.25">
      <c r="A76" t="s">
        <v>934</v>
      </c>
      <c r="B76" t="str">
        <f t="shared" si="5"/>
        <v>Linea_33_kV_NorteElMauro_Area4_4</v>
      </c>
      <c r="C76" s="10">
        <v>75</v>
      </c>
      <c r="D76" t="str">
        <f t="shared" si="7"/>
        <v>075</v>
      </c>
      <c r="E76" s="10">
        <f t="shared" si="6"/>
        <v>1</v>
      </c>
    </row>
    <row r="77" spans="1:5" x14ac:dyDescent="0.25">
      <c r="A77" t="s">
        <v>935</v>
      </c>
      <c r="B77" t="str">
        <f t="shared" si="5"/>
        <v>DME5C_DME_16_a_NSTC_79p4</v>
      </c>
      <c r="C77" s="10">
        <v>76</v>
      </c>
      <c r="D77" t="str">
        <f t="shared" si="7"/>
        <v>076</v>
      </c>
      <c r="E77" s="10">
        <f t="shared" si="6"/>
        <v>1</v>
      </c>
    </row>
    <row r="78" spans="1:5" x14ac:dyDescent="0.25">
      <c r="A78" t="s">
        <v>936</v>
      </c>
      <c r="B78" t="str">
        <f t="shared" si="5"/>
        <v>Instalacion_FaenaN15_Alrededores_Tipay_2</v>
      </c>
      <c r="C78" s="10">
        <v>77</v>
      </c>
      <c r="D78" t="str">
        <f t="shared" si="7"/>
        <v>077</v>
      </c>
      <c r="E78" s="10">
        <f t="shared" si="6"/>
        <v>1</v>
      </c>
    </row>
    <row r="79" spans="1:5" x14ac:dyDescent="0.25">
      <c r="A79" t="s">
        <v>937</v>
      </c>
      <c r="B79" t="str">
        <f t="shared" si="5"/>
        <v>EstructuraTranquilla_NSTC_Km_20_a_21</v>
      </c>
      <c r="C79" s="10">
        <v>78</v>
      </c>
      <c r="D79" t="str">
        <f t="shared" si="7"/>
        <v>078</v>
      </c>
      <c r="E79" s="10">
        <f t="shared" si="6"/>
        <v>1</v>
      </c>
    </row>
    <row r="80" spans="1:5" x14ac:dyDescent="0.25">
      <c r="A80" t="s">
        <v>938</v>
      </c>
      <c r="B80" t="str">
        <f t="shared" si="5"/>
        <v>NSTC_Km_21_a_22_DME5</v>
      </c>
      <c r="C80" s="10">
        <v>79</v>
      </c>
      <c r="D80" t="str">
        <f t="shared" si="7"/>
        <v>079</v>
      </c>
      <c r="E80" s="10">
        <f t="shared" si="6"/>
        <v>1</v>
      </c>
    </row>
    <row r="81" spans="1:5" x14ac:dyDescent="0.25">
      <c r="A81" t="s">
        <v>939</v>
      </c>
      <c r="B81" t="str">
        <f t="shared" si="5"/>
        <v>Tranquilla_NSTC_Km_18_a_19</v>
      </c>
      <c r="C81" s="10">
        <v>80</v>
      </c>
      <c r="D81" t="str">
        <f t="shared" si="7"/>
        <v>080</v>
      </c>
      <c r="E81" s="10">
        <f t="shared" si="6"/>
        <v>1</v>
      </c>
    </row>
    <row r="82" spans="1:5" x14ac:dyDescent="0.25">
      <c r="A82" t="s">
        <v>940</v>
      </c>
      <c r="B82" t="str">
        <f t="shared" si="5"/>
        <v>Tranquilla_NSTC_Km_19_a_20</v>
      </c>
      <c r="C82" s="10">
        <v>81</v>
      </c>
      <c r="D82" t="str">
        <f t="shared" si="7"/>
        <v>081</v>
      </c>
      <c r="E82" s="10">
        <f t="shared" si="6"/>
        <v>1</v>
      </c>
    </row>
    <row r="83" spans="1:5" x14ac:dyDescent="0.25">
      <c r="A83" t="s">
        <v>941</v>
      </c>
      <c r="B83" t="str">
        <f t="shared" si="5"/>
        <v>NSTC_Km_112_a_113</v>
      </c>
      <c r="C83" s="10">
        <v>82</v>
      </c>
      <c r="D83" t="str">
        <f t="shared" si="7"/>
        <v>082</v>
      </c>
      <c r="E83" s="10">
        <f t="shared" si="6"/>
        <v>1</v>
      </c>
    </row>
    <row r="84" spans="1:5" x14ac:dyDescent="0.25">
      <c r="A84" t="s">
        <v>942</v>
      </c>
      <c r="B84" t="str">
        <f t="shared" si="5"/>
        <v>NSTC_Km_113_a_114</v>
      </c>
      <c r="C84" s="10">
        <v>83</v>
      </c>
      <c r="D84" t="str">
        <f t="shared" si="7"/>
        <v>083</v>
      </c>
      <c r="E84" s="10">
        <f t="shared" si="6"/>
        <v>1</v>
      </c>
    </row>
    <row r="85" spans="1:5" x14ac:dyDescent="0.25">
      <c r="A85" t="s">
        <v>943</v>
      </c>
      <c r="B85" t="str">
        <f t="shared" si="5"/>
        <v>NSTC_Km_114_a_115</v>
      </c>
      <c r="C85" s="10">
        <v>84</v>
      </c>
      <c r="D85" t="str">
        <f t="shared" si="7"/>
        <v>084</v>
      </c>
      <c r="E85" s="10">
        <f t="shared" si="6"/>
        <v>1</v>
      </c>
    </row>
    <row r="86" spans="1:5" x14ac:dyDescent="0.25">
      <c r="A86" t="s">
        <v>944</v>
      </c>
      <c r="B86" t="str">
        <f t="shared" si="5"/>
        <v>NSTC_Km_115_a_116p4</v>
      </c>
      <c r="C86" s="10">
        <v>85</v>
      </c>
      <c r="D86" t="str">
        <f t="shared" si="7"/>
        <v>085</v>
      </c>
      <c r="E86" s="10">
        <f t="shared" si="6"/>
        <v>1</v>
      </c>
    </row>
    <row r="87" spans="1:5" x14ac:dyDescent="0.25">
      <c r="A87" t="s">
        <v>945</v>
      </c>
      <c r="B87" t="str">
        <f t="shared" si="5"/>
        <v>Area_Mauro_H</v>
      </c>
      <c r="C87" s="10">
        <v>86</v>
      </c>
      <c r="D87" t="str">
        <f t="shared" si="7"/>
        <v>086</v>
      </c>
      <c r="E87" s="10">
        <f t="shared" si="6"/>
        <v>1</v>
      </c>
    </row>
    <row r="88" spans="1:5" x14ac:dyDescent="0.25">
      <c r="A88" t="s">
        <v>945</v>
      </c>
      <c r="B88" t="str">
        <f t="shared" si="5"/>
        <v>Area_Mauro_H</v>
      </c>
      <c r="C88" s="10">
        <v>87</v>
      </c>
      <c r="D88" t="str">
        <f t="shared" si="7"/>
        <v>087</v>
      </c>
      <c r="E88" s="10">
        <f t="shared" si="6"/>
        <v>1</v>
      </c>
    </row>
    <row r="89" spans="1:5" x14ac:dyDescent="0.25">
      <c r="A89" t="s">
        <v>946</v>
      </c>
      <c r="B89" t="str">
        <f t="shared" si="5"/>
        <v>ElMauro_Asentamiento_AeronauticoGP</v>
      </c>
      <c r="C89" s="10">
        <v>88</v>
      </c>
      <c r="D89" t="str">
        <f t="shared" si="7"/>
        <v>088</v>
      </c>
      <c r="E89" s="10">
        <f t="shared" si="6"/>
        <v>1</v>
      </c>
    </row>
    <row r="90" spans="1:5" x14ac:dyDescent="0.25">
      <c r="A90" t="s">
        <v>947</v>
      </c>
      <c r="B90" t="str">
        <f t="shared" si="5"/>
        <v>Linea33kV_Norte_El_Mauro_Area_1_1</v>
      </c>
      <c r="C90" s="10">
        <v>89</v>
      </c>
      <c r="D90" t="str">
        <f t="shared" si="7"/>
        <v>089</v>
      </c>
      <c r="E90" s="10">
        <f t="shared" si="6"/>
        <v>1</v>
      </c>
    </row>
    <row r="91" spans="1:5" x14ac:dyDescent="0.25">
      <c r="A91" t="s">
        <v>948</v>
      </c>
      <c r="B91" t="str">
        <f t="shared" si="5"/>
        <v>Linea33kV_Norte_El_Mauro_Area_2_2</v>
      </c>
      <c r="C91" s="10">
        <v>90</v>
      </c>
      <c r="D91" t="str">
        <f t="shared" si="7"/>
        <v>090</v>
      </c>
      <c r="E91" s="10">
        <f t="shared" si="6"/>
        <v>1</v>
      </c>
    </row>
    <row r="92" spans="1:5" x14ac:dyDescent="0.25">
      <c r="A92" t="s">
        <v>949</v>
      </c>
      <c r="B92" t="str">
        <f t="shared" si="5"/>
        <v>EC-TK100-SRA2</v>
      </c>
      <c r="C92" s="10">
        <v>91</v>
      </c>
      <c r="D92" t="str">
        <f t="shared" si="7"/>
        <v>091</v>
      </c>
      <c r="E92" s="10">
        <f t="shared" si="6"/>
        <v>1</v>
      </c>
    </row>
    <row r="93" spans="1:5" x14ac:dyDescent="0.25">
      <c r="A93" t="s">
        <v>950</v>
      </c>
      <c r="B93" t="str">
        <f t="shared" si="5"/>
        <v>NSTC-2p3-a-4p4-Area-1</v>
      </c>
      <c r="C93" s="10">
        <v>92</v>
      </c>
      <c r="D93" t="str">
        <f t="shared" si="7"/>
        <v>092</v>
      </c>
      <c r="E93" s="10">
        <f t="shared" si="6"/>
        <v>1</v>
      </c>
    </row>
    <row r="94" spans="1:5" x14ac:dyDescent="0.25">
      <c r="A94" t="s">
        <v>951</v>
      </c>
      <c r="B94" t="str">
        <f t="shared" si="5"/>
        <v>NSTC-Km-0-a-1p1-SRA</v>
      </c>
      <c r="C94" s="10">
        <v>93</v>
      </c>
      <c r="D94" t="str">
        <f t="shared" si="7"/>
        <v>093</v>
      </c>
      <c r="E94" s="10">
        <f t="shared" si="6"/>
        <v>1</v>
      </c>
    </row>
    <row r="95" spans="1:5" x14ac:dyDescent="0.25">
      <c r="A95" t="s">
        <v>952</v>
      </c>
      <c r="B95" t="str">
        <f t="shared" si="5"/>
        <v>NSTC-Km-1p1-a-1p5-SRA</v>
      </c>
      <c r="C95" s="10">
        <v>94</v>
      </c>
      <c r="D95" t="str">
        <f t="shared" si="7"/>
        <v>094</v>
      </c>
      <c r="E95" s="10">
        <f t="shared" si="6"/>
        <v>1</v>
      </c>
    </row>
    <row r="96" spans="1:5" x14ac:dyDescent="0.25">
      <c r="A96" t="s">
        <v>953</v>
      </c>
      <c r="B96" t="str">
        <f t="shared" si="5"/>
        <v>NSTC-Km-1p5-a-2p2</v>
      </c>
      <c r="C96" s="10">
        <v>95</v>
      </c>
      <c r="D96" t="str">
        <f t="shared" si="7"/>
        <v>095</v>
      </c>
      <c r="E96" s="10">
        <f t="shared" si="6"/>
        <v>1</v>
      </c>
    </row>
    <row r="97" spans="1:5" x14ac:dyDescent="0.25">
      <c r="A97" t="s">
        <v>954</v>
      </c>
      <c r="B97" t="str">
        <f t="shared" si="5"/>
        <v>NSTC-km-2p2-a-3p5</v>
      </c>
      <c r="C97" s="10">
        <v>96</v>
      </c>
      <c r="D97" t="str">
        <f t="shared" si="7"/>
        <v>096</v>
      </c>
      <c r="E97" s="10">
        <f t="shared" si="6"/>
        <v>1</v>
      </c>
    </row>
    <row r="98" spans="1:5" x14ac:dyDescent="0.25">
      <c r="A98" t="s">
        <v>955</v>
      </c>
      <c r="B98" t="str">
        <f t="shared" si="5"/>
        <v>SRA-2-km-56p1-a-57p7-Area-2</v>
      </c>
      <c r="C98" s="10">
        <v>97</v>
      </c>
      <c r="D98" t="str">
        <f t="shared" si="7"/>
        <v>097</v>
      </c>
      <c r="E98" s="10">
        <f t="shared" si="6"/>
        <v>1</v>
      </c>
    </row>
    <row r="99" spans="1:5" x14ac:dyDescent="0.25">
      <c r="A99" t="s">
        <v>956</v>
      </c>
      <c r="B99" t="str">
        <f t="shared" si="5"/>
        <v>SRA2-Km-57p7-a-59</v>
      </c>
      <c r="C99" s="10">
        <v>98</v>
      </c>
      <c r="D99" t="str">
        <f t="shared" si="7"/>
        <v>098</v>
      </c>
      <c r="E99" s="10">
        <f t="shared" si="6"/>
        <v>1</v>
      </c>
    </row>
    <row r="100" spans="1:5" x14ac:dyDescent="0.25">
      <c r="A100" t="s">
        <v>957</v>
      </c>
      <c r="B100" t="str">
        <f t="shared" si="5"/>
        <v>EM1</v>
      </c>
      <c r="C100" s="10">
        <v>99</v>
      </c>
      <c r="D100" t="str">
        <f t="shared" si="7"/>
        <v>099</v>
      </c>
      <c r="E100" s="10">
        <f t="shared" si="6"/>
        <v>1</v>
      </c>
    </row>
    <row r="101" spans="1:5" x14ac:dyDescent="0.25">
      <c r="A101" t="s">
        <v>958</v>
      </c>
      <c r="B101" t="str">
        <f t="shared" si="5"/>
        <v>EM1-EstacionChoapa3</v>
      </c>
      <c r="C101" s="10">
        <v>100</v>
      </c>
      <c r="D101" s="10">
        <f t="shared" ref="D101:D164" si="8">C101</f>
        <v>100</v>
      </c>
      <c r="E101" s="10">
        <f t="shared" si="6"/>
        <v>1</v>
      </c>
    </row>
    <row r="102" spans="1:5" x14ac:dyDescent="0.25">
      <c r="A102" t="s">
        <v>959</v>
      </c>
      <c r="B102" t="str">
        <f t="shared" si="5"/>
        <v>NSTC-km-7p0-a-8p3</v>
      </c>
      <c r="C102" s="10">
        <v>101</v>
      </c>
      <c r="D102" s="10">
        <f t="shared" si="8"/>
        <v>101</v>
      </c>
      <c r="E102" s="10">
        <f t="shared" si="6"/>
        <v>1</v>
      </c>
    </row>
    <row r="103" spans="1:5" x14ac:dyDescent="0.25">
      <c r="A103" t="s">
        <v>960</v>
      </c>
      <c r="B103" t="str">
        <f t="shared" si="5"/>
        <v>SRA-2-53p2-a-54p6</v>
      </c>
      <c r="C103" s="10">
        <v>102</v>
      </c>
      <c r="D103" s="10">
        <f t="shared" si="8"/>
        <v>102</v>
      </c>
      <c r="E103" s="10">
        <f t="shared" si="6"/>
        <v>1</v>
      </c>
    </row>
    <row r="104" spans="1:5" x14ac:dyDescent="0.25">
      <c r="A104" t="s">
        <v>961</v>
      </c>
      <c r="B104" t="str">
        <f t="shared" si="5"/>
        <v>NSTC_Km_87p1_a_88p7</v>
      </c>
      <c r="C104" s="10">
        <v>103</v>
      </c>
      <c r="D104" s="10">
        <f t="shared" si="8"/>
        <v>103</v>
      </c>
      <c r="E104" s="10">
        <f t="shared" si="6"/>
        <v>1</v>
      </c>
    </row>
    <row r="105" spans="1:5" x14ac:dyDescent="0.25">
      <c r="A105" t="s">
        <v>962</v>
      </c>
      <c r="B105" t="str">
        <f t="shared" si="5"/>
        <v>Pupio_I_sector_2_2</v>
      </c>
      <c r="C105" s="10">
        <v>104</v>
      </c>
      <c r="D105" s="10">
        <f t="shared" si="8"/>
        <v>104</v>
      </c>
      <c r="E105" s="10">
        <f t="shared" si="6"/>
        <v>1</v>
      </c>
    </row>
    <row r="106" spans="1:5" x14ac:dyDescent="0.25">
      <c r="A106" t="s">
        <v>963</v>
      </c>
      <c r="B106" t="str">
        <f t="shared" si="5"/>
        <v>NSTC_Km_91p5_a_92</v>
      </c>
      <c r="C106" s="10">
        <v>105</v>
      </c>
      <c r="D106" s="10">
        <f t="shared" si="8"/>
        <v>105</v>
      </c>
      <c r="E106" s="10">
        <f t="shared" si="6"/>
        <v>1</v>
      </c>
    </row>
    <row r="107" spans="1:5" x14ac:dyDescent="0.25">
      <c r="A107" t="s">
        <v>964</v>
      </c>
      <c r="B107" t="str">
        <f t="shared" si="5"/>
        <v>NSTC_Km_92_a_93</v>
      </c>
      <c r="C107" s="10">
        <v>106</v>
      </c>
      <c r="D107" s="10">
        <f t="shared" si="8"/>
        <v>106</v>
      </c>
      <c r="E107" s="10">
        <f t="shared" si="6"/>
        <v>1</v>
      </c>
    </row>
    <row r="108" spans="1:5" x14ac:dyDescent="0.25">
      <c r="A108" t="s">
        <v>965</v>
      </c>
      <c r="B108" t="str">
        <f t="shared" si="5"/>
        <v>NSTC_Km_93_a_94</v>
      </c>
      <c r="C108" s="10">
        <v>107</v>
      </c>
      <c r="D108" s="10">
        <f t="shared" si="8"/>
        <v>107</v>
      </c>
      <c r="E108" s="10">
        <f t="shared" si="6"/>
        <v>1</v>
      </c>
    </row>
    <row r="109" spans="1:5" x14ac:dyDescent="0.25">
      <c r="A109" t="s">
        <v>966</v>
      </c>
      <c r="B109" t="str">
        <f t="shared" si="5"/>
        <v>NSTC_Km_94_a_95</v>
      </c>
      <c r="C109" s="10">
        <v>108</v>
      </c>
      <c r="D109" s="10">
        <f t="shared" si="8"/>
        <v>108</v>
      </c>
      <c r="E109" s="10">
        <f t="shared" si="6"/>
        <v>1</v>
      </c>
    </row>
    <row r="110" spans="1:5" x14ac:dyDescent="0.25">
      <c r="A110" t="s">
        <v>967</v>
      </c>
      <c r="B110" t="str">
        <f t="shared" si="5"/>
        <v>DME5A_DME17_a_NSTC_78p9</v>
      </c>
      <c r="C110" s="10">
        <v>109</v>
      </c>
      <c r="D110" s="10">
        <f t="shared" si="8"/>
        <v>109</v>
      </c>
      <c r="E110" s="10">
        <f t="shared" si="6"/>
        <v>1</v>
      </c>
    </row>
    <row r="111" spans="1:5" x14ac:dyDescent="0.25">
      <c r="A111" t="s">
        <v>968</v>
      </c>
      <c r="B111" t="str">
        <f t="shared" si="5"/>
        <v>DME5C_DME_16_a_NSTC_79p4</v>
      </c>
      <c r="C111" s="10">
        <v>110</v>
      </c>
      <c r="D111" s="10">
        <f t="shared" si="8"/>
        <v>110</v>
      </c>
      <c r="E111" s="10">
        <f t="shared" si="6"/>
        <v>1</v>
      </c>
    </row>
    <row r="112" spans="1:5" x14ac:dyDescent="0.25">
      <c r="A112" t="s">
        <v>969</v>
      </c>
      <c r="B112" t="str">
        <f t="shared" si="5"/>
        <v>ElMauro_E7_E9</v>
      </c>
      <c r="C112" s="10">
        <v>111</v>
      </c>
      <c r="D112" s="10">
        <f t="shared" si="8"/>
        <v>111</v>
      </c>
      <c r="E112" s="10">
        <f t="shared" si="6"/>
        <v>1</v>
      </c>
    </row>
    <row r="113" spans="1:5" x14ac:dyDescent="0.25">
      <c r="A113" t="s">
        <v>970</v>
      </c>
      <c r="B113" t="str">
        <f t="shared" si="5"/>
        <v>ElMauro_E7_E8</v>
      </c>
      <c r="C113" s="10">
        <v>112</v>
      </c>
      <c r="D113" s="10">
        <f t="shared" si="8"/>
        <v>112</v>
      </c>
      <c r="E113" s="10">
        <f t="shared" si="6"/>
        <v>1</v>
      </c>
    </row>
    <row r="114" spans="1:5" x14ac:dyDescent="0.25">
      <c r="A114" t="s">
        <v>971</v>
      </c>
      <c r="B114" t="str">
        <f t="shared" si="5"/>
        <v>DME_13</v>
      </c>
      <c r="C114" s="10">
        <v>113</v>
      </c>
      <c r="D114" s="10">
        <f t="shared" si="8"/>
        <v>113</v>
      </c>
      <c r="E114" s="10">
        <f t="shared" si="6"/>
        <v>1</v>
      </c>
    </row>
    <row r="115" spans="1:5" x14ac:dyDescent="0.25">
      <c r="A115" t="s">
        <v>972</v>
      </c>
      <c r="B115" t="str">
        <f t="shared" si="5"/>
        <v>NSTC_Km_100_a_101</v>
      </c>
      <c r="C115" s="10">
        <v>114</v>
      </c>
      <c r="D115" s="10">
        <f t="shared" si="8"/>
        <v>114</v>
      </c>
      <c r="E115" s="10">
        <f t="shared" si="6"/>
        <v>1</v>
      </c>
    </row>
    <row r="116" spans="1:5" x14ac:dyDescent="0.25">
      <c r="A116" t="s">
        <v>973</v>
      </c>
      <c r="B116" t="str">
        <f t="shared" si="5"/>
        <v>Oreja_17_NSTC_103p7_a_104p9</v>
      </c>
      <c r="C116" s="10">
        <v>115</v>
      </c>
      <c r="D116" s="10">
        <f t="shared" si="8"/>
        <v>115</v>
      </c>
      <c r="E116" s="10">
        <f t="shared" si="6"/>
        <v>1</v>
      </c>
    </row>
    <row r="117" spans="1:5" x14ac:dyDescent="0.25">
      <c r="A117" t="s">
        <v>974</v>
      </c>
      <c r="B117" t="str">
        <f t="shared" si="5"/>
        <v>Oreja_18_NSTC_104p9_a_105p6</v>
      </c>
      <c r="C117" s="10">
        <v>116</v>
      </c>
      <c r="D117" s="10">
        <f t="shared" si="8"/>
        <v>116</v>
      </c>
      <c r="E117" s="10">
        <f t="shared" si="6"/>
        <v>1</v>
      </c>
    </row>
    <row r="118" spans="1:5" x14ac:dyDescent="0.25">
      <c r="A118" t="s">
        <v>975</v>
      </c>
      <c r="B118" t="str">
        <f t="shared" si="5"/>
        <v>NSTC_km_4p4_a_7p0</v>
      </c>
      <c r="C118" s="10">
        <v>117</v>
      </c>
      <c r="D118" s="10">
        <f t="shared" si="8"/>
        <v>117</v>
      </c>
      <c r="E118" s="10">
        <f t="shared" si="6"/>
        <v>1</v>
      </c>
    </row>
    <row r="119" spans="1:5" x14ac:dyDescent="0.25">
      <c r="A119" t="s">
        <v>976</v>
      </c>
      <c r="B119" t="str">
        <f t="shared" si="5"/>
        <v>SRA_2_km_54p6_a_56p1_Area-1</v>
      </c>
      <c r="C119" s="10">
        <v>118</v>
      </c>
      <c r="D119" s="10">
        <f t="shared" si="8"/>
        <v>118</v>
      </c>
      <c r="E119" s="10">
        <f t="shared" si="6"/>
        <v>1</v>
      </c>
    </row>
    <row r="120" spans="1:5" x14ac:dyDescent="0.25">
      <c r="A120" t="s">
        <v>977</v>
      </c>
      <c r="B120" t="str">
        <f t="shared" si="5"/>
        <v>CanalAraya_NSTC_Km_17_a_18</v>
      </c>
      <c r="C120" s="10">
        <v>119</v>
      </c>
      <c r="D120" s="10">
        <f t="shared" si="8"/>
        <v>119</v>
      </c>
      <c r="E120" s="10">
        <f t="shared" si="6"/>
        <v>1</v>
      </c>
    </row>
    <row r="121" spans="1:5" x14ac:dyDescent="0.25">
      <c r="A121" t="s">
        <v>978</v>
      </c>
      <c r="B121" t="str">
        <f t="shared" si="5"/>
        <v>DME7_PA7_IF6</v>
      </c>
      <c r="C121" s="10">
        <v>120</v>
      </c>
      <c r="D121" s="10">
        <f t="shared" si="8"/>
        <v>120</v>
      </c>
      <c r="E121" s="10">
        <f t="shared" si="6"/>
        <v>1</v>
      </c>
    </row>
    <row r="122" spans="1:5" x14ac:dyDescent="0.25">
      <c r="A122" t="s">
        <v>979</v>
      </c>
      <c r="B122" t="str">
        <f t="shared" si="5"/>
        <v>NSTC_Km_21_a_22_DME5</v>
      </c>
      <c r="C122" s="10">
        <v>121</v>
      </c>
      <c r="D122" s="10">
        <f t="shared" si="8"/>
        <v>121</v>
      </c>
      <c r="E122" s="10">
        <f t="shared" si="6"/>
        <v>1</v>
      </c>
    </row>
    <row r="123" spans="1:5" x14ac:dyDescent="0.25">
      <c r="A123" t="s">
        <v>980</v>
      </c>
      <c r="B123" t="str">
        <f t="shared" si="5"/>
        <v>NSTC_Km_31_a_32</v>
      </c>
      <c r="C123" s="10">
        <v>122</v>
      </c>
      <c r="D123" s="10">
        <f t="shared" si="8"/>
        <v>122</v>
      </c>
      <c r="E123" s="10">
        <f t="shared" si="6"/>
        <v>1</v>
      </c>
    </row>
    <row r="124" spans="1:5" x14ac:dyDescent="0.25">
      <c r="A124" t="s">
        <v>981</v>
      </c>
      <c r="B124" t="str">
        <f t="shared" si="5"/>
        <v>DME9-PA12-IIFF8_03</v>
      </c>
      <c r="C124" s="10">
        <v>123</v>
      </c>
      <c r="D124" s="10">
        <f t="shared" si="8"/>
        <v>123</v>
      </c>
      <c r="E124" s="10">
        <f t="shared" si="6"/>
        <v>1</v>
      </c>
    </row>
    <row r="125" spans="1:5" x14ac:dyDescent="0.25">
      <c r="A125" t="s">
        <v>982</v>
      </c>
      <c r="B125" t="str">
        <f t="shared" si="5"/>
        <v>Drenaje-Bajo-Quelen</v>
      </c>
      <c r="C125" s="10">
        <v>124</v>
      </c>
      <c r="D125" s="10">
        <f t="shared" si="8"/>
        <v>124</v>
      </c>
      <c r="E125" s="10">
        <f t="shared" si="6"/>
        <v>1</v>
      </c>
    </row>
    <row r="126" spans="1:5" x14ac:dyDescent="0.25">
      <c r="A126" t="s">
        <v>983</v>
      </c>
      <c r="B126" t="str">
        <f t="shared" si="5"/>
        <v>ED1-IIFF7-DME8_02</v>
      </c>
      <c r="C126" s="10">
        <v>125</v>
      </c>
      <c r="D126" s="10">
        <f t="shared" si="8"/>
        <v>125</v>
      </c>
      <c r="E126" s="10">
        <f t="shared" si="6"/>
        <v>1</v>
      </c>
    </row>
    <row r="127" spans="1:5" x14ac:dyDescent="0.25">
      <c r="A127" t="s">
        <v>984</v>
      </c>
      <c r="B127" t="str">
        <f t="shared" si="5"/>
        <v>EM2-PA10-PA11_03</v>
      </c>
      <c r="C127" s="10">
        <v>126</v>
      </c>
      <c r="D127" s="10">
        <f t="shared" si="8"/>
        <v>126</v>
      </c>
      <c r="E127" s="10">
        <f t="shared" si="6"/>
        <v>1</v>
      </c>
    </row>
    <row r="128" spans="1:5" x14ac:dyDescent="0.25">
      <c r="A128" t="s">
        <v>985</v>
      </c>
      <c r="B128" t="str">
        <f t="shared" si="5"/>
        <v>EB2_03</v>
      </c>
      <c r="C128" s="10">
        <v>127</v>
      </c>
      <c r="D128" s="10">
        <f t="shared" si="8"/>
        <v>127</v>
      </c>
      <c r="E128" s="10">
        <f t="shared" si="6"/>
        <v>1</v>
      </c>
    </row>
    <row r="129" spans="1:5" x14ac:dyDescent="0.25">
      <c r="A129" t="s">
        <v>986</v>
      </c>
      <c r="B129" t="str">
        <f t="shared" si="5"/>
        <v>EV2_04</v>
      </c>
      <c r="C129" s="10">
        <v>128</v>
      </c>
      <c r="D129" s="10">
        <f t="shared" si="8"/>
        <v>128</v>
      </c>
      <c r="E129" s="10">
        <f t="shared" si="6"/>
        <v>1</v>
      </c>
    </row>
    <row r="130" spans="1:5" x14ac:dyDescent="0.25">
      <c r="A130" t="s">
        <v>987</v>
      </c>
      <c r="B130" t="str">
        <f t="shared" ref="B130:B193" si="9">RIGHT(A130, LEN(A130)-29)</f>
        <v>IIFFN13A</v>
      </c>
      <c r="C130" s="10">
        <v>129</v>
      </c>
      <c r="D130" s="10">
        <f t="shared" si="8"/>
        <v>129</v>
      </c>
      <c r="E130" s="10">
        <f t="shared" si="6"/>
        <v>1</v>
      </c>
    </row>
    <row r="131" spans="1:5" x14ac:dyDescent="0.25">
      <c r="A131" t="s">
        <v>988</v>
      </c>
      <c r="B131" t="str">
        <f t="shared" si="9"/>
        <v>Tramo-EV2-a-EB2_03</v>
      </c>
      <c r="C131" s="10">
        <v>130</v>
      </c>
      <c r="D131" s="10">
        <f t="shared" si="8"/>
        <v>130</v>
      </c>
      <c r="E131" s="10">
        <f t="shared" ref="E131:E194" si="10">C131-C130</f>
        <v>1</v>
      </c>
    </row>
    <row r="132" spans="1:5" x14ac:dyDescent="0.25">
      <c r="A132" t="s">
        <v>989</v>
      </c>
      <c r="B132" t="str">
        <f t="shared" si="9"/>
        <v>ED2_02</v>
      </c>
      <c r="C132" s="10">
        <v>131</v>
      </c>
      <c r="D132" s="10">
        <f t="shared" si="8"/>
        <v>131</v>
      </c>
      <c r="E132" s="10">
        <f t="shared" si="10"/>
        <v>1</v>
      </c>
    </row>
    <row r="133" spans="1:5" x14ac:dyDescent="0.25">
      <c r="A133" t="s">
        <v>990</v>
      </c>
      <c r="B133" t="str">
        <f t="shared" si="9"/>
        <v>EM3_02</v>
      </c>
      <c r="C133" s="10">
        <v>132</v>
      </c>
      <c r="D133" s="10">
        <f t="shared" si="8"/>
        <v>132</v>
      </c>
      <c r="E133" s="10">
        <f t="shared" si="10"/>
        <v>1</v>
      </c>
    </row>
    <row r="134" spans="1:5" x14ac:dyDescent="0.25">
      <c r="A134" t="s">
        <v>991</v>
      </c>
      <c r="B134" t="str">
        <f t="shared" si="9"/>
        <v>NSTC-Km-50p3-a-51</v>
      </c>
      <c r="C134" s="10">
        <v>133</v>
      </c>
      <c r="D134" s="10">
        <f t="shared" si="8"/>
        <v>133</v>
      </c>
      <c r="E134" s="10">
        <f t="shared" si="10"/>
        <v>1</v>
      </c>
    </row>
    <row r="135" spans="1:5" x14ac:dyDescent="0.25">
      <c r="A135" t="s">
        <v>992</v>
      </c>
      <c r="B135" t="str">
        <f t="shared" si="9"/>
        <v>NSTC-Km-56-a-57p2</v>
      </c>
      <c r="C135" s="10">
        <v>134</v>
      </c>
      <c r="D135" s="10">
        <f t="shared" si="8"/>
        <v>134</v>
      </c>
      <c r="E135" s="10">
        <f t="shared" si="10"/>
        <v>1</v>
      </c>
    </row>
    <row r="136" spans="1:5" x14ac:dyDescent="0.25">
      <c r="A136" t="s">
        <v>993</v>
      </c>
      <c r="B136" t="str">
        <f t="shared" si="9"/>
        <v>Linea-33-kV-NorteElMauro-Area11_02</v>
      </c>
      <c r="C136" s="10">
        <v>135</v>
      </c>
      <c r="D136" s="10">
        <f t="shared" si="8"/>
        <v>135</v>
      </c>
      <c r="E136" s="10">
        <f t="shared" si="10"/>
        <v>1</v>
      </c>
    </row>
    <row r="137" spans="1:5" x14ac:dyDescent="0.25">
      <c r="A137" t="s">
        <v>994</v>
      </c>
      <c r="B137" t="str">
        <f t="shared" si="9"/>
        <v>Linea-33-kV-NorteElMauro-Area12_02</v>
      </c>
      <c r="C137" s="10">
        <v>136</v>
      </c>
      <c r="D137" s="10">
        <f t="shared" si="8"/>
        <v>136</v>
      </c>
      <c r="E137" s="10">
        <f t="shared" si="10"/>
        <v>1</v>
      </c>
    </row>
    <row r="138" spans="1:5" x14ac:dyDescent="0.25">
      <c r="A138" t="s">
        <v>995</v>
      </c>
      <c r="B138" t="str">
        <f t="shared" si="9"/>
        <v>Linea-33-kV-NorteElMauro-Area10_02</v>
      </c>
      <c r="C138" s="10">
        <v>137</v>
      </c>
      <c r="D138" s="10">
        <f t="shared" si="8"/>
        <v>137</v>
      </c>
      <c r="E138" s="10">
        <f t="shared" si="10"/>
        <v>1</v>
      </c>
    </row>
    <row r="139" spans="1:5" x14ac:dyDescent="0.25">
      <c r="A139" t="s">
        <v>996</v>
      </c>
      <c r="B139" t="str">
        <f t="shared" si="9"/>
        <v>Linea-33-kV-NorteElMauro-Area9_02</v>
      </c>
      <c r="C139" s="10">
        <v>138</v>
      </c>
      <c r="D139" s="10">
        <f t="shared" si="8"/>
        <v>138</v>
      </c>
      <c r="E139" s="10">
        <f t="shared" si="10"/>
        <v>1</v>
      </c>
    </row>
    <row r="140" spans="1:5" x14ac:dyDescent="0.25">
      <c r="A140" t="s">
        <v>997</v>
      </c>
      <c r="B140" t="str">
        <f t="shared" si="9"/>
        <v>Linea-33-kV-NorteElMauro-Area7_02</v>
      </c>
      <c r="C140" s="10">
        <v>139</v>
      </c>
      <c r="D140" s="10">
        <f t="shared" si="8"/>
        <v>139</v>
      </c>
      <c r="E140" s="10">
        <f t="shared" si="10"/>
        <v>1</v>
      </c>
    </row>
    <row r="141" spans="1:5" x14ac:dyDescent="0.25">
      <c r="A141" t="s">
        <v>998</v>
      </c>
      <c r="B141" t="str">
        <f t="shared" si="9"/>
        <v>Linea-33-kV-NorteElMauro-Area8_02</v>
      </c>
      <c r="C141" s="10">
        <v>140</v>
      </c>
      <c r="D141" s="10">
        <f t="shared" si="8"/>
        <v>140</v>
      </c>
      <c r="E141" s="10">
        <f t="shared" si="10"/>
        <v>1</v>
      </c>
    </row>
    <row r="142" spans="1:5" x14ac:dyDescent="0.25">
      <c r="A142" t="s">
        <v>999</v>
      </c>
      <c r="B142" t="str">
        <f t="shared" si="9"/>
        <v>Linea-33-kV-NorteElMauro-Area5_02</v>
      </c>
      <c r="C142" s="10">
        <v>141</v>
      </c>
      <c r="D142" s="10">
        <f t="shared" si="8"/>
        <v>141</v>
      </c>
      <c r="E142" s="10">
        <f t="shared" si="10"/>
        <v>1</v>
      </c>
    </row>
    <row r="143" spans="1:5" x14ac:dyDescent="0.25">
      <c r="A143" t="s">
        <v>1000</v>
      </c>
      <c r="B143" t="str">
        <f t="shared" si="9"/>
        <v>Linea-33-kV-NorteElMauro-Area6_02</v>
      </c>
      <c r="C143" s="10">
        <v>142</v>
      </c>
      <c r="D143" s="10">
        <f t="shared" si="8"/>
        <v>142</v>
      </c>
      <c r="E143" s="10">
        <f t="shared" si="10"/>
        <v>1</v>
      </c>
    </row>
    <row r="144" spans="1:5" x14ac:dyDescent="0.25">
      <c r="A144" t="s">
        <v>1001</v>
      </c>
      <c r="B144" t="str">
        <f t="shared" si="9"/>
        <v>Plataforma_Integrada_El_Mauro</v>
      </c>
      <c r="C144">
        <v>143</v>
      </c>
      <c r="D144" s="10">
        <f t="shared" si="8"/>
        <v>143</v>
      </c>
      <c r="E144" s="10">
        <f t="shared" si="10"/>
        <v>1</v>
      </c>
    </row>
    <row r="145" spans="1:5" x14ac:dyDescent="0.25">
      <c r="A145" t="s">
        <v>1002</v>
      </c>
      <c r="B145" t="str">
        <f t="shared" si="9"/>
        <v>Plataforma_Integrada_El_Mauro</v>
      </c>
      <c r="C145">
        <v>144</v>
      </c>
      <c r="D145" s="10">
        <f t="shared" si="8"/>
        <v>144</v>
      </c>
      <c r="E145" s="10">
        <f t="shared" si="10"/>
        <v>1</v>
      </c>
    </row>
    <row r="146" spans="1:5" x14ac:dyDescent="0.25">
      <c r="A146" t="s">
        <v>1003</v>
      </c>
      <c r="B146" t="str">
        <f t="shared" si="9"/>
        <v>Plataforma_Integrada_El_Mauro</v>
      </c>
      <c r="C146">
        <v>145</v>
      </c>
      <c r="D146" s="10">
        <f t="shared" si="8"/>
        <v>145</v>
      </c>
      <c r="E146" s="10">
        <f t="shared" si="10"/>
        <v>1</v>
      </c>
    </row>
    <row r="147" spans="1:5" x14ac:dyDescent="0.25">
      <c r="A147" t="s">
        <v>1004</v>
      </c>
      <c r="B147" t="str">
        <f t="shared" si="9"/>
        <v>DME5A-DME17-a-NSTC-78p9</v>
      </c>
      <c r="C147">
        <v>146</v>
      </c>
      <c r="D147" s="10">
        <f t="shared" si="8"/>
        <v>146</v>
      </c>
      <c r="E147" s="10">
        <f t="shared" si="10"/>
        <v>1</v>
      </c>
    </row>
    <row r="148" spans="1:5" x14ac:dyDescent="0.25">
      <c r="A148" t="s">
        <v>1005</v>
      </c>
      <c r="B148" t="str">
        <f t="shared" si="9"/>
        <v>EV2</v>
      </c>
      <c r="C148">
        <v>147</v>
      </c>
      <c r="D148" s="10">
        <f t="shared" si="8"/>
        <v>147</v>
      </c>
      <c r="E148" s="10">
        <f t="shared" si="10"/>
        <v>1</v>
      </c>
    </row>
    <row r="149" spans="1:5" x14ac:dyDescent="0.25">
      <c r="A149" t="s">
        <v>1006</v>
      </c>
      <c r="B149" t="str">
        <f t="shared" si="9"/>
        <v>ED2</v>
      </c>
      <c r="C149">
        <v>148</v>
      </c>
      <c r="D149" s="10">
        <f t="shared" si="8"/>
        <v>148</v>
      </c>
      <c r="E149" s="10">
        <f t="shared" si="10"/>
        <v>1</v>
      </c>
    </row>
    <row r="150" spans="1:5" x14ac:dyDescent="0.25">
      <c r="A150" t="s">
        <v>1007</v>
      </c>
      <c r="B150" t="str">
        <f t="shared" si="9"/>
        <v>Linea-33-kV-NorteElMauro-Area12</v>
      </c>
      <c r="C150">
        <v>149</v>
      </c>
      <c r="D150" s="10">
        <f t="shared" si="8"/>
        <v>149</v>
      </c>
      <c r="E150" s="10">
        <f t="shared" si="10"/>
        <v>1</v>
      </c>
    </row>
    <row r="151" spans="1:5" x14ac:dyDescent="0.25">
      <c r="A151" t="s">
        <v>1008</v>
      </c>
      <c r="B151" t="str">
        <f t="shared" si="9"/>
        <v>Patio-19B-y-Armado</v>
      </c>
      <c r="C151">
        <v>150</v>
      </c>
      <c r="D151" s="10">
        <f t="shared" si="8"/>
        <v>150</v>
      </c>
      <c r="E151" s="10">
        <f t="shared" si="10"/>
        <v>1</v>
      </c>
    </row>
    <row r="152" spans="1:5" x14ac:dyDescent="0.25">
      <c r="A152" t="s">
        <v>1009</v>
      </c>
      <c r="B152" t="str">
        <f t="shared" si="9"/>
        <v>TORRE_E48_A_E84_PV4</v>
      </c>
      <c r="C152">
        <v>151</v>
      </c>
      <c r="D152" s="10">
        <f t="shared" si="8"/>
        <v>151</v>
      </c>
      <c r="E152" s="10">
        <f t="shared" si="10"/>
        <v>1</v>
      </c>
    </row>
    <row r="153" spans="1:5" x14ac:dyDescent="0.25">
      <c r="A153" t="s">
        <v>1010</v>
      </c>
      <c r="B153" t="str">
        <f t="shared" si="9"/>
        <v>TORRES_E12_-_E30_PV4</v>
      </c>
      <c r="C153">
        <v>152</v>
      </c>
      <c r="D153" s="10">
        <f t="shared" si="8"/>
        <v>152</v>
      </c>
      <c r="E153" s="10">
        <f t="shared" si="10"/>
        <v>1</v>
      </c>
    </row>
    <row r="154" spans="1:5" x14ac:dyDescent="0.25">
      <c r="A154" t="s">
        <v>1011</v>
      </c>
      <c r="B154" t="str">
        <f t="shared" si="9"/>
        <v>TORRES_E31_A_E48_PV4</v>
      </c>
      <c r="C154">
        <v>153</v>
      </c>
      <c r="D154" s="10">
        <f t="shared" si="8"/>
        <v>153</v>
      </c>
      <c r="E154" s="10">
        <f t="shared" si="10"/>
        <v>1</v>
      </c>
    </row>
    <row r="155" spans="1:5" x14ac:dyDescent="0.25">
      <c r="A155" t="s">
        <v>1012</v>
      </c>
      <c r="B155" t="str">
        <f t="shared" si="9"/>
        <v>Linea-33-kV-NorteElMauro-Area3</v>
      </c>
      <c r="C155">
        <v>154</v>
      </c>
      <c r="D155" s="10">
        <f t="shared" si="8"/>
        <v>154</v>
      </c>
      <c r="E155" s="10">
        <f t="shared" si="10"/>
        <v>1</v>
      </c>
    </row>
    <row r="156" spans="1:5" x14ac:dyDescent="0.25">
      <c r="A156" t="s">
        <v>1013</v>
      </c>
      <c r="B156" t="str">
        <f t="shared" si="9"/>
        <v>Plataforma_Integrada_El_Mauro</v>
      </c>
      <c r="C156">
        <v>155</v>
      </c>
      <c r="D156" s="10">
        <f t="shared" si="8"/>
        <v>155</v>
      </c>
      <c r="E156" s="10">
        <f t="shared" si="10"/>
        <v>1</v>
      </c>
    </row>
    <row r="157" spans="1:5" x14ac:dyDescent="0.25">
      <c r="A157" t="s">
        <v>1014</v>
      </c>
      <c r="B157" t="str">
        <f t="shared" si="9"/>
        <v>TORRE_E85_A_E_125</v>
      </c>
      <c r="C157">
        <v>156</v>
      </c>
      <c r="D157" s="10">
        <f t="shared" si="8"/>
        <v>156</v>
      </c>
      <c r="E157" s="10">
        <f t="shared" si="10"/>
        <v>1</v>
      </c>
    </row>
    <row r="158" spans="1:5" x14ac:dyDescent="0.25">
      <c r="A158" t="s">
        <v>1015</v>
      </c>
      <c r="B158" t="str">
        <f t="shared" si="9"/>
        <v>ED1-IIFF7-DME8</v>
      </c>
      <c r="C158">
        <v>157</v>
      </c>
      <c r="D158" s="10">
        <f t="shared" si="8"/>
        <v>157</v>
      </c>
      <c r="E158" s="10">
        <f t="shared" si="10"/>
        <v>1</v>
      </c>
    </row>
    <row r="159" spans="1:5" x14ac:dyDescent="0.25">
      <c r="A159" t="s">
        <v>1016</v>
      </c>
      <c r="B159" t="str">
        <f t="shared" si="9"/>
        <v>ED2</v>
      </c>
      <c r="C159">
        <v>158</v>
      </c>
      <c r="D159" s="10">
        <f t="shared" si="8"/>
        <v>158</v>
      </c>
      <c r="E159" s="10">
        <f t="shared" si="10"/>
        <v>1</v>
      </c>
    </row>
    <row r="160" spans="1:5" x14ac:dyDescent="0.25">
      <c r="A160" t="s">
        <v>1017</v>
      </c>
      <c r="B160" t="str">
        <f t="shared" si="9"/>
        <v>MonteAranda-NSTC-Km-84p2-a-82p3</v>
      </c>
      <c r="C160">
        <v>159</v>
      </c>
      <c r="D160" s="10">
        <f t="shared" si="8"/>
        <v>159</v>
      </c>
      <c r="E160" s="10">
        <f t="shared" si="10"/>
        <v>1</v>
      </c>
    </row>
    <row r="161" spans="1:5" x14ac:dyDescent="0.25">
      <c r="A161" t="s">
        <v>1018</v>
      </c>
      <c r="B161" t="str">
        <f t="shared" si="9"/>
        <v>EM1</v>
      </c>
      <c r="C161">
        <v>160</v>
      </c>
      <c r="D161" s="10">
        <f t="shared" si="8"/>
        <v>160</v>
      </c>
      <c r="E161" s="10">
        <f t="shared" si="10"/>
        <v>1</v>
      </c>
    </row>
    <row r="162" spans="1:5" x14ac:dyDescent="0.25">
      <c r="A162" t="s">
        <v>1019</v>
      </c>
      <c r="B162" t="str">
        <f t="shared" si="9"/>
        <v>Linea-33-kV-NorteElMauro-Area1</v>
      </c>
      <c r="C162">
        <v>161</v>
      </c>
      <c r="D162" s="10">
        <f t="shared" si="8"/>
        <v>161</v>
      </c>
      <c r="E162" s="10">
        <f t="shared" si="10"/>
        <v>1</v>
      </c>
    </row>
    <row r="163" spans="1:5" x14ac:dyDescent="0.25">
      <c r="A163" t="s">
        <v>1020</v>
      </c>
      <c r="B163" t="str">
        <f t="shared" si="9"/>
        <v>Linea-33-kV-NorteElMauro-Area6</v>
      </c>
      <c r="C163">
        <v>162</v>
      </c>
      <c r="D163" s="10">
        <f t="shared" si="8"/>
        <v>162</v>
      </c>
      <c r="E163" s="10">
        <f t="shared" si="10"/>
        <v>1</v>
      </c>
    </row>
    <row r="164" spans="1:5" x14ac:dyDescent="0.25">
      <c r="A164" t="s">
        <v>1021</v>
      </c>
      <c r="B164" t="str">
        <f t="shared" si="9"/>
        <v>Linea-33-kV-NorteElMauro-Area7</v>
      </c>
      <c r="C164">
        <v>163</v>
      </c>
      <c r="D164" s="10">
        <f t="shared" si="8"/>
        <v>163</v>
      </c>
      <c r="E164" s="10">
        <f t="shared" si="10"/>
        <v>1</v>
      </c>
    </row>
    <row r="165" spans="1:5" x14ac:dyDescent="0.25">
      <c r="A165" t="s">
        <v>1022</v>
      </c>
      <c r="B165" t="str">
        <f t="shared" si="9"/>
        <v>Subestacion-El-Mauro</v>
      </c>
      <c r="C165">
        <v>164</v>
      </c>
      <c r="D165" s="10">
        <f t="shared" ref="D165:D228" si="11">C165</f>
        <v>164</v>
      </c>
      <c r="E165" s="10">
        <f t="shared" si="10"/>
        <v>1</v>
      </c>
    </row>
    <row r="166" spans="1:5" x14ac:dyDescent="0.25">
      <c r="A166" t="s">
        <v>1023</v>
      </c>
      <c r="B166" t="str">
        <f t="shared" si="9"/>
        <v>EM1</v>
      </c>
      <c r="C166">
        <v>165</v>
      </c>
      <c r="D166" s="10">
        <f t="shared" si="11"/>
        <v>165</v>
      </c>
      <c r="E166" s="10">
        <f t="shared" si="10"/>
        <v>1</v>
      </c>
    </row>
    <row r="167" spans="1:5" x14ac:dyDescent="0.25">
      <c r="A167" t="s">
        <v>1024</v>
      </c>
      <c r="B167" t="str">
        <f t="shared" si="9"/>
        <v>Linea-33-kV-NorteElMauro-Area3</v>
      </c>
      <c r="C167">
        <v>166</v>
      </c>
      <c r="D167" s="10">
        <f t="shared" si="11"/>
        <v>166</v>
      </c>
      <c r="E167" s="10">
        <f t="shared" si="10"/>
        <v>1</v>
      </c>
    </row>
    <row r="168" spans="1:5" x14ac:dyDescent="0.25">
      <c r="A168" t="s">
        <v>1025</v>
      </c>
      <c r="B168" t="str">
        <f t="shared" si="9"/>
        <v>Plataforma_Integrada_El_Mauro</v>
      </c>
      <c r="C168">
        <v>167</v>
      </c>
      <c r="D168" s="10">
        <f t="shared" si="11"/>
        <v>167</v>
      </c>
      <c r="E168" s="10">
        <f t="shared" si="10"/>
        <v>1</v>
      </c>
    </row>
    <row r="169" spans="1:5" x14ac:dyDescent="0.25">
      <c r="A169" t="s">
        <v>1026</v>
      </c>
      <c r="B169" t="str">
        <f t="shared" si="9"/>
        <v>MonteAranda-NSTC-Km-84p2-a-82p3</v>
      </c>
      <c r="C169">
        <v>168</v>
      </c>
      <c r="D169" s="10">
        <f t="shared" si="11"/>
        <v>168</v>
      </c>
      <c r="E169" s="10">
        <f t="shared" si="10"/>
        <v>1</v>
      </c>
    </row>
    <row r="170" spans="1:5" x14ac:dyDescent="0.25">
      <c r="A170" t="s">
        <v>1027</v>
      </c>
      <c r="B170" t="str">
        <f t="shared" si="9"/>
        <v>EV2</v>
      </c>
      <c r="C170">
        <v>169</v>
      </c>
      <c r="D170" s="10">
        <f t="shared" si="11"/>
        <v>169</v>
      </c>
      <c r="E170" s="10">
        <f t="shared" si="10"/>
        <v>1</v>
      </c>
    </row>
    <row r="171" spans="1:5" x14ac:dyDescent="0.25">
      <c r="A171" t="s">
        <v>1028</v>
      </c>
      <c r="B171" t="str">
        <f t="shared" si="9"/>
        <v>EV1</v>
      </c>
      <c r="C171">
        <v>170</v>
      </c>
      <c r="D171" s="10">
        <f t="shared" si="11"/>
        <v>170</v>
      </c>
      <c r="E171" s="10">
        <f t="shared" si="10"/>
        <v>1</v>
      </c>
    </row>
    <row r="172" spans="1:5" x14ac:dyDescent="0.25">
      <c r="A172" t="s">
        <v>1029</v>
      </c>
      <c r="B172" t="str">
        <f t="shared" si="9"/>
        <v>Linea-33-kV-NorteElMauro-Area3</v>
      </c>
      <c r="C172">
        <v>171</v>
      </c>
      <c r="D172" s="10">
        <f t="shared" si="11"/>
        <v>171</v>
      </c>
      <c r="E172" s="10">
        <f t="shared" si="10"/>
        <v>1</v>
      </c>
    </row>
    <row r="173" spans="1:5" x14ac:dyDescent="0.25">
      <c r="A173" t="s">
        <v>1030</v>
      </c>
      <c r="B173" t="str">
        <f t="shared" si="9"/>
        <v>DME9-PA12-IIFF8</v>
      </c>
      <c r="C173">
        <v>172</v>
      </c>
      <c r="D173" s="10">
        <f t="shared" si="11"/>
        <v>172</v>
      </c>
      <c r="E173" s="10">
        <f t="shared" si="10"/>
        <v>1</v>
      </c>
    </row>
    <row r="174" spans="1:5" x14ac:dyDescent="0.25">
      <c r="A174" t="s">
        <v>1031</v>
      </c>
      <c r="B174" t="str">
        <f t="shared" si="9"/>
        <v>ED1-IIFF7-DME8</v>
      </c>
      <c r="C174">
        <v>173</v>
      </c>
      <c r="D174" s="10">
        <f t="shared" si="11"/>
        <v>173</v>
      </c>
      <c r="E174" s="10">
        <f t="shared" si="10"/>
        <v>1</v>
      </c>
    </row>
    <row r="175" spans="1:5" x14ac:dyDescent="0.25">
      <c r="A175" t="s">
        <v>1032</v>
      </c>
      <c r="B175" t="str">
        <f t="shared" si="9"/>
        <v>IIFF9-PA13</v>
      </c>
      <c r="C175">
        <v>174</v>
      </c>
      <c r="D175" s="10">
        <f t="shared" si="11"/>
        <v>174</v>
      </c>
      <c r="E175" s="10">
        <f t="shared" si="10"/>
        <v>1</v>
      </c>
    </row>
    <row r="176" spans="1:5" x14ac:dyDescent="0.25">
      <c r="A176" t="s">
        <v>1033</v>
      </c>
      <c r="B176" t="str">
        <f t="shared" si="9"/>
        <v>InstalacionesTipay</v>
      </c>
      <c r="C176">
        <v>175</v>
      </c>
      <c r="D176" s="10">
        <f t="shared" si="11"/>
        <v>175</v>
      </c>
      <c r="E176" s="10">
        <f t="shared" si="10"/>
        <v>1</v>
      </c>
    </row>
    <row r="177" spans="1:5" x14ac:dyDescent="0.25">
      <c r="A177" t="s">
        <v>1034</v>
      </c>
      <c r="B177" t="str">
        <f t="shared" si="9"/>
        <v>Patio-19B-y-Armado</v>
      </c>
      <c r="C177">
        <v>176</v>
      </c>
      <c r="D177" s="10">
        <f t="shared" si="11"/>
        <v>176</v>
      </c>
      <c r="E177" s="10">
        <f t="shared" si="10"/>
        <v>1</v>
      </c>
    </row>
    <row r="178" spans="1:5" x14ac:dyDescent="0.25">
      <c r="A178" t="s">
        <v>1035</v>
      </c>
      <c r="B178" t="str">
        <f t="shared" si="9"/>
        <v>Plataforma_Integrada_El_Mauro</v>
      </c>
      <c r="C178">
        <v>177</v>
      </c>
      <c r="D178" s="10">
        <f t="shared" si="11"/>
        <v>177</v>
      </c>
      <c r="E178" s="10">
        <f t="shared" si="10"/>
        <v>1</v>
      </c>
    </row>
    <row r="179" spans="1:5" x14ac:dyDescent="0.25">
      <c r="A179" t="s">
        <v>1036</v>
      </c>
      <c r="B179" t="str">
        <f t="shared" si="9"/>
        <v>EB2_1</v>
      </c>
      <c r="C179">
        <v>178</v>
      </c>
      <c r="D179" s="10">
        <f t="shared" si="11"/>
        <v>178</v>
      </c>
      <c r="E179" s="10">
        <f t="shared" si="10"/>
        <v>1</v>
      </c>
    </row>
    <row r="180" spans="1:5" x14ac:dyDescent="0.25">
      <c r="A180" t="s">
        <v>1037</v>
      </c>
      <c r="B180" t="str">
        <f t="shared" si="9"/>
        <v>EV2_1</v>
      </c>
      <c r="C180">
        <v>179</v>
      </c>
      <c r="D180" s="10">
        <f t="shared" si="11"/>
        <v>179</v>
      </c>
      <c r="E180" s="10">
        <f t="shared" si="10"/>
        <v>1</v>
      </c>
    </row>
    <row r="181" spans="1:5" x14ac:dyDescent="0.25">
      <c r="A181" t="s">
        <v>1038</v>
      </c>
      <c r="B181" t="str">
        <f t="shared" si="9"/>
        <v>Linea-33-kV-NorteElMauro-Area3_1</v>
      </c>
      <c r="C181">
        <v>180</v>
      </c>
      <c r="D181" s="10">
        <f t="shared" si="11"/>
        <v>180</v>
      </c>
      <c r="E181" s="10">
        <f t="shared" si="10"/>
        <v>1</v>
      </c>
    </row>
    <row r="182" spans="1:5" x14ac:dyDescent="0.25">
      <c r="A182" t="s">
        <v>1039</v>
      </c>
      <c r="B182" t="str">
        <f t="shared" si="9"/>
        <v>MonteAranda-NSTC-Km-84p2-a-82p3</v>
      </c>
      <c r="C182">
        <v>181</v>
      </c>
      <c r="D182" s="10">
        <f t="shared" si="11"/>
        <v>181</v>
      </c>
      <c r="E182" s="10">
        <f t="shared" si="10"/>
        <v>1</v>
      </c>
    </row>
    <row r="183" spans="1:5" x14ac:dyDescent="0.25">
      <c r="A183" t="s">
        <v>1040</v>
      </c>
      <c r="B183" t="str">
        <f t="shared" si="9"/>
        <v>Plataforma_Integrada_El_Mauro</v>
      </c>
      <c r="C183">
        <v>182</v>
      </c>
      <c r="D183" s="10">
        <f t="shared" si="11"/>
        <v>182</v>
      </c>
      <c r="E183" s="10">
        <f t="shared" si="10"/>
        <v>1</v>
      </c>
    </row>
    <row r="184" spans="1:5" x14ac:dyDescent="0.25">
      <c r="A184" t="s">
        <v>1041</v>
      </c>
      <c r="B184" t="str">
        <f t="shared" si="9"/>
        <v>TORRES_E12_-_E30_PV4</v>
      </c>
      <c r="C184">
        <v>183</v>
      </c>
      <c r="D184" s="10">
        <f t="shared" si="11"/>
        <v>183</v>
      </c>
      <c r="E184" s="10">
        <f t="shared" si="10"/>
        <v>1</v>
      </c>
    </row>
    <row r="185" spans="1:5" x14ac:dyDescent="0.25">
      <c r="A185" t="s">
        <v>1042</v>
      </c>
      <c r="B185" t="str">
        <f t="shared" si="9"/>
        <v>TORRES_E12_-_E30_PV4</v>
      </c>
      <c r="C185">
        <v>184</v>
      </c>
      <c r="D185" s="10">
        <f t="shared" si="11"/>
        <v>184</v>
      </c>
      <c r="E185" s="10">
        <f t="shared" si="10"/>
        <v>1</v>
      </c>
    </row>
    <row r="186" spans="1:5" x14ac:dyDescent="0.25">
      <c r="A186" t="s">
        <v>1043</v>
      </c>
      <c r="B186" t="str">
        <f t="shared" si="9"/>
        <v>DME9_PA12_IIFF8</v>
      </c>
      <c r="C186">
        <v>185</v>
      </c>
      <c r="D186" s="10">
        <f t="shared" si="11"/>
        <v>185</v>
      </c>
      <c r="E186" s="10">
        <f t="shared" si="10"/>
        <v>1</v>
      </c>
    </row>
    <row r="187" spans="1:5" x14ac:dyDescent="0.25">
      <c r="A187" t="s">
        <v>1044</v>
      </c>
      <c r="B187" t="str">
        <f t="shared" si="9"/>
        <v>ED1-IIFF7-DME8</v>
      </c>
      <c r="C187">
        <v>186</v>
      </c>
      <c r="D187" s="10">
        <f t="shared" si="11"/>
        <v>186</v>
      </c>
      <c r="E187" s="10">
        <f t="shared" si="10"/>
        <v>1</v>
      </c>
    </row>
    <row r="188" spans="1:5" x14ac:dyDescent="0.25">
      <c r="A188" t="s">
        <v>1045</v>
      </c>
      <c r="B188" t="str">
        <f t="shared" si="9"/>
        <v>IIFF9-PA13</v>
      </c>
      <c r="C188">
        <v>187</v>
      </c>
      <c r="D188" s="10">
        <f t="shared" si="11"/>
        <v>187</v>
      </c>
      <c r="E188" s="10">
        <f t="shared" si="10"/>
        <v>1</v>
      </c>
    </row>
    <row r="189" spans="1:5" x14ac:dyDescent="0.25">
      <c r="A189" t="s">
        <v>1046</v>
      </c>
      <c r="B189" t="str">
        <f t="shared" si="9"/>
        <v>Linea-33-kV-NorteElMauro-Area3</v>
      </c>
      <c r="C189">
        <v>188</v>
      </c>
      <c r="D189" s="10">
        <f t="shared" si="11"/>
        <v>188</v>
      </c>
      <c r="E189" s="10">
        <f t="shared" si="10"/>
        <v>1</v>
      </c>
    </row>
    <row r="190" spans="1:5" x14ac:dyDescent="0.25">
      <c r="A190" t="s">
        <v>1047</v>
      </c>
      <c r="B190" t="str">
        <f t="shared" si="9"/>
        <v>33-kV-NSTC-Km-74p7-a-75p5</v>
      </c>
      <c r="C190">
        <v>189</v>
      </c>
      <c r="D190" s="10">
        <f t="shared" si="11"/>
        <v>189</v>
      </c>
      <c r="E190" s="10">
        <f t="shared" si="10"/>
        <v>1</v>
      </c>
    </row>
    <row r="191" spans="1:5" x14ac:dyDescent="0.25">
      <c r="A191" t="s">
        <v>1048</v>
      </c>
      <c r="B191" t="str">
        <f t="shared" si="9"/>
        <v>ED2</v>
      </c>
      <c r="C191">
        <v>190</v>
      </c>
      <c r="D191" s="10">
        <f t="shared" si="11"/>
        <v>190</v>
      </c>
      <c r="E191" s="10">
        <f t="shared" si="10"/>
        <v>1</v>
      </c>
    </row>
    <row r="192" spans="1:5" x14ac:dyDescent="0.25">
      <c r="A192" t="s">
        <v>1049</v>
      </c>
      <c r="B192" t="str">
        <f t="shared" si="9"/>
        <v>EV1</v>
      </c>
      <c r="C192">
        <v>191</v>
      </c>
      <c r="D192" s="10">
        <f t="shared" si="11"/>
        <v>191</v>
      </c>
      <c r="E192" s="10">
        <f t="shared" si="10"/>
        <v>1</v>
      </c>
    </row>
    <row r="193" spans="1:5" x14ac:dyDescent="0.25">
      <c r="A193" t="s">
        <v>1050</v>
      </c>
      <c r="B193" t="str">
        <f t="shared" si="9"/>
        <v>EV2</v>
      </c>
      <c r="C193">
        <v>192</v>
      </c>
      <c r="D193" s="10">
        <f t="shared" si="11"/>
        <v>192</v>
      </c>
      <c r="E193" s="10">
        <f t="shared" si="10"/>
        <v>1</v>
      </c>
    </row>
    <row r="194" spans="1:5" x14ac:dyDescent="0.25">
      <c r="A194" t="s">
        <v>1051</v>
      </c>
      <c r="B194" t="str">
        <f t="shared" ref="B194:B257" si="12">RIGHT(A194, LEN(A194)-29)</f>
        <v>EM1</v>
      </c>
      <c r="C194">
        <v>193</v>
      </c>
      <c r="D194" s="10">
        <f t="shared" si="11"/>
        <v>193</v>
      </c>
      <c r="E194" s="10">
        <f t="shared" si="10"/>
        <v>1</v>
      </c>
    </row>
    <row r="195" spans="1:5" x14ac:dyDescent="0.25">
      <c r="A195" t="s">
        <v>1052</v>
      </c>
      <c r="B195" t="str">
        <f t="shared" si="12"/>
        <v>Patio-19B-y-Armado</v>
      </c>
      <c r="C195">
        <v>194</v>
      </c>
      <c r="D195" s="10">
        <f t="shared" si="11"/>
        <v>194</v>
      </c>
      <c r="E195" s="10">
        <f t="shared" ref="E195:E258" si="13">C195-C194</f>
        <v>1</v>
      </c>
    </row>
    <row r="196" spans="1:5" x14ac:dyDescent="0.25">
      <c r="A196" t="s">
        <v>1053</v>
      </c>
      <c r="B196" t="str">
        <f t="shared" si="12"/>
        <v>Subestacion-El-Mauro</v>
      </c>
      <c r="C196">
        <v>195</v>
      </c>
      <c r="D196" s="10">
        <f t="shared" si="11"/>
        <v>195</v>
      </c>
      <c r="E196" s="10">
        <f t="shared" si="13"/>
        <v>1</v>
      </c>
    </row>
    <row r="197" spans="1:5" x14ac:dyDescent="0.25">
      <c r="A197" t="s">
        <v>1054</v>
      </c>
      <c r="B197" t="str">
        <f t="shared" si="12"/>
        <v>TORRE_E48_A_E84_PV4</v>
      </c>
      <c r="C197">
        <v>196</v>
      </c>
      <c r="D197" s="10">
        <f t="shared" si="11"/>
        <v>196</v>
      </c>
      <c r="E197" s="10">
        <f t="shared" si="13"/>
        <v>1</v>
      </c>
    </row>
    <row r="198" spans="1:5" x14ac:dyDescent="0.25">
      <c r="A198" t="s">
        <v>1055</v>
      </c>
      <c r="B198" t="str">
        <f t="shared" si="12"/>
        <v>MonteAranda-NSTC-Km-84p2-a-82p3</v>
      </c>
      <c r="C198">
        <v>197</v>
      </c>
      <c r="D198" s="10">
        <f t="shared" si="11"/>
        <v>197</v>
      </c>
      <c r="E198" s="10">
        <f t="shared" si="13"/>
        <v>1</v>
      </c>
    </row>
    <row r="199" spans="1:5" x14ac:dyDescent="0.25">
      <c r="A199" t="s">
        <v>1056</v>
      </c>
      <c r="B199" t="str">
        <f t="shared" si="12"/>
        <v>Plataforma_Integrada_El_Mauro</v>
      </c>
      <c r="C199">
        <v>198</v>
      </c>
      <c r="D199" s="10">
        <f t="shared" si="11"/>
        <v>198</v>
      </c>
      <c r="E199" s="10">
        <f t="shared" si="13"/>
        <v>1</v>
      </c>
    </row>
    <row r="200" spans="1:5" x14ac:dyDescent="0.25">
      <c r="A200" t="s">
        <v>1057</v>
      </c>
      <c r="B200" t="str">
        <f t="shared" si="12"/>
        <v>TORRE_E85_A_E_125</v>
      </c>
      <c r="C200">
        <v>199</v>
      </c>
      <c r="D200" s="10">
        <f t="shared" si="11"/>
        <v>199</v>
      </c>
      <c r="E200" s="10">
        <f t="shared" si="13"/>
        <v>1</v>
      </c>
    </row>
    <row r="201" spans="1:5" x14ac:dyDescent="0.25">
      <c r="A201" t="s">
        <v>1058</v>
      </c>
      <c r="B201" t="str">
        <f t="shared" si="12"/>
        <v>EM4</v>
      </c>
      <c r="C201">
        <v>200</v>
      </c>
      <c r="D201" s="10">
        <f t="shared" si="11"/>
        <v>200</v>
      </c>
      <c r="E201" s="10">
        <f t="shared" si="13"/>
        <v>1</v>
      </c>
    </row>
    <row r="202" spans="1:5" x14ac:dyDescent="0.25">
      <c r="A202" t="s">
        <v>1059</v>
      </c>
      <c r="B202" t="str">
        <f t="shared" si="12"/>
        <v>EM4_PR2</v>
      </c>
      <c r="C202">
        <v>201</v>
      </c>
      <c r="D202" s="10">
        <f t="shared" si="11"/>
        <v>201</v>
      </c>
      <c r="E202" s="10">
        <f t="shared" si="13"/>
        <v>1</v>
      </c>
    </row>
    <row r="203" spans="1:5" x14ac:dyDescent="0.25">
      <c r="A203" t="s">
        <v>1060</v>
      </c>
      <c r="B203" t="str">
        <f t="shared" si="12"/>
        <v>ED1-IIFF7-DME8</v>
      </c>
      <c r="C203">
        <v>202</v>
      </c>
      <c r="D203" s="10">
        <f t="shared" si="11"/>
        <v>202</v>
      </c>
      <c r="E203" s="10">
        <f t="shared" si="13"/>
        <v>1</v>
      </c>
    </row>
    <row r="204" spans="1:5" x14ac:dyDescent="0.25">
      <c r="A204" t="s">
        <v>1061</v>
      </c>
      <c r="B204" t="str">
        <f t="shared" si="12"/>
        <v>EB2</v>
      </c>
      <c r="C204">
        <v>203</v>
      </c>
      <c r="D204" s="10">
        <f t="shared" si="11"/>
        <v>203</v>
      </c>
      <c r="E204" s="10">
        <f t="shared" si="13"/>
        <v>1</v>
      </c>
    </row>
    <row r="205" spans="1:5" x14ac:dyDescent="0.25">
      <c r="A205" t="s">
        <v>1062</v>
      </c>
      <c r="B205" t="str">
        <f t="shared" si="12"/>
        <v>EM1_1</v>
      </c>
      <c r="C205">
        <v>204</v>
      </c>
      <c r="D205" s="10">
        <f t="shared" si="11"/>
        <v>204</v>
      </c>
      <c r="E205" s="10">
        <f t="shared" si="13"/>
        <v>1</v>
      </c>
    </row>
    <row r="206" spans="1:5" x14ac:dyDescent="0.25">
      <c r="A206" t="s">
        <v>1063</v>
      </c>
      <c r="B206" t="str">
        <f t="shared" si="12"/>
        <v>EV1_1</v>
      </c>
      <c r="C206">
        <v>205</v>
      </c>
      <c r="D206" s="10">
        <f t="shared" si="11"/>
        <v>205</v>
      </c>
      <c r="E206" s="10">
        <f t="shared" si="13"/>
        <v>1</v>
      </c>
    </row>
    <row r="207" spans="1:5" x14ac:dyDescent="0.25">
      <c r="A207" t="s">
        <v>1064</v>
      </c>
      <c r="B207" t="str">
        <f t="shared" si="12"/>
        <v>EV2</v>
      </c>
      <c r="C207">
        <v>206</v>
      </c>
      <c r="D207" s="10">
        <f t="shared" si="11"/>
        <v>206</v>
      </c>
      <c r="E207" s="10">
        <f t="shared" si="13"/>
        <v>1</v>
      </c>
    </row>
    <row r="208" spans="1:5" x14ac:dyDescent="0.25">
      <c r="A208" t="s">
        <v>1065</v>
      </c>
      <c r="B208" t="str">
        <f t="shared" si="12"/>
        <v>MonteAranda-NSTC-Km-84p2-a-82p3</v>
      </c>
      <c r="C208">
        <v>207</v>
      </c>
      <c r="D208" s="10">
        <f t="shared" si="11"/>
        <v>207</v>
      </c>
      <c r="E208" s="10">
        <f t="shared" si="13"/>
        <v>1</v>
      </c>
    </row>
    <row r="209" spans="1:5" x14ac:dyDescent="0.25">
      <c r="A209" t="s">
        <v>1066</v>
      </c>
      <c r="B209" t="str">
        <f t="shared" si="12"/>
        <v>TORRE_E85_A_E_125</v>
      </c>
      <c r="C209">
        <v>208</v>
      </c>
      <c r="D209" s="10">
        <f t="shared" si="11"/>
        <v>208</v>
      </c>
      <c r="E209" s="10">
        <f t="shared" si="13"/>
        <v>1</v>
      </c>
    </row>
    <row r="210" spans="1:5" x14ac:dyDescent="0.25">
      <c r="A210" t="s">
        <v>1067</v>
      </c>
      <c r="B210" t="str">
        <f t="shared" si="12"/>
        <v>TORRES_E12_-_E30_PV4</v>
      </c>
      <c r="C210">
        <v>209</v>
      </c>
      <c r="D210" s="10">
        <f t="shared" si="11"/>
        <v>209</v>
      </c>
      <c r="E210" s="10">
        <f t="shared" si="13"/>
        <v>1</v>
      </c>
    </row>
    <row r="211" spans="1:5" x14ac:dyDescent="0.25">
      <c r="A211" t="s">
        <v>1068</v>
      </c>
      <c r="B211" t="str">
        <f t="shared" si="12"/>
        <v>ED2</v>
      </c>
      <c r="C211">
        <v>210</v>
      </c>
      <c r="D211" s="10">
        <f t="shared" si="11"/>
        <v>210</v>
      </c>
      <c r="E211" s="10">
        <f t="shared" si="13"/>
        <v>1</v>
      </c>
    </row>
    <row r="212" spans="1:5" x14ac:dyDescent="0.25">
      <c r="A212" t="s">
        <v>1069</v>
      </c>
      <c r="B212" t="str">
        <f t="shared" si="12"/>
        <v>EM4</v>
      </c>
      <c r="C212">
        <v>211</v>
      </c>
      <c r="D212" s="10">
        <f t="shared" si="11"/>
        <v>211</v>
      </c>
      <c r="E212" s="10">
        <f t="shared" si="13"/>
        <v>1</v>
      </c>
    </row>
    <row r="213" spans="1:5" x14ac:dyDescent="0.25">
      <c r="A213" t="s">
        <v>1070</v>
      </c>
      <c r="B213" t="str">
        <f t="shared" si="12"/>
        <v>IIFF9-PA13_1</v>
      </c>
      <c r="C213">
        <v>212</v>
      </c>
      <c r="D213" s="10">
        <f t="shared" si="11"/>
        <v>212</v>
      </c>
      <c r="E213" s="10">
        <f t="shared" si="13"/>
        <v>1</v>
      </c>
    </row>
    <row r="214" spans="1:5" x14ac:dyDescent="0.25">
      <c r="A214" t="s">
        <v>1071</v>
      </c>
      <c r="B214" t="str">
        <f t="shared" si="12"/>
        <v>Patio-19B-y-Armado</v>
      </c>
      <c r="C214">
        <v>213</v>
      </c>
      <c r="D214" s="10">
        <f t="shared" si="11"/>
        <v>213</v>
      </c>
      <c r="E214" s="10">
        <f t="shared" si="13"/>
        <v>1</v>
      </c>
    </row>
    <row r="215" spans="1:5" x14ac:dyDescent="0.25">
      <c r="A215" t="s">
        <v>1072</v>
      </c>
      <c r="B215" t="str">
        <f t="shared" si="12"/>
        <v>DME9_PA12_IIFF8_1</v>
      </c>
      <c r="C215">
        <v>214</v>
      </c>
      <c r="D215" s="10">
        <f t="shared" si="11"/>
        <v>214</v>
      </c>
      <c r="E215" s="10">
        <f t="shared" si="13"/>
        <v>1</v>
      </c>
    </row>
    <row r="216" spans="1:5" x14ac:dyDescent="0.25">
      <c r="A216" t="s">
        <v>1073</v>
      </c>
      <c r="B216" t="str">
        <f t="shared" si="12"/>
        <v>Plataforma_Integrada_El_Mauro</v>
      </c>
      <c r="C216">
        <v>215</v>
      </c>
      <c r="D216" s="10">
        <f t="shared" si="11"/>
        <v>215</v>
      </c>
      <c r="E216" s="10">
        <f t="shared" si="13"/>
        <v>1</v>
      </c>
    </row>
    <row r="217" spans="1:5" x14ac:dyDescent="0.25">
      <c r="A217" t="s">
        <v>1074</v>
      </c>
      <c r="B217" t="str">
        <f t="shared" si="12"/>
        <v>Subestacion-El-Mauro</v>
      </c>
      <c r="C217">
        <v>216</v>
      </c>
      <c r="D217" s="10">
        <f t="shared" si="11"/>
        <v>216</v>
      </c>
      <c r="E217" s="10">
        <f t="shared" si="13"/>
        <v>1</v>
      </c>
    </row>
    <row r="218" spans="1:5" x14ac:dyDescent="0.25">
      <c r="A218" t="s">
        <v>1075</v>
      </c>
      <c r="B218" t="str">
        <f t="shared" si="12"/>
        <v>TORRES_E31_A_E48_PV4</v>
      </c>
      <c r="C218">
        <v>217</v>
      </c>
      <c r="D218" s="10">
        <f t="shared" si="11"/>
        <v>217</v>
      </c>
      <c r="E218" s="10">
        <f t="shared" si="13"/>
        <v>1</v>
      </c>
    </row>
    <row r="219" spans="1:5" x14ac:dyDescent="0.25">
      <c r="A219" t="s">
        <v>1076</v>
      </c>
      <c r="B219" t="str">
        <f t="shared" si="12"/>
        <v>TORRE_E48_A_E84_PV4</v>
      </c>
      <c r="C219">
        <v>218</v>
      </c>
      <c r="D219" s="10">
        <f t="shared" si="11"/>
        <v>218</v>
      </c>
      <c r="E219" s="10">
        <f t="shared" si="13"/>
        <v>1</v>
      </c>
    </row>
    <row r="220" spans="1:5" x14ac:dyDescent="0.25">
      <c r="A220" t="s">
        <v>1077</v>
      </c>
      <c r="B220" t="str">
        <f t="shared" si="12"/>
        <v>DME9-PA12-IIFF8</v>
      </c>
      <c r="C220">
        <v>219</v>
      </c>
      <c r="D220" s="10">
        <f t="shared" si="11"/>
        <v>219</v>
      </c>
      <c r="E220" s="10">
        <f t="shared" si="13"/>
        <v>1</v>
      </c>
    </row>
    <row r="221" spans="1:5" x14ac:dyDescent="0.25">
      <c r="A221" t="s">
        <v>1078</v>
      </c>
      <c r="B221" t="str">
        <f t="shared" si="12"/>
        <v>TORRES_E48_A_E84_PV4</v>
      </c>
      <c r="C221">
        <v>220</v>
      </c>
      <c r="D221" s="10">
        <f t="shared" si="11"/>
        <v>220</v>
      </c>
      <c r="E221" s="10">
        <f t="shared" si="13"/>
        <v>1</v>
      </c>
    </row>
    <row r="222" spans="1:5" x14ac:dyDescent="0.25">
      <c r="A222" t="s">
        <v>1079</v>
      </c>
      <c r="B222" t="str">
        <f t="shared" si="12"/>
        <v>ED1_IIFF7_DME8</v>
      </c>
      <c r="C222">
        <v>221</v>
      </c>
      <c r="D222" s="10">
        <f t="shared" si="11"/>
        <v>221</v>
      </c>
      <c r="E222" s="10">
        <f t="shared" si="13"/>
        <v>1</v>
      </c>
    </row>
    <row r="223" spans="1:5" x14ac:dyDescent="0.25">
      <c r="A223" t="s">
        <v>1080</v>
      </c>
      <c r="B223" t="str">
        <f t="shared" si="12"/>
        <v>MonteAranda-NSTC-Km-84p2-a-82p3</v>
      </c>
      <c r="C223">
        <v>222</v>
      </c>
      <c r="D223" s="10">
        <f t="shared" si="11"/>
        <v>222</v>
      </c>
      <c r="E223" s="10">
        <f t="shared" si="13"/>
        <v>1</v>
      </c>
    </row>
    <row r="224" spans="1:5" x14ac:dyDescent="0.25">
      <c r="A224" t="s">
        <v>1081</v>
      </c>
      <c r="B224" t="str">
        <f t="shared" si="12"/>
        <v>TORRES_E12_-_E30_PV4</v>
      </c>
      <c r="C224">
        <v>223</v>
      </c>
      <c r="D224" s="10">
        <f t="shared" si="11"/>
        <v>223</v>
      </c>
      <c r="E224" s="10">
        <f t="shared" si="13"/>
        <v>1</v>
      </c>
    </row>
    <row r="225" spans="1:5" x14ac:dyDescent="0.25">
      <c r="A225" t="s">
        <v>1082</v>
      </c>
      <c r="B225" t="str">
        <f t="shared" si="12"/>
        <v>EM1</v>
      </c>
      <c r="C225">
        <v>224</v>
      </c>
      <c r="D225" s="10">
        <f t="shared" si="11"/>
        <v>224</v>
      </c>
      <c r="E225" s="10">
        <f t="shared" si="13"/>
        <v>1</v>
      </c>
    </row>
    <row r="226" spans="1:5" x14ac:dyDescent="0.25">
      <c r="A226" t="s">
        <v>1083</v>
      </c>
      <c r="B226" t="str">
        <f t="shared" si="12"/>
        <v>EM4</v>
      </c>
      <c r="C226">
        <v>225</v>
      </c>
      <c r="D226" s="10">
        <f t="shared" si="11"/>
        <v>225</v>
      </c>
      <c r="E226" s="10">
        <f t="shared" si="13"/>
        <v>1</v>
      </c>
    </row>
    <row r="227" spans="1:5" x14ac:dyDescent="0.25">
      <c r="A227" t="s">
        <v>1084</v>
      </c>
      <c r="B227" t="str">
        <f t="shared" si="12"/>
        <v>EM4_PR2</v>
      </c>
      <c r="C227">
        <v>226</v>
      </c>
      <c r="D227" s="10">
        <f t="shared" si="11"/>
        <v>226</v>
      </c>
      <c r="E227" s="10">
        <f t="shared" si="13"/>
        <v>1</v>
      </c>
    </row>
    <row r="228" spans="1:5" x14ac:dyDescent="0.25">
      <c r="A228" t="s">
        <v>1085</v>
      </c>
      <c r="B228" t="str">
        <f t="shared" si="12"/>
        <v>EV2</v>
      </c>
      <c r="C228">
        <v>227</v>
      </c>
      <c r="D228" s="10">
        <f t="shared" si="11"/>
        <v>227</v>
      </c>
      <c r="E228" s="10">
        <f t="shared" si="13"/>
        <v>1</v>
      </c>
    </row>
    <row r="229" spans="1:5" x14ac:dyDescent="0.25">
      <c r="A229" t="s">
        <v>1086</v>
      </c>
      <c r="B229" t="str">
        <f t="shared" si="12"/>
        <v>Plataforma_Integrada_El_Mauro</v>
      </c>
      <c r="C229">
        <v>228</v>
      </c>
      <c r="D229" s="10">
        <f t="shared" ref="D229:D292" si="14">C229</f>
        <v>228</v>
      </c>
      <c r="E229" s="10">
        <f t="shared" si="13"/>
        <v>1</v>
      </c>
    </row>
    <row r="230" spans="1:5" x14ac:dyDescent="0.25">
      <c r="A230" t="s">
        <v>1087</v>
      </c>
      <c r="B230" t="str">
        <f t="shared" si="12"/>
        <v>TORRES_E84_A_E127</v>
      </c>
      <c r="C230">
        <v>229</v>
      </c>
      <c r="D230" s="10">
        <f t="shared" si="14"/>
        <v>229</v>
      </c>
      <c r="E230" s="10">
        <f t="shared" si="13"/>
        <v>1</v>
      </c>
    </row>
    <row r="231" spans="1:5" x14ac:dyDescent="0.25">
      <c r="A231" t="s">
        <v>1088</v>
      </c>
      <c r="B231" t="str">
        <f t="shared" si="12"/>
        <v>ED2</v>
      </c>
      <c r="C231">
        <v>230</v>
      </c>
      <c r="D231" s="10">
        <f t="shared" si="14"/>
        <v>230</v>
      </c>
      <c r="E231" s="10">
        <f t="shared" si="13"/>
        <v>1</v>
      </c>
    </row>
    <row r="232" spans="1:5" x14ac:dyDescent="0.25">
      <c r="A232" t="s">
        <v>1089</v>
      </c>
      <c r="B232" t="str">
        <f t="shared" si="12"/>
        <v>EV1</v>
      </c>
      <c r="C232">
        <v>231</v>
      </c>
      <c r="D232" s="10">
        <f t="shared" si="14"/>
        <v>231</v>
      </c>
      <c r="E232" s="10">
        <f t="shared" si="13"/>
        <v>1</v>
      </c>
    </row>
    <row r="233" spans="1:5" x14ac:dyDescent="0.25">
      <c r="A233" t="s">
        <v>1090</v>
      </c>
      <c r="B233" t="str">
        <f t="shared" si="12"/>
        <v>IIFF9-PA13</v>
      </c>
      <c r="C233">
        <v>232</v>
      </c>
      <c r="D233" s="10">
        <f t="shared" si="14"/>
        <v>232</v>
      </c>
      <c r="E233" s="10">
        <f t="shared" si="13"/>
        <v>1</v>
      </c>
    </row>
    <row r="234" spans="1:5" x14ac:dyDescent="0.25">
      <c r="A234" t="s">
        <v>1091</v>
      </c>
      <c r="B234" t="str">
        <f t="shared" si="12"/>
        <v>Patio-19B-y-Armado</v>
      </c>
      <c r="C234">
        <v>233</v>
      </c>
      <c r="D234" s="10">
        <f t="shared" si="14"/>
        <v>233</v>
      </c>
      <c r="E234" s="10">
        <f t="shared" si="13"/>
        <v>1</v>
      </c>
    </row>
    <row r="235" spans="1:5" x14ac:dyDescent="0.25">
      <c r="A235" t="s">
        <v>1092</v>
      </c>
      <c r="B235" t="str">
        <f t="shared" si="12"/>
        <v>Subestacion-El-Mauro</v>
      </c>
      <c r="C235">
        <v>234</v>
      </c>
      <c r="D235" s="10">
        <f t="shared" si="14"/>
        <v>234</v>
      </c>
      <c r="E235" s="10">
        <f t="shared" si="13"/>
        <v>1</v>
      </c>
    </row>
    <row r="236" spans="1:5" x14ac:dyDescent="0.25">
      <c r="A236" t="s">
        <v>1093</v>
      </c>
      <c r="B236" t="str">
        <f t="shared" si="12"/>
        <v>TORRES_E31_A_E48_PV4</v>
      </c>
      <c r="C236">
        <v>235</v>
      </c>
      <c r="D236" s="10">
        <f t="shared" si="14"/>
        <v>235</v>
      </c>
      <c r="E236" s="10">
        <f t="shared" si="13"/>
        <v>1</v>
      </c>
    </row>
    <row r="237" spans="1:5" x14ac:dyDescent="0.25">
      <c r="A237" t="s">
        <v>1094</v>
      </c>
      <c r="B237" t="str">
        <f t="shared" si="12"/>
        <v>Linea-33-kV-NorteElMauro-Area3</v>
      </c>
      <c r="C237">
        <v>236</v>
      </c>
      <c r="D237" s="10">
        <f t="shared" si="14"/>
        <v>236</v>
      </c>
      <c r="E237" s="10">
        <f t="shared" si="13"/>
        <v>1</v>
      </c>
    </row>
    <row r="238" spans="1:5" x14ac:dyDescent="0.25">
      <c r="A238" t="s">
        <v>1095</v>
      </c>
      <c r="B238" t="str">
        <f t="shared" si="12"/>
        <v>EM4</v>
      </c>
      <c r="C238">
        <v>237</v>
      </c>
      <c r="D238" s="10">
        <f t="shared" si="14"/>
        <v>237</v>
      </c>
      <c r="E238" s="10">
        <f t="shared" si="13"/>
        <v>1</v>
      </c>
    </row>
    <row r="239" spans="1:5" x14ac:dyDescent="0.25">
      <c r="A239" t="s">
        <v>1096</v>
      </c>
      <c r="B239" t="str">
        <f t="shared" si="12"/>
        <v>EV1</v>
      </c>
      <c r="C239">
        <v>238</v>
      </c>
      <c r="D239" s="10">
        <f t="shared" si="14"/>
        <v>238</v>
      </c>
      <c r="E239" s="10">
        <f t="shared" si="13"/>
        <v>1</v>
      </c>
    </row>
    <row r="240" spans="1:5" x14ac:dyDescent="0.25">
      <c r="A240" t="s">
        <v>1097</v>
      </c>
      <c r="B240" t="str">
        <f t="shared" si="12"/>
        <v>MonteAranda-NSTC-Km-84p2-a-82p3</v>
      </c>
      <c r="C240">
        <v>239</v>
      </c>
      <c r="D240" s="10">
        <f t="shared" si="14"/>
        <v>239</v>
      </c>
      <c r="E240" s="10">
        <f t="shared" si="13"/>
        <v>1</v>
      </c>
    </row>
    <row r="241" spans="1:5" x14ac:dyDescent="0.25">
      <c r="A241" t="s">
        <v>1098</v>
      </c>
      <c r="B241" t="str">
        <f t="shared" si="12"/>
        <v>EB3</v>
      </c>
      <c r="C241">
        <v>240</v>
      </c>
      <c r="D241" s="10">
        <f t="shared" si="14"/>
        <v>240</v>
      </c>
      <c r="E241" s="10">
        <f t="shared" si="13"/>
        <v>1</v>
      </c>
    </row>
    <row r="242" spans="1:5" x14ac:dyDescent="0.25">
      <c r="A242" t="s">
        <v>1099</v>
      </c>
      <c r="B242" t="str">
        <f t="shared" si="12"/>
        <v>EM2</v>
      </c>
      <c r="C242">
        <v>241</v>
      </c>
      <c r="D242" s="10">
        <f t="shared" si="14"/>
        <v>241</v>
      </c>
      <c r="E242" s="10">
        <f t="shared" si="13"/>
        <v>1</v>
      </c>
    </row>
    <row r="243" spans="1:5" x14ac:dyDescent="0.25">
      <c r="A243" t="s">
        <v>1100</v>
      </c>
      <c r="B243" t="str">
        <f t="shared" si="12"/>
        <v>EV1</v>
      </c>
      <c r="C243">
        <v>242</v>
      </c>
      <c r="D243" s="10">
        <f t="shared" si="14"/>
        <v>242</v>
      </c>
      <c r="E243" s="10">
        <f t="shared" si="13"/>
        <v>1</v>
      </c>
    </row>
    <row r="244" spans="1:5" x14ac:dyDescent="0.25">
      <c r="A244" t="s">
        <v>1101</v>
      </c>
      <c r="B244" t="str">
        <f t="shared" si="12"/>
        <v>EV2</v>
      </c>
      <c r="C244">
        <v>243</v>
      </c>
      <c r="D244" s="10">
        <f t="shared" si="14"/>
        <v>243</v>
      </c>
      <c r="E244" s="10">
        <f t="shared" si="13"/>
        <v>1</v>
      </c>
    </row>
    <row r="245" spans="1:5" x14ac:dyDescent="0.25">
      <c r="A245" t="s">
        <v>1102</v>
      </c>
      <c r="B245" t="str">
        <f t="shared" si="12"/>
        <v>IIFF9-PA13</v>
      </c>
      <c r="C245">
        <v>244</v>
      </c>
      <c r="D245" s="10">
        <f t="shared" si="14"/>
        <v>244</v>
      </c>
      <c r="E245" s="10">
        <f t="shared" si="13"/>
        <v>1</v>
      </c>
    </row>
    <row r="246" spans="1:5" x14ac:dyDescent="0.25">
      <c r="A246" t="s">
        <v>1103</v>
      </c>
      <c r="B246" t="str">
        <f t="shared" si="12"/>
        <v>Subestacion-El-Mauro</v>
      </c>
      <c r="C246">
        <v>245</v>
      </c>
      <c r="D246" s="10">
        <f t="shared" si="14"/>
        <v>245</v>
      </c>
      <c r="E246" s="10">
        <f t="shared" si="13"/>
        <v>1</v>
      </c>
    </row>
    <row r="247" spans="1:5" x14ac:dyDescent="0.25">
      <c r="A247" t="s">
        <v>1104</v>
      </c>
      <c r="B247" t="str">
        <f t="shared" si="12"/>
        <v>TORRE_E85_A_E_125</v>
      </c>
      <c r="C247">
        <v>246</v>
      </c>
      <c r="D247" s="10">
        <f t="shared" si="14"/>
        <v>246</v>
      </c>
      <c r="E247" s="10">
        <f t="shared" si="13"/>
        <v>1</v>
      </c>
    </row>
    <row r="248" spans="1:5" x14ac:dyDescent="0.25">
      <c r="A248" t="s">
        <v>1105</v>
      </c>
      <c r="B248" t="str">
        <f t="shared" si="12"/>
        <v>Plataforma_Integrada_El_Mauro</v>
      </c>
      <c r="C248">
        <v>247</v>
      </c>
      <c r="D248" s="10">
        <f t="shared" si="14"/>
        <v>247</v>
      </c>
      <c r="E248" s="10">
        <f t="shared" si="13"/>
        <v>1</v>
      </c>
    </row>
    <row r="249" spans="1:5" x14ac:dyDescent="0.25">
      <c r="A249" t="s">
        <v>1106</v>
      </c>
      <c r="B249" t="str">
        <f t="shared" si="12"/>
        <v>EM1</v>
      </c>
      <c r="C249">
        <v>248</v>
      </c>
      <c r="D249" s="10">
        <f t="shared" si="14"/>
        <v>248</v>
      </c>
      <c r="E249" s="10">
        <f t="shared" si="13"/>
        <v>1</v>
      </c>
    </row>
    <row r="250" spans="1:5" x14ac:dyDescent="0.25">
      <c r="A250" t="s">
        <v>1107</v>
      </c>
      <c r="B250" t="str">
        <f t="shared" si="12"/>
        <v>Patio-19B-y-Armado</v>
      </c>
      <c r="C250">
        <v>249</v>
      </c>
      <c r="D250" s="10">
        <f t="shared" si="14"/>
        <v>249</v>
      </c>
      <c r="E250" s="10">
        <f t="shared" si="13"/>
        <v>1</v>
      </c>
    </row>
    <row r="251" spans="1:5" x14ac:dyDescent="0.25">
      <c r="A251" t="s">
        <v>1108</v>
      </c>
      <c r="B251" t="str">
        <f t="shared" si="12"/>
        <v>TORRES_E35_A_E48</v>
      </c>
      <c r="C251">
        <v>250</v>
      </c>
      <c r="D251" s="10">
        <f t="shared" si="14"/>
        <v>250</v>
      </c>
      <c r="E251" s="10">
        <f t="shared" si="13"/>
        <v>1</v>
      </c>
    </row>
    <row r="252" spans="1:5" x14ac:dyDescent="0.25">
      <c r="A252" t="s">
        <v>1109</v>
      </c>
      <c r="B252" t="str">
        <f t="shared" si="12"/>
        <v>TORRES_E48_A_E84_PV4</v>
      </c>
      <c r="C252">
        <v>251</v>
      </c>
      <c r="D252" s="10">
        <f t="shared" si="14"/>
        <v>251</v>
      </c>
      <c r="E252" s="10">
        <f t="shared" si="13"/>
        <v>1</v>
      </c>
    </row>
    <row r="253" spans="1:5" x14ac:dyDescent="0.25">
      <c r="A253" t="s">
        <v>1110</v>
      </c>
      <c r="B253" t="str">
        <f t="shared" si="12"/>
        <v>ED1-IIFF7-DME8</v>
      </c>
      <c r="C253">
        <v>252</v>
      </c>
      <c r="D253" s="10">
        <f t="shared" si="14"/>
        <v>252</v>
      </c>
      <c r="E253" s="10">
        <f t="shared" si="13"/>
        <v>1</v>
      </c>
    </row>
    <row r="254" spans="1:5" x14ac:dyDescent="0.25">
      <c r="A254" t="s">
        <v>1111</v>
      </c>
      <c r="B254" t="str">
        <f t="shared" si="12"/>
        <v>Subestacion-El-Mauro_A_E35</v>
      </c>
      <c r="C254">
        <v>253</v>
      </c>
      <c r="D254" s="10">
        <f t="shared" si="14"/>
        <v>253</v>
      </c>
      <c r="E254" s="10">
        <f t="shared" si="13"/>
        <v>1</v>
      </c>
    </row>
    <row r="255" spans="1:5" x14ac:dyDescent="0.25">
      <c r="A255" t="s">
        <v>1112</v>
      </c>
      <c r="B255" t="str">
        <f t="shared" si="12"/>
        <v>ED2</v>
      </c>
      <c r="C255">
        <v>254</v>
      </c>
      <c r="D255" s="10">
        <f t="shared" si="14"/>
        <v>254</v>
      </c>
      <c r="E255" s="10">
        <f t="shared" si="13"/>
        <v>1</v>
      </c>
    </row>
    <row r="256" spans="1:5" x14ac:dyDescent="0.25">
      <c r="A256" t="s">
        <v>1113</v>
      </c>
      <c r="B256" t="str">
        <f t="shared" si="12"/>
        <v>DME9-PA12-IIFF8</v>
      </c>
      <c r="C256">
        <v>255</v>
      </c>
      <c r="D256" s="10">
        <f t="shared" si="14"/>
        <v>255</v>
      </c>
      <c r="E256" s="10">
        <f t="shared" si="13"/>
        <v>1</v>
      </c>
    </row>
    <row r="257" spans="1:5" x14ac:dyDescent="0.25">
      <c r="A257" t="s">
        <v>1114</v>
      </c>
      <c r="B257" t="str">
        <f t="shared" si="12"/>
        <v>EBD</v>
      </c>
      <c r="C257">
        <v>256</v>
      </c>
      <c r="D257" s="10">
        <f t="shared" si="14"/>
        <v>256</v>
      </c>
      <c r="E257" s="10">
        <f t="shared" si="13"/>
        <v>1</v>
      </c>
    </row>
    <row r="258" spans="1:5" x14ac:dyDescent="0.25">
      <c r="A258" t="s">
        <v>1115</v>
      </c>
      <c r="B258" t="str">
        <f t="shared" ref="B258:B321" si="15">RIGHT(A258, LEN(A258)-29)</f>
        <v>IIFF9-PA13</v>
      </c>
      <c r="C258">
        <v>257</v>
      </c>
      <c r="D258" s="10">
        <f t="shared" si="14"/>
        <v>257</v>
      </c>
      <c r="E258" s="10">
        <f t="shared" si="13"/>
        <v>1</v>
      </c>
    </row>
    <row r="259" spans="1:5" x14ac:dyDescent="0.25">
      <c r="A259" t="s">
        <v>1116</v>
      </c>
      <c r="B259" t="str">
        <f t="shared" si="15"/>
        <v>Linea-33-kV-NorteElMauro-Area3</v>
      </c>
      <c r="C259">
        <v>258</v>
      </c>
      <c r="D259" s="10">
        <f t="shared" si="14"/>
        <v>258</v>
      </c>
      <c r="E259" s="10">
        <f t="shared" ref="E259:E322" si="16">C259-C258</f>
        <v>1</v>
      </c>
    </row>
    <row r="260" spans="1:5" x14ac:dyDescent="0.25">
      <c r="A260" t="s">
        <v>1117</v>
      </c>
      <c r="B260" t="str">
        <f t="shared" si="15"/>
        <v>ED2</v>
      </c>
      <c r="C260">
        <v>259</v>
      </c>
      <c r="D260" s="10">
        <f t="shared" si="14"/>
        <v>259</v>
      </c>
      <c r="E260" s="10">
        <f t="shared" si="16"/>
        <v>1</v>
      </c>
    </row>
    <row r="261" spans="1:5" x14ac:dyDescent="0.25">
      <c r="A261" t="s">
        <v>1118</v>
      </c>
      <c r="B261" t="str">
        <f t="shared" si="15"/>
        <v>EV1</v>
      </c>
      <c r="C261">
        <v>260</v>
      </c>
      <c r="D261" s="10">
        <f t="shared" si="14"/>
        <v>260</v>
      </c>
      <c r="E261" s="10">
        <f t="shared" si="16"/>
        <v>1</v>
      </c>
    </row>
    <row r="262" spans="1:5" x14ac:dyDescent="0.25">
      <c r="A262" t="s">
        <v>1119</v>
      </c>
      <c r="B262" t="str">
        <f t="shared" si="15"/>
        <v>EM1</v>
      </c>
      <c r="C262">
        <v>261</v>
      </c>
      <c r="D262" s="10">
        <f t="shared" si="14"/>
        <v>261</v>
      </c>
      <c r="E262" s="10">
        <f t="shared" si="16"/>
        <v>1</v>
      </c>
    </row>
    <row r="263" spans="1:5" x14ac:dyDescent="0.25">
      <c r="A263" t="s">
        <v>1120</v>
      </c>
      <c r="B263" t="str">
        <f t="shared" si="15"/>
        <v>EM4</v>
      </c>
      <c r="C263">
        <v>262</v>
      </c>
      <c r="D263" s="10">
        <f t="shared" si="14"/>
        <v>262</v>
      </c>
      <c r="E263" s="10">
        <f t="shared" si="16"/>
        <v>1</v>
      </c>
    </row>
    <row r="264" spans="1:5" x14ac:dyDescent="0.25">
      <c r="A264" t="s">
        <v>1121</v>
      </c>
      <c r="B264" t="str">
        <f t="shared" si="15"/>
        <v>Plataforma_Integrada_El_Mauro</v>
      </c>
      <c r="C264">
        <v>263</v>
      </c>
      <c r="D264" s="10">
        <f t="shared" si="14"/>
        <v>263</v>
      </c>
      <c r="E264" s="10">
        <f t="shared" si="16"/>
        <v>1</v>
      </c>
    </row>
    <row r="265" spans="1:5" x14ac:dyDescent="0.25">
      <c r="A265" t="s">
        <v>1122</v>
      </c>
      <c r="B265" t="str">
        <f t="shared" si="15"/>
        <v>TORRES_E48_A_E84_PV4</v>
      </c>
      <c r="C265">
        <v>264</v>
      </c>
      <c r="D265" s="10">
        <f t="shared" si="14"/>
        <v>264</v>
      </c>
      <c r="E265" s="10">
        <f t="shared" si="16"/>
        <v>1</v>
      </c>
    </row>
    <row r="266" spans="1:5" x14ac:dyDescent="0.25">
      <c r="A266" t="s">
        <v>1123</v>
      </c>
      <c r="B266" t="str">
        <f t="shared" si="15"/>
        <v>EB3</v>
      </c>
      <c r="C266">
        <v>265</v>
      </c>
      <c r="D266" s="10">
        <f t="shared" si="14"/>
        <v>265</v>
      </c>
      <c r="E266" s="10">
        <f t="shared" si="16"/>
        <v>1</v>
      </c>
    </row>
    <row r="267" spans="1:5" x14ac:dyDescent="0.25">
      <c r="A267" t="s">
        <v>1124</v>
      </c>
      <c r="B267" t="str">
        <f t="shared" si="15"/>
        <v>ED1-IIFF7-DME8</v>
      </c>
      <c r="C267">
        <v>266</v>
      </c>
      <c r="D267" s="10">
        <f t="shared" si="14"/>
        <v>266</v>
      </c>
      <c r="E267" s="10">
        <f t="shared" si="16"/>
        <v>1</v>
      </c>
    </row>
    <row r="268" spans="1:5" x14ac:dyDescent="0.25">
      <c r="A268" t="s">
        <v>1125</v>
      </c>
      <c r="B268" t="str">
        <f t="shared" si="15"/>
        <v>EV2</v>
      </c>
      <c r="C268">
        <v>267</v>
      </c>
      <c r="D268" s="10">
        <f t="shared" si="14"/>
        <v>267</v>
      </c>
      <c r="E268" s="10">
        <f t="shared" si="16"/>
        <v>1</v>
      </c>
    </row>
    <row r="269" spans="1:5" x14ac:dyDescent="0.25">
      <c r="A269" t="s">
        <v>1126</v>
      </c>
      <c r="B269" t="str">
        <f t="shared" si="15"/>
        <v>Patio-19B-y-Armado</v>
      </c>
      <c r="C269">
        <v>268</v>
      </c>
      <c r="D269" s="10">
        <f t="shared" si="14"/>
        <v>268</v>
      </c>
      <c r="E269" s="10">
        <f t="shared" si="16"/>
        <v>1</v>
      </c>
    </row>
    <row r="270" spans="1:5" x14ac:dyDescent="0.25">
      <c r="A270" t="s">
        <v>1127</v>
      </c>
      <c r="B270" t="str">
        <f t="shared" si="15"/>
        <v>Subestacion-El-Mauro</v>
      </c>
      <c r="C270">
        <v>269</v>
      </c>
      <c r="D270" s="10">
        <f t="shared" si="14"/>
        <v>269</v>
      </c>
      <c r="E270" s="10">
        <f t="shared" si="16"/>
        <v>1</v>
      </c>
    </row>
    <row r="271" spans="1:5" x14ac:dyDescent="0.25">
      <c r="A271" t="s">
        <v>1128</v>
      </c>
      <c r="B271" t="str">
        <f t="shared" si="15"/>
        <v>MonteAranda-NSTC-Km-84p2-a-82p3</v>
      </c>
      <c r="C271">
        <v>270</v>
      </c>
      <c r="D271" s="10">
        <f t="shared" si="14"/>
        <v>270</v>
      </c>
      <c r="E271" s="10">
        <f t="shared" si="16"/>
        <v>1</v>
      </c>
    </row>
    <row r="272" spans="1:5" x14ac:dyDescent="0.25">
      <c r="A272" t="s">
        <v>1129</v>
      </c>
      <c r="B272" t="str">
        <f t="shared" si="15"/>
        <v>Subestacion-El-Mauro_A_E35</v>
      </c>
      <c r="C272">
        <v>271</v>
      </c>
      <c r="D272" s="10">
        <f t="shared" si="14"/>
        <v>271</v>
      </c>
      <c r="E272" s="10">
        <f t="shared" si="16"/>
        <v>1</v>
      </c>
    </row>
    <row r="273" spans="1:5" x14ac:dyDescent="0.25">
      <c r="A273" t="s">
        <v>1130</v>
      </c>
      <c r="B273" t="str">
        <f t="shared" si="15"/>
        <v>TORRES_E35_A_E48</v>
      </c>
      <c r="C273">
        <v>272</v>
      </c>
      <c r="D273" s="10">
        <f t="shared" si="14"/>
        <v>272</v>
      </c>
      <c r="E273" s="10">
        <f t="shared" si="16"/>
        <v>1</v>
      </c>
    </row>
    <row r="274" spans="1:5" x14ac:dyDescent="0.25">
      <c r="A274" t="s">
        <v>1131</v>
      </c>
      <c r="B274" t="str">
        <f t="shared" si="15"/>
        <v>TORRES_E85_A_E125</v>
      </c>
      <c r="C274">
        <v>273</v>
      </c>
      <c r="D274" s="10">
        <f t="shared" si="14"/>
        <v>273</v>
      </c>
      <c r="E274" s="10">
        <f t="shared" si="16"/>
        <v>1</v>
      </c>
    </row>
    <row r="275" spans="1:5" x14ac:dyDescent="0.25">
      <c r="A275" t="s">
        <v>1132</v>
      </c>
      <c r="B275" t="str">
        <f t="shared" si="15"/>
        <v>EV1</v>
      </c>
      <c r="C275">
        <v>274</v>
      </c>
      <c r="D275" s="10">
        <f t="shared" si="14"/>
        <v>274</v>
      </c>
      <c r="E275" s="10">
        <f t="shared" si="16"/>
        <v>1</v>
      </c>
    </row>
    <row r="276" spans="1:5" x14ac:dyDescent="0.25">
      <c r="A276" t="s">
        <v>1133</v>
      </c>
      <c r="B276" t="str">
        <f t="shared" si="15"/>
        <v>TORRES_E035_E048</v>
      </c>
      <c r="C276">
        <v>275</v>
      </c>
      <c r="D276" s="10">
        <f t="shared" si="14"/>
        <v>275</v>
      </c>
      <c r="E276" s="10">
        <f t="shared" si="16"/>
        <v>1</v>
      </c>
    </row>
    <row r="277" spans="1:5" x14ac:dyDescent="0.25">
      <c r="A277" t="s">
        <v>1134</v>
      </c>
      <c r="B277" t="str">
        <f t="shared" si="15"/>
        <v>TORRES_E48_A_E84_PV4</v>
      </c>
      <c r="C277">
        <v>276</v>
      </c>
      <c r="D277" s="10">
        <f t="shared" si="14"/>
        <v>276</v>
      </c>
      <c r="E277" s="10">
        <f t="shared" si="16"/>
        <v>1</v>
      </c>
    </row>
    <row r="278" spans="1:5" x14ac:dyDescent="0.25">
      <c r="A278" t="s">
        <v>1135</v>
      </c>
      <c r="B278" t="str">
        <f t="shared" si="15"/>
        <v>EB3</v>
      </c>
      <c r="C278">
        <v>277</v>
      </c>
      <c r="D278" s="10">
        <f t="shared" si="14"/>
        <v>277</v>
      </c>
      <c r="E278" s="10">
        <f t="shared" si="16"/>
        <v>1</v>
      </c>
    </row>
    <row r="279" spans="1:5" x14ac:dyDescent="0.25">
      <c r="A279" t="s">
        <v>1136</v>
      </c>
      <c r="B279" t="str">
        <f t="shared" si="15"/>
        <v>Subestacion-El-Mauro</v>
      </c>
      <c r="C279">
        <v>278</v>
      </c>
      <c r="D279" s="10">
        <f t="shared" si="14"/>
        <v>278</v>
      </c>
      <c r="E279" s="10">
        <f t="shared" si="16"/>
        <v>1</v>
      </c>
    </row>
    <row r="280" spans="1:5" x14ac:dyDescent="0.25">
      <c r="A280" t="s">
        <v>1137</v>
      </c>
      <c r="B280" t="str">
        <f t="shared" si="15"/>
        <v>TORRE_E85_A_E125</v>
      </c>
      <c r="C280">
        <v>279</v>
      </c>
      <c r="D280" s="10">
        <f t="shared" si="14"/>
        <v>279</v>
      </c>
      <c r="E280" s="10">
        <f t="shared" si="16"/>
        <v>1</v>
      </c>
    </row>
    <row r="281" spans="1:5" x14ac:dyDescent="0.25">
      <c r="A281" t="s">
        <v>1138</v>
      </c>
      <c r="B281" t="str">
        <f t="shared" si="15"/>
        <v>EM1</v>
      </c>
      <c r="C281">
        <v>280</v>
      </c>
      <c r="D281" s="10">
        <f t="shared" si="14"/>
        <v>280</v>
      </c>
      <c r="E281" s="10">
        <f t="shared" si="16"/>
        <v>1</v>
      </c>
    </row>
    <row r="282" spans="1:5" x14ac:dyDescent="0.25">
      <c r="A282" t="s">
        <v>1139</v>
      </c>
      <c r="B282" t="str">
        <f t="shared" si="15"/>
        <v>EM4</v>
      </c>
      <c r="C282">
        <v>281</v>
      </c>
      <c r="D282" s="10">
        <f t="shared" si="14"/>
        <v>281</v>
      </c>
      <c r="E282" s="10">
        <f t="shared" si="16"/>
        <v>1</v>
      </c>
    </row>
    <row r="283" spans="1:5" x14ac:dyDescent="0.25">
      <c r="A283" t="s">
        <v>1140</v>
      </c>
      <c r="B283" t="str">
        <f t="shared" si="15"/>
        <v>EV2</v>
      </c>
      <c r="C283">
        <v>282</v>
      </c>
      <c r="D283" s="10">
        <f t="shared" si="14"/>
        <v>282</v>
      </c>
      <c r="E283" s="10">
        <f t="shared" si="16"/>
        <v>1</v>
      </c>
    </row>
    <row r="284" spans="1:5" x14ac:dyDescent="0.25">
      <c r="A284" t="s">
        <v>1141</v>
      </c>
      <c r="B284" t="str">
        <f t="shared" si="15"/>
        <v>MonteAranda-NSTC-Km-84p2-a-82p3</v>
      </c>
      <c r="C284">
        <v>283</v>
      </c>
      <c r="D284" s="10">
        <f t="shared" si="14"/>
        <v>283</v>
      </c>
      <c r="E284" s="10">
        <f t="shared" si="16"/>
        <v>1</v>
      </c>
    </row>
    <row r="285" spans="1:5" x14ac:dyDescent="0.25">
      <c r="A285" t="s">
        <v>1142</v>
      </c>
      <c r="B285" t="str">
        <f t="shared" si="15"/>
        <v>Plataforma_Integrada_El_Mauro</v>
      </c>
      <c r="C285">
        <v>284</v>
      </c>
      <c r="D285" s="10">
        <f t="shared" si="14"/>
        <v>284</v>
      </c>
      <c r="E285" s="10">
        <f t="shared" si="16"/>
        <v>1</v>
      </c>
    </row>
    <row r="286" spans="1:5" x14ac:dyDescent="0.25">
      <c r="A286" t="s">
        <v>1143</v>
      </c>
      <c r="B286" t="str">
        <f t="shared" si="15"/>
        <v>ED1-IIFF7-DME8</v>
      </c>
      <c r="C286">
        <v>285</v>
      </c>
      <c r="D286" s="10">
        <f t="shared" si="14"/>
        <v>285</v>
      </c>
      <c r="E286" s="10">
        <f t="shared" si="16"/>
        <v>1</v>
      </c>
    </row>
    <row r="287" spans="1:5" x14ac:dyDescent="0.25">
      <c r="A287" t="s">
        <v>1144</v>
      </c>
      <c r="B287" t="str">
        <f t="shared" si="15"/>
        <v>EM2</v>
      </c>
      <c r="C287">
        <v>286</v>
      </c>
      <c r="D287" s="10">
        <f t="shared" si="14"/>
        <v>286</v>
      </c>
      <c r="E287" s="10">
        <f t="shared" si="16"/>
        <v>1</v>
      </c>
    </row>
    <row r="288" spans="1:5" x14ac:dyDescent="0.25">
      <c r="A288" t="s">
        <v>1145</v>
      </c>
      <c r="B288" t="str">
        <f t="shared" si="15"/>
        <v>IIFF9-PA13</v>
      </c>
      <c r="C288">
        <v>287</v>
      </c>
      <c r="D288" s="10">
        <f t="shared" si="14"/>
        <v>287</v>
      </c>
      <c r="E288" s="10">
        <f t="shared" si="16"/>
        <v>1</v>
      </c>
    </row>
    <row r="289" spans="1:5" x14ac:dyDescent="0.25">
      <c r="A289" t="s">
        <v>1146</v>
      </c>
      <c r="B289" t="str">
        <f t="shared" si="15"/>
        <v>Subestacion-El-Mauro_A_E35</v>
      </c>
      <c r="C289">
        <v>288</v>
      </c>
      <c r="D289" s="10">
        <f t="shared" si="14"/>
        <v>288</v>
      </c>
      <c r="E289" s="10">
        <f t="shared" si="16"/>
        <v>1</v>
      </c>
    </row>
    <row r="290" spans="1:5" x14ac:dyDescent="0.25">
      <c r="A290" t="s">
        <v>1147</v>
      </c>
      <c r="B290" t="str">
        <f t="shared" si="15"/>
        <v>ED2</v>
      </c>
      <c r="C290">
        <v>289</v>
      </c>
      <c r="D290" s="10">
        <f t="shared" si="14"/>
        <v>289</v>
      </c>
      <c r="E290" s="10">
        <f t="shared" si="16"/>
        <v>1</v>
      </c>
    </row>
    <row r="291" spans="1:5" x14ac:dyDescent="0.25">
      <c r="A291" t="s">
        <v>1148</v>
      </c>
      <c r="B291" t="str">
        <f t="shared" si="15"/>
        <v>Linea-33-kV-NorteElMauro-Area3_1</v>
      </c>
      <c r="C291">
        <v>290</v>
      </c>
      <c r="D291" s="10">
        <f t="shared" si="14"/>
        <v>290</v>
      </c>
      <c r="E291" s="10">
        <f t="shared" si="16"/>
        <v>1</v>
      </c>
    </row>
    <row r="292" spans="1:5" x14ac:dyDescent="0.25">
      <c r="A292" t="s">
        <v>1149</v>
      </c>
      <c r="B292" t="str">
        <f t="shared" si="15"/>
        <v>Patio-19B-y-Armado</v>
      </c>
      <c r="C292">
        <v>291</v>
      </c>
      <c r="D292" s="10">
        <f t="shared" si="14"/>
        <v>291</v>
      </c>
      <c r="E292" s="10">
        <f t="shared" si="16"/>
        <v>1</v>
      </c>
    </row>
    <row r="293" spans="1:5" x14ac:dyDescent="0.25">
      <c r="A293" t="s">
        <v>1150</v>
      </c>
      <c r="B293" t="str">
        <f t="shared" si="15"/>
        <v>EM2</v>
      </c>
      <c r="C293">
        <v>292</v>
      </c>
      <c r="D293" s="10">
        <f t="shared" ref="D293:D356" si="17">C293</f>
        <v>292</v>
      </c>
      <c r="E293" s="10">
        <f t="shared" si="16"/>
        <v>1</v>
      </c>
    </row>
    <row r="294" spans="1:5" x14ac:dyDescent="0.25">
      <c r="A294" t="s">
        <v>1151</v>
      </c>
      <c r="B294" t="str">
        <f t="shared" si="15"/>
        <v>EM2_S2</v>
      </c>
      <c r="C294">
        <v>293</v>
      </c>
      <c r="D294" s="10">
        <f t="shared" si="17"/>
        <v>293</v>
      </c>
      <c r="E294" s="10">
        <f t="shared" si="16"/>
        <v>1</v>
      </c>
    </row>
    <row r="295" spans="1:5" x14ac:dyDescent="0.25">
      <c r="A295" t="s">
        <v>1152</v>
      </c>
      <c r="B295" t="str">
        <f t="shared" si="15"/>
        <v>EV1</v>
      </c>
      <c r="C295">
        <v>294</v>
      </c>
      <c r="D295" s="10">
        <f t="shared" si="17"/>
        <v>294</v>
      </c>
      <c r="E295" s="10">
        <f t="shared" si="16"/>
        <v>1</v>
      </c>
    </row>
    <row r="296" spans="1:5" x14ac:dyDescent="0.25">
      <c r="A296" t="s">
        <v>1153</v>
      </c>
      <c r="B296" t="str">
        <f t="shared" si="15"/>
        <v>ED2</v>
      </c>
      <c r="C296">
        <v>295</v>
      </c>
      <c r="D296" s="10">
        <f t="shared" si="17"/>
        <v>295</v>
      </c>
      <c r="E296" s="10">
        <f t="shared" si="16"/>
        <v>1</v>
      </c>
    </row>
    <row r="297" spans="1:5" x14ac:dyDescent="0.25">
      <c r="A297" t="s">
        <v>1154</v>
      </c>
      <c r="B297" t="str">
        <f t="shared" si="15"/>
        <v>EM4</v>
      </c>
      <c r="C297">
        <v>296</v>
      </c>
      <c r="D297" s="10">
        <f t="shared" si="17"/>
        <v>296</v>
      </c>
      <c r="E297" s="10">
        <f t="shared" si="16"/>
        <v>1</v>
      </c>
    </row>
    <row r="298" spans="1:5" x14ac:dyDescent="0.25">
      <c r="A298" t="s">
        <v>1155</v>
      </c>
      <c r="B298" t="str">
        <f t="shared" si="15"/>
        <v>Plataforma_Integrada_El_Mauro</v>
      </c>
      <c r="C298">
        <v>297</v>
      </c>
      <c r="D298" s="10">
        <f t="shared" si="17"/>
        <v>297</v>
      </c>
      <c r="E298" s="10">
        <f t="shared" si="16"/>
        <v>1</v>
      </c>
    </row>
    <row r="299" spans="1:5" x14ac:dyDescent="0.25">
      <c r="A299" t="s">
        <v>1156</v>
      </c>
      <c r="B299" t="str">
        <f t="shared" si="15"/>
        <v>EB3</v>
      </c>
      <c r="C299">
        <v>298</v>
      </c>
      <c r="D299" s="10">
        <f t="shared" si="17"/>
        <v>298</v>
      </c>
      <c r="E299" s="10">
        <f t="shared" si="16"/>
        <v>1</v>
      </c>
    </row>
    <row r="300" spans="1:5" x14ac:dyDescent="0.25">
      <c r="A300" t="s">
        <v>1157</v>
      </c>
      <c r="B300" t="str">
        <f t="shared" si="15"/>
        <v>EM1</v>
      </c>
      <c r="C300">
        <v>299</v>
      </c>
      <c r="D300" s="10">
        <f t="shared" si="17"/>
        <v>299</v>
      </c>
      <c r="E300" s="10">
        <f t="shared" si="16"/>
        <v>1</v>
      </c>
    </row>
    <row r="301" spans="1:5" x14ac:dyDescent="0.25">
      <c r="A301" t="s">
        <v>1158</v>
      </c>
      <c r="B301" t="str">
        <f t="shared" si="15"/>
        <v>Estacion_Drenes_El_Mauro</v>
      </c>
      <c r="C301">
        <v>300</v>
      </c>
      <c r="D301" s="10">
        <f t="shared" si="17"/>
        <v>300</v>
      </c>
      <c r="E301" s="10">
        <f t="shared" si="16"/>
        <v>1</v>
      </c>
    </row>
    <row r="302" spans="1:5" x14ac:dyDescent="0.25">
      <c r="A302" t="s">
        <v>1159</v>
      </c>
      <c r="B302" t="str">
        <f t="shared" si="15"/>
        <v>Patio-19B-y-Armado</v>
      </c>
      <c r="C302">
        <v>301</v>
      </c>
      <c r="D302" s="10">
        <f t="shared" si="17"/>
        <v>301</v>
      </c>
      <c r="E302" s="10">
        <f t="shared" si="16"/>
        <v>1</v>
      </c>
    </row>
    <row r="303" spans="1:5" x14ac:dyDescent="0.25">
      <c r="A303" t="s">
        <v>1160</v>
      </c>
      <c r="B303" t="str">
        <f t="shared" si="15"/>
        <v>Subestacion-El-Mauro</v>
      </c>
      <c r="C303">
        <v>302</v>
      </c>
      <c r="D303" s="10">
        <f t="shared" si="17"/>
        <v>302</v>
      </c>
      <c r="E303" s="10">
        <f t="shared" si="16"/>
        <v>1</v>
      </c>
    </row>
    <row r="304" spans="1:5" x14ac:dyDescent="0.25">
      <c r="A304" t="s">
        <v>1161</v>
      </c>
      <c r="B304" t="str">
        <f t="shared" si="15"/>
        <v>Camino_Alternativo_Salamanca</v>
      </c>
      <c r="C304">
        <v>303</v>
      </c>
      <c r="D304" s="10">
        <f t="shared" si="17"/>
        <v>303</v>
      </c>
      <c r="E304" s="10">
        <f t="shared" si="16"/>
        <v>1</v>
      </c>
    </row>
    <row r="305" spans="1:5" x14ac:dyDescent="0.25">
      <c r="A305" t="s">
        <v>1162</v>
      </c>
      <c r="B305" t="str">
        <f t="shared" si="15"/>
        <v>EV2</v>
      </c>
      <c r="C305">
        <v>304</v>
      </c>
      <c r="D305" s="10">
        <f t="shared" si="17"/>
        <v>304</v>
      </c>
      <c r="E305" s="10">
        <f t="shared" si="16"/>
        <v>1</v>
      </c>
    </row>
    <row r="306" spans="1:5" x14ac:dyDescent="0.25">
      <c r="A306" t="s">
        <v>1163</v>
      </c>
      <c r="B306" t="str">
        <f t="shared" si="15"/>
        <v>Hidrociclones</v>
      </c>
      <c r="C306">
        <v>305</v>
      </c>
      <c r="D306" s="10">
        <f t="shared" si="17"/>
        <v>305</v>
      </c>
      <c r="E306" s="10">
        <f t="shared" si="16"/>
        <v>1</v>
      </c>
    </row>
    <row r="307" spans="1:5" x14ac:dyDescent="0.25">
      <c r="A307" t="s">
        <v>1164</v>
      </c>
      <c r="B307" t="str">
        <f t="shared" si="15"/>
        <v>TORRE_E85_A_E_125</v>
      </c>
      <c r="C307">
        <v>306</v>
      </c>
      <c r="D307" s="10">
        <f t="shared" si="17"/>
        <v>306</v>
      </c>
      <c r="E307" s="10">
        <f t="shared" si="16"/>
        <v>1</v>
      </c>
    </row>
    <row r="308" spans="1:5" x14ac:dyDescent="0.25">
      <c r="A308" t="s">
        <v>1165</v>
      </c>
      <c r="B308" t="str">
        <f t="shared" si="15"/>
        <v>TORRES_E35_A_E48</v>
      </c>
      <c r="C308">
        <v>307</v>
      </c>
      <c r="D308" s="10">
        <f t="shared" si="17"/>
        <v>307</v>
      </c>
      <c r="E308" s="10">
        <f t="shared" si="16"/>
        <v>1</v>
      </c>
    </row>
    <row r="309" spans="1:5" x14ac:dyDescent="0.25">
      <c r="A309" t="s">
        <v>1166</v>
      </c>
      <c r="B309" t="str">
        <f t="shared" si="15"/>
        <v>TORRES_E48_A_E84_PV4</v>
      </c>
      <c r="C309">
        <v>308</v>
      </c>
      <c r="D309" s="10">
        <f t="shared" si="17"/>
        <v>308</v>
      </c>
      <c r="E309" s="10">
        <f t="shared" si="16"/>
        <v>1</v>
      </c>
    </row>
    <row r="310" spans="1:5" x14ac:dyDescent="0.25">
      <c r="A310" t="s">
        <v>1167</v>
      </c>
      <c r="B310" t="str">
        <f t="shared" si="15"/>
        <v>MonteAranda-NSTC-Km-84p2-a-82p3</v>
      </c>
      <c r="C310">
        <v>309</v>
      </c>
      <c r="D310" s="10">
        <f t="shared" si="17"/>
        <v>309</v>
      </c>
      <c r="E310" s="10">
        <f t="shared" si="16"/>
        <v>1</v>
      </c>
    </row>
    <row r="311" spans="1:5" x14ac:dyDescent="0.25">
      <c r="A311" t="s">
        <v>1168</v>
      </c>
      <c r="B311" t="str">
        <f t="shared" si="15"/>
        <v>Camino_Alternativo_Salamanca</v>
      </c>
      <c r="C311">
        <v>310</v>
      </c>
      <c r="D311" s="10">
        <f t="shared" si="17"/>
        <v>310</v>
      </c>
      <c r="E311" s="10">
        <f t="shared" si="16"/>
        <v>1</v>
      </c>
    </row>
    <row r="312" spans="1:5" x14ac:dyDescent="0.25">
      <c r="A312" t="s">
        <v>1169</v>
      </c>
      <c r="B312" t="str">
        <f t="shared" si="15"/>
        <v>EBD</v>
      </c>
      <c r="C312">
        <v>311</v>
      </c>
      <c r="D312" s="10">
        <f t="shared" si="17"/>
        <v>311</v>
      </c>
      <c r="E312" s="10">
        <f t="shared" si="16"/>
        <v>1</v>
      </c>
    </row>
    <row r="313" spans="1:5" x14ac:dyDescent="0.25">
      <c r="A313" t="s">
        <v>1170</v>
      </c>
      <c r="B313" t="str">
        <f t="shared" si="15"/>
        <v>ED2</v>
      </c>
      <c r="C313">
        <v>312</v>
      </c>
      <c r="D313" s="10">
        <f t="shared" si="17"/>
        <v>312</v>
      </c>
      <c r="E313" s="10">
        <f t="shared" si="16"/>
        <v>1</v>
      </c>
    </row>
    <row r="314" spans="1:5" x14ac:dyDescent="0.25">
      <c r="A314" t="s">
        <v>1171</v>
      </c>
      <c r="B314" t="str">
        <f t="shared" si="15"/>
        <v>EM3</v>
      </c>
      <c r="C314">
        <v>313</v>
      </c>
      <c r="D314" s="10">
        <f t="shared" si="17"/>
        <v>313</v>
      </c>
      <c r="E314" s="10">
        <f t="shared" si="16"/>
        <v>1</v>
      </c>
    </row>
    <row r="315" spans="1:5" x14ac:dyDescent="0.25">
      <c r="A315" t="s">
        <v>1172</v>
      </c>
      <c r="B315" t="str">
        <f t="shared" si="15"/>
        <v>Patio-19B-y-Armado</v>
      </c>
      <c r="C315">
        <v>314</v>
      </c>
      <c r="D315" s="10">
        <f t="shared" si="17"/>
        <v>314</v>
      </c>
      <c r="E315" s="10">
        <f t="shared" si="16"/>
        <v>1</v>
      </c>
    </row>
    <row r="316" spans="1:5" x14ac:dyDescent="0.25">
      <c r="A316" t="s">
        <v>1173</v>
      </c>
      <c r="B316" t="str">
        <f t="shared" si="15"/>
        <v>Plataforma_Integrada_El_Mauro</v>
      </c>
      <c r="C316">
        <v>315</v>
      </c>
      <c r="D316" s="10">
        <f t="shared" si="17"/>
        <v>315</v>
      </c>
      <c r="E316" s="10">
        <f t="shared" si="16"/>
        <v>1</v>
      </c>
    </row>
    <row r="317" spans="1:5" x14ac:dyDescent="0.25">
      <c r="A317" t="s">
        <v>1174</v>
      </c>
      <c r="B317" t="str">
        <f t="shared" si="15"/>
        <v>Pozos_PRP</v>
      </c>
      <c r="C317">
        <v>316</v>
      </c>
      <c r="D317" s="10">
        <f t="shared" si="17"/>
        <v>316</v>
      </c>
      <c r="E317" s="10">
        <f t="shared" si="16"/>
        <v>1</v>
      </c>
    </row>
    <row r="318" spans="1:5" x14ac:dyDescent="0.25">
      <c r="A318" t="s">
        <v>1175</v>
      </c>
      <c r="B318" t="str">
        <f t="shared" si="15"/>
        <v>Subestacion-El-Mauro_A_E35</v>
      </c>
      <c r="C318">
        <v>317</v>
      </c>
      <c r="D318" s="10">
        <f t="shared" si="17"/>
        <v>317</v>
      </c>
      <c r="E318" s="10">
        <f t="shared" si="16"/>
        <v>1</v>
      </c>
    </row>
    <row r="319" spans="1:5" x14ac:dyDescent="0.25">
      <c r="A319" t="s">
        <v>1176</v>
      </c>
      <c r="B319" t="str">
        <f t="shared" si="15"/>
        <v>TORRES_E48_A_E84_PV4</v>
      </c>
      <c r="C319">
        <v>318</v>
      </c>
      <c r="D319" s="10">
        <f t="shared" si="17"/>
        <v>318</v>
      </c>
      <c r="E319" s="10">
        <f t="shared" si="16"/>
        <v>1</v>
      </c>
    </row>
    <row r="320" spans="1:5" x14ac:dyDescent="0.25">
      <c r="A320" t="s">
        <v>1177</v>
      </c>
      <c r="B320" t="str">
        <f t="shared" si="15"/>
        <v>EB3</v>
      </c>
      <c r="C320">
        <v>319</v>
      </c>
      <c r="D320" s="10">
        <f t="shared" si="17"/>
        <v>319</v>
      </c>
      <c r="E320" s="10">
        <f t="shared" si="16"/>
        <v>1</v>
      </c>
    </row>
    <row r="321" spans="1:5" x14ac:dyDescent="0.25">
      <c r="A321" t="s">
        <v>1178</v>
      </c>
      <c r="B321" t="str">
        <f t="shared" si="15"/>
        <v>Estacion_Cabecera</v>
      </c>
      <c r="C321">
        <v>320</v>
      </c>
      <c r="D321" s="10">
        <f t="shared" si="17"/>
        <v>320</v>
      </c>
      <c r="E321" s="10">
        <f t="shared" si="16"/>
        <v>1</v>
      </c>
    </row>
    <row r="322" spans="1:5" x14ac:dyDescent="0.25">
      <c r="A322" t="s">
        <v>1179</v>
      </c>
      <c r="B322" t="str">
        <f t="shared" ref="B322:B385" si="18">RIGHT(A322, LEN(A322)-29)</f>
        <v>Estacion_Intermedia</v>
      </c>
      <c r="C322">
        <v>321</v>
      </c>
      <c r="D322" s="10">
        <f t="shared" si="17"/>
        <v>321</v>
      </c>
      <c r="E322" s="10">
        <f t="shared" si="16"/>
        <v>1</v>
      </c>
    </row>
    <row r="323" spans="1:5" x14ac:dyDescent="0.25">
      <c r="A323" t="s">
        <v>1180</v>
      </c>
      <c r="B323" t="str">
        <f t="shared" si="18"/>
        <v>EV1</v>
      </c>
      <c r="C323">
        <v>322</v>
      </c>
      <c r="D323" s="10">
        <f t="shared" si="17"/>
        <v>322</v>
      </c>
      <c r="E323" s="10">
        <f t="shared" ref="E323:E386" si="19">C323-C322</f>
        <v>1</v>
      </c>
    </row>
    <row r="324" spans="1:5" x14ac:dyDescent="0.25">
      <c r="A324" t="s">
        <v>1181</v>
      </c>
      <c r="B324" t="str">
        <f t="shared" si="18"/>
        <v>Helipuerto</v>
      </c>
      <c r="C324">
        <v>323</v>
      </c>
      <c r="D324" s="10">
        <f t="shared" si="17"/>
        <v>323</v>
      </c>
      <c r="E324" s="10">
        <f t="shared" si="19"/>
        <v>1</v>
      </c>
    </row>
    <row r="325" spans="1:5" x14ac:dyDescent="0.25">
      <c r="A325" t="s">
        <v>1182</v>
      </c>
      <c r="B325" t="str">
        <f t="shared" si="18"/>
        <v>MonteAranda-NSTC-Km-84p2-a-82p3</v>
      </c>
      <c r="C325">
        <v>324</v>
      </c>
      <c r="D325" s="10">
        <f t="shared" si="17"/>
        <v>324</v>
      </c>
      <c r="E325" s="10">
        <f t="shared" si="19"/>
        <v>1</v>
      </c>
    </row>
    <row r="326" spans="1:5" x14ac:dyDescent="0.25">
      <c r="A326" t="s">
        <v>1183</v>
      </c>
      <c r="B326" t="str">
        <f t="shared" si="18"/>
        <v>Subestacion-El-Mauro</v>
      </c>
      <c r="C326">
        <v>325</v>
      </c>
      <c r="D326" s="10">
        <f t="shared" si="17"/>
        <v>325</v>
      </c>
      <c r="E326" s="10">
        <f t="shared" si="19"/>
        <v>1</v>
      </c>
    </row>
    <row r="327" spans="1:5" x14ac:dyDescent="0.25">
      <c r="A327" t="s">
        <v>1184</v>
      </c>
      <c r="B327" t="str">
        <f t="shared" si="18"/>
        <v>TORRE_E85_A_E_125</v>
      </c>
      <c r="C327">
        <v>326</v>
      </c>
      <c r="D327" s="10">
        <f t="shared" si="17"/>
        <v>326</v>
      </c>
      <c r="E327" s="10">
        <f t="shared" si="19"/>
        <v>1</v>
      </c>
    </row>
    <row r="328" spans="1:5" x14ac:dyDescent="0.25">
      <c r="A328" t="s">
        <v>1185</v>
      </c>
      <c r="B328" t="str">
        <f t="shared" si="18"/>
        <v>DME9-PA12-IIFF8</v>
      </c>
      <c r="C328">
        <v>327</v>
      </c>
      <c r="D328" s="10">
        <f t="shared" si="17"/>
        <v>327</v>
      </c>
      <c r="E328" s="10">
        <f t="shared" si="19"/>
        <v>1</v>
      </c>
    </row>
    <row r="329" spans="1:5" x14ac:dyDescent="0.25">
      <c r="A329" t="s">
        <v>1186</v>
      </c>
      <c r="B329" t="str">
        <f t="shared" si="18"/>
        <v>EM2</v>
      </c>
      <c r="C329">
        <v>328</v>
      </c>
      <c r="D329" s="10">
        <f t="shared" si="17"/>
        <v>328</v>
      </c>
      <c r="E329" s="10">
        <f t="shared" si="19"/>
        <v>1</v>
      </c>
    </row>
    <row r="330" spans="1:5" x14ac:dyDescent="0.25">
      <c r="A330" t="s">
        <v>1187</v>
      </c>
      <c r="B330" t="str">
        <f t="shared" si="18"/>
        <v>IIFF9-PA13</v>
      </c>
      <c r="C330">
        <v>329</v>
      </c>
      <c r="D330" s="10">
        <f t="shared" si="17"/>
        <v>329</v>
      </c>
      <c r="E330" s="10">
        <f t="shared" si="19"/>
        <v>1</v>
      </c>
    </row>
    <row r="331" spans="1:5" x14ac:dyDescent="0.25">
      <c r="A331" t="s">
        <v>1188</v>
      </c>
      <c r="B331" t="str">
        <f t="shared" si="18"/>
        <v>TORRES_E35_A_E48</v>
      </c>
      <c r="C331">
        <v>330</v>
      </c>
      <c r="D331" s="10">
        <f t="shared" si="17"/>
        <v>330</v>
      </c>
      <c r="E331" s="10">
        <f t="shared" si="19"/>
        <v>1</v>
      </c>
    </row>
    <row r="332" spans="1:5" x14ac:dyDescent="0.25">
      <c r="A332" t="s">
        <v>1189</v>
      </c>
      <c r="B332" t="str">
        <f t="shared" si="18"/>
        <v>Acceso_a_pozos</v>
      </c>
      <c r="C332">
        <v>331</v>
      </c>
      <c r="D332" s="10">
        <f t="shared" si="17"/>
        <v>331</v>
      </c>
      <c r="E332" s="10">
        <f t="shared" si="19"/>
        <v>1</v>
      </c>
    </row>
    <row r="333" spans="1:5" x14ac:dyDescent="0.25">
      <c r="A333" t="s">
        <v>1190</v>
      </c>
      <c r="B333" t="str">
        <f t="shared" si="18"/>
        <v>EBR</v>
      </c>
      <c r="C333">
        <v>332</v>
      </c>
      <c r="D333" s="10">
        <f t="shared" si="17"/>
        <v>332</v>
      </c>
      <c r="E333" s="10">
        <f t="shared" si="19"/>
        <v>1</v>
      </c>
    </row>
    <row r="334" spans="1:5" x14ac:dyDescent="0.25">
      <c r="A334" t="s">
        <v>1191</v>
      </c>
      <c r="B334" t="str">
        <f t="shared" si="18"/>
        <v>ED1</v>
      </c>
      <c r="C334">
        <v>333</v>
      </c>
      <c r="D334" s="10">
        <f t="shared" si="17"/>
        <v>333</v>
      </c>
      <c r="E334" s="10">
        <f t="shared" si="19"/>
        <v>1</v>
      </c>
    </row>
    <row r="335" spans="1:5" x14ac:dyDescent="0.25">
      <c r="A335" t="s">
        <v>1192</v>
      </c>
      <c r="B335" t="str">
        <f t="shared" si="18"/>
        <v>EM1</v>
      </c>
      <c r="C335">
        <v>334</v>
      </c>
      <c r="D335" s="10">
        <f t="shared" si="17"/>
        <v>334</v>
      </c>
      <c r="E335" s="10">
        <f t="shared" si="19"/>
        <v>1</v>
      </c>
    </row>
    <row r="336" spans="1:5" x14ac:dyDescent="0.25">
      <c r="A336" t="s">
        <v>1193</v>
      </c>
      <c r="B336" t="str">
        <f t="shared" si="18"/>
        <v>EM4</v>
      </c>
      <c r="C336">
        <v>335</v>
      </c>
      <c r="D336" s="10">
        <f t="shared" si="17"/>
        <v>335</v>
      </c>
      <c r="E336" s="10">
        <f t="shared" si="19"/>
        <v>1</v>
      </c>
    </row>
    <row r="337" spans="1:5" x14ac:dyDescent="0.25">
      <c r="A337" t="s">
        <v>1194</v>
      </c>
      <c r="B337" t="str">
        <f t="shared" si="18"/>
        <v>Subestacion-El-Mauro_A_E35</v>
      </c>
      <c r="C337">
        <v>336</v>
      </c>
      <c r="D337" s="10">
        <f t="shared" si="17"/>
        <v>336</v>
      </c>
      <c r="E337" s="10">
        <f t="shared" si="19"/>
        <v>1</v>
      </c>
    </row>
    <row r="338" spans="1:5" x14ac:dyDescent="0.25">
      <c r="A338" t="s">
        <v>1195</v>
      </c>
      <c r="B338" t="str">
        <f t="shared" si="18"/>
        <v>EDT</v>
      </c>
      <c r="C338">
        <v>337</v>
      </c>
      <c r="D338" s="10">
        <f t="shared" si="17"/>
        <v>337</v>
      </c>
      <c r="E338" s="10">
        <f t="shared" si="19"/>
        <v>1</v>
      </c>
    </row>
    <row r="339" spans="1:5" x14ac:dyDescent="0.25">
      <c r="A339" t="s">
        <v>1196</v>
      </c>
      <c r="B339" t="str">
        <f t="shared" si="18"/>
        <v>EV2</v>
      </c>
      <c r="C339">
        <v>338</v>
      </c>
      <c r="D339" s="10">
        <f t="shared" si="17"/>
        <v>338</v>
      </c>
      <c r="E339" s="10">
        <f t="shared" si="19"/>
        <v>1</v>
      </c>
    </row>
    <row r="340" spans="1:5" x14ac:dyDescent="0.25">
      <c r="A340" t="s">
        <v>1197</v>
      </c>
      <c r="B340" t="str">
        <f t="shared" si="18"/>
        <v>DME9-PA12-IIFF8</v>
      </c>
      <c r="C340">
        <v>339</v>
      </c>
      <c r="D340" s="10">
        <f t="shared" si="17"/>
        <v>339</v>
      </c>
      <c r="E340" s="10">
        <f t="shared" si="19"/>
        <v>1</v>
      </c>
    </row>
    <row r="341" spans="1:5" x14ac:dyDescent="0.25">
      <c r="A341" t="s">
        <v>1198</v>
      </c>
      <c r="B341" t="str">
        <f t="shared" si="18"/>
        <v>EBD</v>
      </c>
      <c r="C341">
        <v>399</v>
      </c>
      <c r="D341" s="10">
        <f t="shared" si="17"/>
        <v>399</v>
      </c>
      <c r="E341" s="10">
        <f t="shared" si="19"/>
        <v>60</v>
      </c>
    </row>
    <row r="342" spans="1:5" x14ac:dyDescent="0.25">
      <c r="A342" t="s">
        <v>1199</v>
      </c>
      <c r="B342" t="str">
        <f t="shared" si="18"/>
        <v>EM2</v>
      </c>
      <c r="C342">
        <v>393</v>
      </c>
      <c r="D342" s="10">
        <f t="shared" si="17"/>
        <v>393</v>
      </c>
      <c r="E342" s="10">
        <f t="shared" si="19"/>
        <v>-6</v>
      </c>
    </row>
    <row r="343" spans="1:5" x14ac:dyDescent="0.25">
      <c r="A343" t="s">
        <v>1200</v>
      </c>
      <c r="B343" t="str">
        <f t="shared" si="18"/>
        <v>EM2_2</v>
      </c>
      <c r="C343">
        <v>340</v>
      </c>
      <c r="D343" s="10">
        <f t="shared" si="17"/>
        <v>340</v>
      </c>
      <c r="E343" s="10">
        <f t="shared" si="19"/>
        <v>-53</v>
      </c>
    </row>
    <row r="344" spans="1:5" x14ac:dyDescent="0.25">
      <c r="A344" t="s">
        <v>1201</v>
      </c>
      <c r="B344" t="str">
        <f t="shared" si="18"/>
        <v>Pozos_PRP</v>
      </c>
      <c r="C344">
        <v>341</v>
      </c>
      <c r="D344" s="10">
        <f t="shared" si="17"/>
        <v>341</v>
      </c>
      <c r="E344" s="10">
        <f t="shared" si="19"/>
        <v>1</v>
      </c>
    </row>
    <row r="345" spans="1:5" x14ac:dyDescent="0.25">
      <c r="A345" t="s">
        <v>1202</v>
      </c>
      <c r="B345" t="str">
        <f t="shared" si="18"/>
        <v>Camino_Alternativo_Salamanca</v>
      </c>
      <c r="C345">
        <v>342</v>
      </c>
      <c r="D345" s="10">
        <f t="shared" si="17"/>
        <v>342</v>
      </c>
      <c r="E345" s="10">
        <f t="shared" si="19"/>
        <v>1</v>
      </c>
    </row>
    <row r="346" spans="1:5" x14ac:dyDescent="0.25">
      <c r="A346" t="s">
        <v>1203</v>
      </c>
      <c r="B346" t="str">
        <f t="shared" si="18"/>
        <v>ED2</v>
      </c>
      <c r="C346">
        <v>343</v>
      </c>
      <c r="D346" s="10">
        <f t="shared" si="17"/>
        <v>343</v>
      </c>
      <c r="E346" s="10">
        <f t="shared" si="19"/>
        <v>1</v>
      </c>
    </row>
    <row r="347" spans="1:5" x14ac:dyDescent="0.25">
      <c r="A347" t="s">
        <v>1204</v>
      </c>
      <c r="B347" t="str">
        <f t="shared" si="18"/>
        <v>EM3</v>
      </c>
      <c r="C347">
        <v>344</v>
      </c>
      <c r="D347" s="10">
        <f t="shared" si="17"/>
        <v>344</v>
      </c>
      <c r="E347" s="10">
        <f t="shared" si="19"/>
        <v>1</v>
      </c>
    </row>
    <row r="348" spans="1:5" x14ac:dyDescent="0.25">
      <c r="A348" t="s">
        <v>1205</v>
      </c>
      <c r="B348" t="str">
        <f t="shared" si="18"/>
        <v>EM4</v>
      </c>
      <c r="C348">
        <v>345</v>
      </c>
      <c r="D348" s="10">
        <f t="shared" si="17"/>
        <v>345</v>
      </c>
      <c r="E348" s="10">
        <f t="shared" si="19"/>
        <v>1</v>
      </c>
    </row>
    <row r="349" spans="1:5" x14ac:dyDescent="0.25">
      <c r="A349" t="s">
        <v>1206</v>
      </c>
      <c r="B349" t="str">
        <f t="shared" si="18"/>
        <v>Plataforma_Integrada_El_Mauro</v>
      </c>
      <c r="C349">
        <v>346</v>
      </c>
      <c r="D349" s="10">
        <f t="shared" si="17"/>
        <v>346</v>
      </c>
      <c r="E349" s="10">
        <f t="shared" si="19"/>
        <v>1</v>
      </c>
    </row>
    <row r="350" spans="1:5" x14ac:dyDescent="0.25">
      <c r="A350" t="s">
        <v>1207</v>
      </c>
      <c r="B350" t="str">
        <f t="shared" si="18"/>
        <v>Pozos_PRP</v>
      </c>
      <c r="C350">
        <v>347</v>
      </c>
      <c r="D350" s="10">
        <f t="shared" si="17"/>
        <v>347</v>
      </c>
      <c r="E350" s="10">
        <f t="shared" si="19"/>
        <v>1</v>
      </c>
    </row>
    <row r="351" spans="1:5" x14ac:dyDescent="0.25">
      <c r="A351" t="s">
        <v>1208</v>
      </c>
      <c r="B351" t="str">
        <f t="shared" si="18"/>
        <v>TORRE_E85_A_E_125</v>
      </c>
      <c r="C351">
        <v>348</v>
      </c>
      <c r="D351" s="10">
        <f t="shared" si="17"/>
        <v>348</v>
      </c>
      <c r="E351" s="10">
        <f t="shared" si="19"/>
        <v>1</v>
      </c>
    </row>
    <row r="352" spans="1:5" x14ac:dyDescent="0.25">
      <c r="A352" t="s">
        <v>1209</v>
      </c>
      <c r="B352" t="str">
        <f t="shared" si="18"/>
        <v>TORRES_E35_A_E48</v>
      </c>
      <c r="C352">
        <v>349</v>
      </c>
      <c r="D352" s="10">
        <f t="shared" si="17"/>
        <v>349</v>
      </c>
      <c r="E352" s="10">
        <f t="shared" si="19"/>
        <v>1</v>
      </c>
    </row>
    <row r="353" spans="1:5" x14ac:dyDescent="0.25">
      <c r="A353" t="s">
        <v>1210</v>
      </c>
      <c r="B353" t="str">
        <f t="shared" si="18"/>
        <v>TORRES_E48_A_E84_PV4</v>
      </c>
      <c r="C353">
        <v>350</v>
      </c>
      <c r="D353" s="10">
        <f t="shared" si="17"/>
        <v>350</v>
      </c>
      <c r="E353" s="10">
        <f t="shared" si="19"/>
        <v>1</v>
      </c>
    </row>
    <row r="354" spans="1:5" x14ac:dyDescent="0.25">
      <c r="A354" t="s">
        <v>1211</v>
      </c>
      <c r="B354" t="str">
        <f t="shared" si="18"/>
        <v>EM1</v>
      </c>
      <c r="C354">
        <v>351</v>
      </c>
      <c r="D354" s="10">
        <f t="shared" si="17"/>
        <v>351</v>
      </c>
      <c r="E354" s="10">
        <f t="shared" si="19"/>
        <v>1</v>
      </c>
    </row>
    <row r="355" spans="1:5" x14ac:dyDescent="0.25">
      <c r="A355" t="s">
        <v>1212</v>
      </c>
      <c r="B355" t="str">
        <f t="shared" si="18"/>
        <v>Estacion_Cabecera</v>
      </c>
      <c r="C355">
        <v>352</v>
      </c>
      <c r="D355" s="10">
        <f t="shared" si="17"/>
        <v>352</v>
      </c>
      <c r="E355" s="10">
        <f t="shared" si="19"/>
        <v>1</v>
      </c>
    </row>
    <row r="356" spans="1:5" x14ac:dyDescent="0.25">
      <c r="A356" t="s">
        <v>1213</v>
      </c>
      <c r="B356" t="str">
        <f t="shared" si="18"/>
        <v>EBR</v>
      </c>
      <c r="C356">
        <v>353</v>
      </c>
      <c r="D356" s="10">
        <f t="shared" si="17"/>
        <v>353</v>
      </c>
      <c r="E356" s="10">
        <f t="shared" si="19"/>
        <v>1</v>
      </c>
    </row>
    <row r="357" spans="1:5" x14ac:dyDescent="0.25">
      <c r="A357" t="s">
        <v>1214</v>
      </c>
      <c r="B357" t="str">
        <f t="shared" si="18"/>
        <v>ED1-IIFF7-DME8</v>
      </c>
      <c r="C357">
        <v>354</v>
      </c>
      <c r="D357" s="10">
        <f t="shared" ref="D357:D420" si="20">C357</f>
        <v>354</v>
      </c>
      <c r="E357" s="10">
        <f t="shared" si="19"/>
        <v>1</v>
      </c>
    </row>
    <row r="358" spans="1:5" x14ac:dyDescent="0.25">
      <c r="A358" t="s">
        <v>1215</v>
      </c>
      <c r="B358" t="str">
        <f t="shared" si="18"/>
        <v>Estacion_Intermedia</v>
      </c>
      <c r="C358">
        <v>355</v>
      </c>
      <c r="D358" s="10">
        <f t="shared" si="20"/>
        <v>355</v>
      </c>
      <c r="E358" s="10">
        <f t="shared" si="19"/>
        <v>1</v>
      </c>
    </row>
    <row r="359" spans="1:5" x14ac:dyDescent="0.25">
      <c r="A359" t="s">
        <v>1216</v>
      </c>
      <c r="B359" t="str">
        <f t="shared" si="18"/>
        <v>EV2</v>
      </c>
      <c r="C359">
        <v>356</v>
      </c>
      <c r="D359" s="10">
        <f t="shared" si="20"/>
        <v>356</v>
      </c>
      <c r="E359" s="10">
        <f t="shared" si="19"/>
        <v>1</v>
      </c>
    </row>
    <row r="360" spans="1:5" x14ac:dyDescent="0.25">
      <c r="A360" t="s">
        <v>1217</v>
      </c>
      <c r="B360" t="str">
        <f t="shared" si="18"/>
        <v>MonteAranda-NSTC-Km-84p2-a-82p3</v>
      </c>
      <c r="C360">
        <v>357</v>
      </c>
      <c r="D360" s="10">
        <f t="shared" si="20"/>
        <v>357</v>
      </c>
      <c r="E360" s="10">
        <f t="shared" si="19"/>
        <v>1</v>
      </c>
    </row>
    <row r="361" spans="1:5" x14ac:dyDescent="0.25">
      <c r="A361" t="s">
        <v>1218</v>
      </c>
      <c r="B361" t="str">
        <f t="shared" si="18"/>
        <v>EB3</v>
      </c>
      <c r="C361">
        <v>358</v>
      </c>
      <c r="D361" s="10">
        <f t="shared" si="20"/>
        <v>358</v>
      </c>
      <c r="E361" s="10">
        <f t="shared" si="19"/>
        <v>1</v>
      </c>
    </row>
    <row r="362" spans="1:5" x14ac:dyDescent="0.25">
      <c r="A362" t="s">
        <v>1219</v>
      </c>
      <c r="B362" t="str">
        <f t="shared" si="18"/>
        <v>EV1</v>
      </c>
      <c r="C362">
        <v>359</v>
      </c>
      <c r="D362" s="10">
        <f t="shared" si="20"/>
        <v>359</v>
      </c>
      <c r="E362" s="10">
        <f t="shared" si="19"/>
        <v>1</v>
      </c>
    </row>
    <row r="363" spans="1:5" x14ac:dyDescent="0.25">
      <c r="A363" t="s">
        <v>1220</v>
      </c>
      <c r="B363" t="str">
        <f t="shared" si="18"/>
        <v>Helipuerto</v>
      </c>
      <c r="C363">
        <v>360</v>
      </c>
      <c r="D363" s="10">
        <f t="shared" si="20"/>
        <v>360</v>
      </c>
      <c r="E363" s="10">
        <f t="shared" si="19"/>
        <v>1</v>
      </c>
    </row>
    <row r="364" spans="1:5" x14ac:dyDescent="0.25">
      <c r="A364" t="s">
        <v>1221</v>
      </c>
      <c r="B364" t="str">
        <f t="shared" si="18"/>
        <v>Patio-19B-y-Armado</v>
      </c>
      <c r="C364">
        <v>361</v>
      </c>
      <c r="D364" s="10">
        <f t="shared" si="20"/>
        <v>361</v>
      </c>
      <c r="E364" s="10">
        <f t="shared" si="19"/>
        <v>1</v>
      </c>
    </row>
    <row r="365" spans="1:5" x14ac:dyDescent="0.25">
      <c r="A365" t="s">
        <v>1222</v>
      </c>
      <c r="B365" t="str">
        <f t="shared" si="18"/>
        <v>Subestacion-El-Mauro</v>
      </c>
      <c r="C365">
        <v>362</v>
      </c>
      <c r="D365" s="10">
        <f t="shared" si="20"/>
        <v>362</v>
      </c>
      <c r="E365" s="10">
        <f t="shared" si="19"/>
        <v>1</v>
      </c>
    </row>
    <row r="366" spans="1:5" x14ac:dyDescent="0.25">
      <c r="A366" t="s">
        <v>1223</v>
      </c>
      <c r="B366" t="str">
        <f t="shared" si="18"/>
        <v>Subestacion-El-Mauro_A_E35</v>
      </c>
      <c r="C366">
        <v>363</v>
      </c>
      <c r="D366" s="10">
        <f t="shared" si="20"/>
        <v>363</v>
      </c>
      <c r="E366" s="10">
        <f t="shared" si="19"/>
        <v>1</v>
      </c>
    </row>
    <row r="367" spans="1:5" x14ac:dyDescent="0.25">
      <c r="A367" t="s">
        <v>1224</v>
      </c>
      <c r="B367" t="str">
        <f t="shared" si="18"/>
        <v>EV1</v>
      </c>
      <c r="C367">
        <v>364</v>
      </c>
      <c r="D367" s="10">
        <f t="shared" si="20"/>
        <v>364</v>
      </c>
      <c r="E367" s="10">
        <f t="shared" si="19"/>
        <v>1</v>
      </c>
    </row>
    <row r="368" spans="1:5" x14ac:dyDescent="0.25">
      <c r="A368" t="s">
        <v>1225</v>
      </c>
      <c r="B368" t="str">
        <f t="shared" si="18"/>
        <v>TORRES_E35_A_E48</v>
      </c>
      <c r="C368">
        <v>365</v>
      </c>
      <c r="D368" s="10">
        <f t="shared" si="20"/>
        <v>365</v>
      </c>
      <c r="E368" s="10">
        <f t="shared" si="19"/>
        <v>1</v>
      </c>
    </row>
    <row r="369" spans="1:5" x14ac:dyDescent="0.25">
      <c r="A369" t="s">
        <v>1226</v>
      </c>
      <c r="B369" t="str">
        <f t="shared" si="18"/>
        <v>EB3</v>
      </c>
      <c r="C369">
        <v>366</v>
      </c>
      <c r="D369" s="10">
        <f t="shared" si="20"/>
        <v>366</v>
      </c>
      <c r="E369" s="10">
        <f t="shared" si="19"/>
        <v>1</v>
      </c>
    </row>
    <row r="370" spans="1:5" x14ac:dyDescent="0.25">
      <c r="A370" t="s">
        <v>1227</v>
      </c>
      <c r="B370" t="str">
        <f t="shared" si="18"/>
        <v>ED2</v>
      </c>
      <c r="C370">
        <v>367</v>
      </c>
      <c r="D370" s="10">
        <f t="shared" si="20"/>
        <v>367</v>
      </c>
      <c r="E370" s="10">
        <f t="shared" si="19"/>
        <v>1</v>
      </c>
    </row>
    <row r="371" spans="1:5" x14ac:dyDescent="0.25">
      <c r="A371" t="s">
        <v>1228</v>
      </c>
      <c r="B371" t="str">
        <f t="shared" si="18"/>
        <v>EM1</v>
      </c>
      <c r="C371">
        <v>368</v>
      </c>
      <c r="D371" s="10">
        <f t="shared" si="20"/>
        <v>368</v>
      </c>
      <c r="E371" s="10">
        <f t="shared" si="19"/>
        <v>1</v>
      </c>
    </row>
    <row r="372" spans="1:5" x14ac:dyDescent="0.25">
      <c r="A372" t="s">
        <v>1229</v>
      </c>
      <c r="B372" t="str">
        <f t="shared" si="18"/>
        <v>Estacion_Intermedia</v>
      </c>
      <c r="C372">
        <v>369</v>
      </c>
      <c r="D372" s="10">
        <f t="shared" si="20"/>
        <v>369</v>
      </c>
      <c r="E372" s="10">
        <f t="shared" si="19"/>
        <v>1</v>
      </c>
    </row>
    <row r="373" spans="1:5" x14ac:dyDescent="0.25">
      <c r="A373" t="s">
        <v>1230</v>
      </c>
      <c r="B373" t="str">
        <f t="shared" si="18"/>
        <v>Plataforma_Integrada_El_Mauro</v>
      </c>
      <c r="C373">
        <v>370</v>
      </c>
      <c r="D373" s="10">
        <f t="shared" si="20"/>
        <v>370</v>
      </c>
      <c r="E373" s="10">
        <f t="shared" si="19"/>
        <v>1</v>
      </c>
    </row>
    <row r="374" spans="1:5" x14ac:dyDescent="0.25">
      <c r="A374" t="s">
        <v>1231</v>
      </c>
      <c r="B374" t="str">
        <f t="shared" si="18"/>
        <v>Subestacion-El-Mauro</v>
      </c>
      <c r="C374">
        <v>371</v>
      </c>
      <c r="D374" s="10">
        <f t="shared" si="20"/>
        <v>371</v>
      </c>
      <c r="E374" s="10">
        <f t="shared" si="19"/>
        <v>1</v>
      </c>
    </row>
    <row r="375" spans="1:5" x14ac:dyDescent="0.25">
      <c r="A375" t="s">
        <v>1232</v>
      </c>
      <c r="B375" t="str">
        <f t="shared" si="18"/>
        <v>Subestacion-El-Mauro_A_E35</v>
      </c>
      <c r="C375">
        <v>372</v>
      </c>
      <c r="D375" s="10">
        <f t="shared" si="20"/>
        <v>372</v>
      </c>
      <c r="E375" s="10">
        <f t="shared" si="19"/>
        <v>1</v>
      </c>
    </row>
    <row r="376" spans="1:5" x14ac:dyDescent="0.25">
      <c r="A376" t="s">
        <v>1233</v>
      </c>
      <c r="B376" t="str">
        <f t="shared" si="18"/>
        <v>EBD</v>
      </c>
      <c r="C376">
        <v>373</v>
      </c>
      <c r="D376" s="10">
        <f t="shared" si="20"/>
        <v>373</v>
      </c>
      <c r="E376" s="10">
        <f t="shared" si="19"/>
        <v>1</v>
      </c>
    </row>
    <row r="377" spans="1:5" x14ac:dyDescent="0.25">
      <c r="A377" t="s">
        <v>1234</v>
      </c>
      <c r="B377" t="str">
        <f t="shared" si="18"/>
        <v>Estacion_Cabecera</v>
      </c>
      <c r="C377">
        <v>374</v>
      </c>
      <c r="D377" s="10">
        <f t="shared" si="20"/>
        <v>374</v>
      </c>
      <c r="E377" s="10">
        <f t="shared" si="19"/>
        <v>1</v>
      </c>
    </row>
    <row r="378" spans="1:5" x14ac:dyDescent="0.25">
      <c r="A378" t="s">
        <v>1235</v>
      </c>
      <c r="B378" t="str">
        <f t="shared" si="18"/>
        <v>Helipuerto</v>
      </c>
      <c r="C378">
        <v>375</v>
      </c>
      <c r="D378" s="10">
        <f t="shared" si="20"/>
        <v>375</v>
      </c>
      <c r="E378" s="10">
        <f t="shared" si="19"/>
        <v>1</v>
      </c>
    </row>
    <row r="379" spans="1:5" x14ac:dyDescent="0.25">
      <c r="A379" t="s">
        <v>1236</v>
      </c>
      <c r="B379" t="str">
        <f t="shared" si="18"/>
        <v>Patio-19B-y-Armado</v>
      </c>
      <c r="C379">
        <v>376</v>
      </c>
      <c r="D379" s="10">
        <f t="shared" si="20"/>
        <v>376</v>
      </c>
      <c r="E379" s="10">
        <f t="shared" si="19"/>
        <v>1</v>
      </c>
    </row>
    <row r="380" spans="1:5" x14ac:dyDescent="0.25">
      <c r="A380" t="s">
        <v>1237</v>
      </c>
      <c r="B380" t="str">
        <f t="shared" si="18"/>
        <v>Pozos_PRP</v>
      </c>
      <c r="C380">
        <v>377</v>
      </c>
      <c r="D380" s="10">
        <f t="shared" si="20"/>
        <v>377</v>
      </c>
      <c r="E380" s="10">
        <f t="shared" si="19"/>
        <v>1</v>
      </c>
    </row>
    <row r="381" spans="1:5" x14ac:dyDescent="0.25">
      <c r="A381" t="s">
        <v>1238</v>
      </c>
      <c r="B381" t="str">
        <f t="shared" si="18"/>
        <v>TORRES_E48_A_E84_PV4</v>
      </c>
      <c r="C381">
        <v>378</v>
      </c>
      <c r="D381" s="10">
        <f t="shared" si="20"/>
        <v>378</v>
      </c>
      <c r="E381" s="10">
        <f t="shared" si="19"/>
        <v>1</v>
      </c>
    </row>
    <row r="382" spans="1:5" x14ac:dyDescent="0.25">
      <c r="A382" t="s">
        <v>1239</v>
      </c>
      <c r="B382" t="str">
        <f t="shared" si="18"/>
        <v>Camino_Alternativo_Salamanca</v>
      </c>
      <c r="C382">
        <v>379</v>
      </c>
      <c r="D382" s="10">
        <f t="shared" si="20"/>
        <v>379</v>
      </c>
      <c r="E382" s="10">
        <f t="shared" si="19"/>
        <v>1</v>
      </c>
    </row>
    <row r="383" spans="1:5" x14ac:dyDescent="0.25">
      <c r="A383" t="s">
        <v>1240</v>
      </c>
      <c r="B383" t="str">
        <f t="shared" si="18"/>
        <v>EDT</v>
      </c>
      <c r="C383">
        <v>380</v>
      </c>
      <c r="D383" s="10">
        <f t="shared" si="20"/>
        <v>380</v>
      </c>
      <c r="E383" s="10">
        <f t="shared" si="19"/>
        <v>1</v>
      </c>
    </row>
    <row r="384" spans="1:5" x14ac:dyDescent="0.25">
      <c r="A384" t="s">
        <v>1241</v>
      </c>
      <c r="B384" t="str">
        <f t="shared" si="18"/>
        <v>EM2_S2</v>
      </c>
      <c r="C384">
        <v>381</v>
      </c>
      <c r="D384" s="10">
        <f t="shared" si="20"/>
        <v>381</v>
      </c>
      <c r="E384" s="10">
        <f t="shared" si="19"/>
        <v>1</v>
      </c>
    </row>
    <row r="385" spans="1:5" x14ac:dyDescent="0.25">
      <c r="A385" t="s">
        <v>1242</v>
      </c>
      <c r="B385" t="str">
        <f t="shared" si="18"/>
        <v>EM3</v>
      </c>
      <c r="C385">
        <v>382</v>
      </c>
      <c r="D385" s="10">
        <f t="shared" si="20"/>
        <v>382</v>
      </c>
      <c r="E385" s="10">
        <f t="shared" si="19"/>
        <v>1</v>
      </c>
    </row>
    <row r="386" spans="1:5" x14ac:dyDescent="0.25">
      <c r="A386" t="s">
        <v>1243</v>
      </c>
      <c r="B386" t="str">
        <f t="shared" ref="B386:B449" si="21">RIGHT(A386, LEN(A386)-29)</f>
        <v>MonteAranda-NSTC-Km-84p2-a-82p3</v>
      </c>
      <c r="C386">
        <v>383</v>
      </c>
      <c r="D386" s="10">
        <f t="shared" si="20"/>
        <v>383</v>
      </c>
      <c r="E386" s="10">
        <f t="shared" si="19"/>
        <v>1</v>
      </c>
    </row>
    <row r="387" spans="1:5" x14ac:dyDescent="0.25">
      <c r="A387" t="s">
        <v>1244</v>
      </c>
      <c r="B387" t="str">
        <f t="shared" si="21"/>
        <v>Pozos_PRP</v>
      </c>
      <c r="C387">
        <v>384</v>
      </c>
      <c r="D387" s="10">
        <f t="shared" si="20"/>
        <v>384</v>
      </c>
      <c r="E387" s="10">
        <f t="shared" ref="E387:E450" si="22">C387-C386</f>
        <v>1</v>
      </c>
    </row>
    <row r="388" spans="1:5" x14ac:dyDescent="0.25">
      <c r="A388" t="s">
        <v>1245</v>
      </c>
      <c r="B388" t="str">
        <f t="shared" si="21"/>
        <v>EV2</v>
      </c>
      <c r="C388">
        <v>385</v>
      </c>
      <c r="D388" s="10">
        <f t="shared" si="20"/>
        <v>385</v>
      </c>
      <c r="E388" s="10">
        <f t="shared" si="22"/>
        <v>1</v>
      </c>
    </row>
    <row r="389" spans="1:5" x14ac:dyDescent="0.25">
      <c r="A389" t="s">
        <v>1246</v>
      </c>
      <c r="B389" t="str">
        <f t="shared" si="21"/>
        <v>TORRE_E85_A_E_125</v>
      </c>
      <c r="C389">
        <v>386</v>
      </c>
      <c r="D389" s="10">
        <f t="shared" si="20"/>
        <v>386</v>
      </c>
      <c r="E389" s="10">
        <f t="shared" si="22"/>
        <v>1</v>
      </c>
    </row>
    <row r="390" spans="1:5" x14ac:dyDescent="0.25">
      <c r="A390" t="s">
        <v>1247</v>
      </c>
      <c r="B390" t="str">
        <f t="shared" si="21"/>
        <v>ED1-IIFF7-DME8</v>
      </c>
      <c r="C390">
        <v>387</v>
      </c>
      <c r="D390" s="10">
        <f t="shared" si="20"/>
        <v>387</v>
      </c>
      <c r="E390" s="10">
        <f t="shared" si="22"/>
        <v>1</v>
      </c>
    </row>
    <row r="391" spans="1:5" x14ac:dyDescent="0.25">
      <c r="A391" t="s">
        <v>1248</v>
      </c>
      <c r="B391" t="str">
        <f t="shared" si="21"/>
        <v>EM4</v>
      </c>
      <c r="C391">
        <v>388</v>
      </c>
      <c r="D391" s="10">
        <f t="shared" si="20"/>
        <v>388</v>
      </c>
      <c r="E391" s="10">
        <f t="shared" si="22"/>
        <v>1</v>
      </c>
    </row>
    <row r="392" spans="1:5" x14ac:dyDescent="0.25">
      <c r="A392" t="s">
        <v>1249</v>
      </c>
      <c r="B392" t="str">
        <f t="shared" si="21"/>
        <v>EM2</v>
      </c>
      <c r="C392">
        <v>389</v>
      </c>
      <c r="D392" s="10">
        <f t="shared" si="20"/>
        <v>389</v>
      </c>
      <c r="E392" s="10">
        <f t="shared" si="22"/>
        <v>1</v>
      </c>
    </row>
    <row r="393" spans="1:5" x14ac:dyDescent="0.25">
      <c r="A393" t="s">
        <v>1250</v>
      </c>
      <c r="B393" t="str">
        <f t="shared" si="21"/>
        <v>EM2_S2</v>
      </c>
      <c r="C393">
        <v>390</v>
      </c>
      <c r="D393" s="10">
        <f t="shared" si="20"/>
        <v>390</v>
      </c>
      <c r="E393" s="10">
        <f t="shared" si="22"/>
        <v>1</v>
      </c>
    </row>
    <row r="394" spans="1:5" x14ac:dyDescent="0.25">
      <c r="A394" t="s">
        <v>1251</v>
      </c>
      <c r="B394" t="str">
        <f t="shared" si="21"/>
        <v>EV1</v>
      </c>
      <c r="C394">
        <v>391</v>
      </c>
      <c r="D394" s="10">
        <f t="shared" si="20"/>
        <v>391</v>
      </c>
      <c r="E394" s="10">
        <f t="shared" si="22"/>
        <v>1</v>
      </c>
    </row>
    <row r="395" spans="1:5" x14ac:dyDescent="0.25">
      <c r="A395" t="s">
        <v>1252</v>
      </c>
      <c r="B395" t="str">
        <f t="shared" si="21"/>
        <v>TORRES_E35_A_E48</v>
      </c>
      <c r="C395">
        <v>392</v>
      </c>
      <c r="D395" s="10">
        <f t="shared" si="20"/>
        <v>392</v>
      </c>
      <c r="E395" s="10">
        <f t="shared" si="22"/>
        <v>1</v>
      </c>
    </row>
    <row r="396" spans="1:5" x14ac:dyDescent="0.25">
      <c r="A396" t="s">
        <v>1253</v>
      </c>
      <c r="B396" t="str">
        <f t="shared" si="21"/>
        <v>Acceso_a_pozos</v>
      </c>
      <c r="C396">
        <v>393</v>
      </c>
      <c r="D396" s="10">
        <f t="shared" si="20"/>
        <v>393</v>
      </c>
      <c r="E396" s="10">
        <f t="shared" si="22"/>
        <v>1</v>
      </c>
    </row>
    <row r="397" spans="1:5" x14ac:dyDescent="0.25">
      <c r="A397" t="s">
        <v>1254</v>
      </c>
      <c r="B397" t="str">
        <f t="shared" si="21"/>
        <v>Camino_Alternativo_Salamanca</v>
      </c>
      <c r="C397">
        <v>394</v>
      </c>
      <c r="D397" s="10">
        <f t="shared" si="20"/>
        <v>394</v>
      </c>
      <c r="E397" s="10">
        <f t="shared" si="22"/>
        <v>1</v>
      </c>
    </row>
    <row r="398" spans="1:5" x14ac:dyDescent="0.25">
      <c r="A398" t="s">
        <v>1255</v>
      </c>
      <c r="B398" t="str">
        <f t="shared" si="21"/>
        <v>EBD</v>
      </c>
      <c r="C398">
        <v>395</v>
      </c>
      <c r="D398" s="10">
        <f t="shared" si="20"/>
        <v>395</v>
      </c>
      <c r="E398" s="10">
        <f t="shared" si="22"/>
        <v>1</v>
      </c>
    </row>
    <row r="399" spans="1:5" x14ac:dyDescent="0.25">
      <c r="A399" t="s">
        <v>1256</v>
      </c>
      <c r="B399" t="str">
        <f t="shared" si="21"/>
        <v>ED2</v>
      </c>
      <c r="C399">
        <v>396</v>
      </c>
      <c r="D399" s="10">
        <f t="shared" si="20"/>
        <v>396</v>
      </c>
      <c r="E399" s="10">
        <f t="shared" si="22"/>
        <v>1</v>
      </c>
    </row>
    <row r="400" spans="1:5" x14ac:dyDescent="0.25">
      <c r="A400" t="s">
        <v>1257</v>
      </c>
      <c r="B400" t="str">
        <f t="shared" si="21"/>
        <v>EM3</v>
      </c>
      <c r="C400">
        <v>397</v>
      </c>
      <c r="D400" s="10">
        <f t="shared" si="20"/>
        <v>397</v>
      </c>
      <c r="E400" s="10">
        <f t="shared" si="22"/>
        <v>1</v>
      </c>
    </row>
    <row r="401" spans="1:5" x14ac:dyDescent="0.25">
      <c r="A401" t="s">
        <v>1258</v>
      </c>
      <c r="B401" t="str">
        <f t="shared" si="21"/>
        <v>EM4</v>
      </c>
      <c r="C401">
        <v>398</v>
      </c>
      <c r="D401" s="10">
        <f t="shared" si="20"/>
        <v>398</v>
      </c>
      <c r="E401" s="10">
        <f t="shared" si="22"/>
        <v>1</v>
      </c>
    </row>
    <row r="402" spans="1:5" x14ac:dyDescent="0.25">
      <c r="A402" t="s">
        <v>1259</v>
      </c>
      <c r="B402" t="str">
        <f t="shared" si="21"/>
        <v>Pozos_PRP</v>
      </c>
      <c r="C402">
        <v>399</v>
      </c>
      <c r="D402" s="10">
        <f t="shared" si="20"/>
        <v>399</v>
      </c>
      <c r="E402" s="10">
        <f t="shared" si="22"/>
        <v>1</v>
      </c>
    </row>
    <row r="403" spans="1:5" x14ac:dyDescent="0.25">
      <c r="A403" t="s">
        <v>1260</v>
      </c>
      <c r="B403" t="str">
        <f t="shared" si="21"/>
        <v>TORRES_E48_A_E84_PV4</v>
      </c>
      <c r="C403">
        <v>400</v>
      </c>
      <c r="D403" s="10">
        <f t="shared" si="20"/>
        <v>400</v>
      </c>
      <c r="E403" s="10">
        <f t="shared" si="22"/>
        <v>1</v>
      </c>
    </row>
    <row r="404" spans="1:5" x14ac:dyDescent="0.25">
      <c r="A404" t="s">
        <v>1261</v>
      </c>
      <c r="B404" t="str">
        <f t="shared" si="21"/>
        <v>EB3</v>
      </c>
      <c r="C404">
        <v>401</v>
      </c>
      <c r="D404" s="10">
        <f t="shared" si="20"/>
        <v>401</v>
      </c>
      <c r="E404" s="10">
        <f t="shared" si="22"/>
        <v>1</v>
      </c>
    </row>
    <row r="405" spans="1:5" x14ac:dyDescent="0.25">
      <c r="A405" t="s">
        <v>1262</v>
      </c>
      <c r="B405" t="str">
        <f t="shared" si="21"/>
        <v>Estacion_Intermedia</v>
      </c>
      <c r="C405">
        <v>402</v>
      </c>
      <c r="D405" s="10">
        <f t="shared" si="20"/>
        <v>402</v>
      </c>
      <c r="E405" s="10">
        <f t="shared" si="22"/>
        <v>1</v>
      </c>
    </row>
    <row r="406" spans="1:5" x14ac:dyDescent="0.25">
      <c r="A406" t="s">
        <v>1263</v>
      </c>
      <c r="B406" t="str">
        <f t="shared" si="21"/>
        <v>Subestacion-El-Mauro</v>
      </c>
      <c r="C406">
        <v>403</v>
      </c>
      <c r="D406" s="10">
        <f t="shared" si="20"/>
        <v>403</v>
      </c>
      <c r="E406" s="10">
        <f t="shared" si="22"/>
        <v>1</v>
      </c>
    </row>
    <row r="407" spans="1:5" x14ac:dyDescent="0.25">
      <c r="A407" t="s">
        <v>1264</v>
      </c>
      <c r="B407" t="str">
        <f t="shared" si="21"/>
        <v>TORRE_E85_A_E_125</v>
      </c>
      <c r="C407">
        <v>404</v>
      </c>
      <c r="D407" s="10">
        <f t="shared" si="20"/>
        <v>404</v>
      </c>
      <c r="E407" s="10">
        <f t="shared" si="22"/>
        <v>1</v>
      </c>
    </row>
    <row r="408" spans="1:5" x14ac:dyDescent="0.25">
      <c r="A408" t="s">
        <v>1265</v>
      </c>
      <c r="B408" t="str">
        <f t="shared" si="21"/>
        <v>EBR</v>
      </c>
      <c r="C408">
        <v>405</v>
      </c>
      <c r="D408" s="10">
        <f t="shared" si="20"/>
        <v>405</v>
      </c>
      <c r="E408" s="10">
        <f t="shared" si="22"/>
        <v>1</v>
      </c>
    </row>
    <row r="409" spans="1:5" x14ac:dyDescent="0.25">
      <c r="A409" t="s">
        <v>1266</v>
      </c>
      <c r="B409" t="str">
        <f t="shared" si="21"/>
        <v>ED1</v>
      </c>
      <c r="C409">
        <v>406</v>
      </c>
      <c r="D409" s="10">
        <f t="shared" si="20"/>
        <v>406</v>
      </c>
      <c r="E409" s="10">
        <f t="shared" si="22"/>
        <v>1</v>
      </c>
    </row>
    <row r="410" spans="1:5" x14ac:dyDescent="0.25">
      <c r="A410" t="s">
        <v>1267</v>
      </c>
      <c r="B410" t="str">
        <f t="shared" si="21"/>
        <v>EM1</v>
      </c>
      <c r="C410">
        <v>407</v>
      </c>
      <c r="D410" s="10">
        <f t="shared" si="20"/>
        <v>407</v>
      </c>
      <c r="E410" s="10">
        <f t="shared" si="22"/>
        <v>1</v>
      </c>
    </row>
    <row r="411" spans="1:5" x14ac:dyDescent="0.25">
      <c r="A411" t="s">
        <v>1268</v>
      </c>
      <c r="B411" t="str">
        <f t="shared" si="21"/>
        <v>Estacion_Cabecera</v>
      </c>
      <c r="C411">
        <v>408</v>
      </c>
      <c r="D411" s="10">
        <f t="shared" si="20"/>
        <v>408</v>
      </c>
      <c r="E411" s="10">
        <f t="shared" si="22"/>
        <v>1</v>
      </c>
    </row>
    <row r="412" spans="1:5" x14ac:dyDescent="0.25">
      <c r="A412" t="s">
        <v>1269</v>
      </c>
      <c r="B412" t="str">
        <f t="shared" si="21"/>
        <v>Helipuerto</v>
      </c>
      <c r="C412">
        <v>409</v>
      </c>
      <c r="D412" s="10">
        <f t="shared" si="20"/>
        <v>409</v>
      </c>
      <c r="E412" s="10">
        <f t="shared" si="22"/>
        <v>1</v>
      </c>
    </row>
    <row r="413" spans="1:5" x14ac:dyDescent="0.25">
      <c r="A413" t="s">
        <v>1270</v>
      </c>
      <c r="B413" t="str">
        <f t="shared" si="21"/>
        <v>MonteAranda-NSTC-Km-84p2-a-82p3</v>
      </c>
      <c r="C413">
        <v>410</v>
      </c>
      <c r="D413" s="10">
        <f t="shared" si="20"/>
        <v>410</v>
      </c>
      <c r="E413" s="10">
        <f t="shared" si="22"/>
        <v>1</v>
      </c>
    </row>
    <row r="414" spans="1:5" x14ac:dyDescent="0.25">
      <c r="A414" t="s">
        <v>1271</v>
      </c>
      <c r="B414" t="str">
        <f t="shared" si="21"/>
        <v>Patio-19B-y-Armado</v>
      </c>
      <c r="C414">
        <v>411</v>
      </c>
      <c r="D414" s="10">
        <f t="shared" si="20"/>
        <v>411</v>
      </c>
      <c r="E414" s="10">
        <f t="shared" si="22"/>
        <v>1</v>
      </c>
    </row>
    <row r="415" spans="1:5" x14ac:dyDescent="0.25">
      <c r="A415" t="s">
        <v>1272</v>
      </c>
      <c r="B415" t="str">
        <f t="shared" si="21"/>
        <v>EV2</v>
      </c>
      <c r="C415">
        <v>412</v>
      </c>
      <c r="D415" s="10">
        <f t="shared" si="20"/>
        <v>412</v>
      </c>
      <c r="E415" s="10">
        <f t="shared" si="22"/>
        <v>1</v>
      </c>
    </row>
    <row r="416" spans="1:5" x14ac:dyDescent="0.25">
      <c r="A416" t="s">
        <v>1273</v>
      </c>
      <c r="B416" t="str">
        <f t="shared" si="21"/>
        <v>EB3</v>
      </c>
      <c r="C416">
        <v>413</v>
      </c>
      <c r="D416" s="10">
        <f t="shared" si="20"/>
        <v>413</v>
      </c>
      <c r="E416" s="10">
        <f t="shared" si="22"/>
        <v>1</v>
      </c>
    </row>
    <row r="417" spans="1:5" x14ac:dyDescent="0.25">
      <c r="A417" t="s">
        <v>1274</v>
      </c>
      <c r="B417" t="str">
        <f t="shared" si="21"/>
        <v>Estacion_Intermedia</v>
      </c>
      <c r="C417">
        <v>414</v>
      </c>
      <c r="D417" s="10">
        <f t="shared" si="20"/>
        <v>414</v>
      </c>
      <c r="E417" s="10">
        <f t="shared" si="22"/>
        <v>1</v>
      </c>
    </row>
    <row r="418" spans="1:5" x14ac:dyDescent="0.25">
      <c r="A418" t="s">
        <v>1275</v>
      </c>
      <c r="B418" t="str">
        <f t="shared" si="21"/>
        <v>Subestacion-El-Mauro</v>
      </c>
      <c r="C418">
        <v>415</v>
      </c>
      <c r="D418" s="10">
        <f t="shared" si="20"/>
        <v>415</v>
      </c>
      <c r="E418" s="10">
        <f t="shared" si="22"/>
        <v>1</v>
      </c>
    </row>
    <row r="419" spans="1:5" x14ac:dyDescent="0.25">
      <c r="A419" t="s">
        <v>1276</v>
      </c>
      <c r="B419" t="str">
        <f t="shared" si="21"/>
        <v>TORRES_E35_A_E48</v>
      </c>
      <c r="C419">
        <v>416</v>
      </c>
      <c r="D419" s="10">
        <f t="shared" si="20"/>
        <v>416</v>
      </c>
      <c r="E419" s="10">
        <f t="shared" si="22"/>
        <v>1</v>
      </c>
    </row>
    <row r="420" spans="1:5" x14ac:dyDescent="0.25">
      <c r="A420" t="s">
        <v>1277</v>
      </c>
      <c r="B420" t="str">
        <f t="shared" si="21"/>
        <v>Patio-19B-y-Armado</v>
      </c>
      <c r="C420">
        <v>417</v>
      </c>
      <c r="D420" s="10">
        <f t="shared" si="20"/>
        <v>417</v>
      </c>
      <c r="E420" s="10">
        <f t="shared" si="22"/>
        <v>1</v>
      </c>
    </row>
    <row r="421" spans="1:5" x14ac:dyDescent="0.25">
      <c r="A421" t="s">
        <v>1278</v>
      </c>
      <c r="B421" t="str">
        <f t="shared" si="21"/>
        <v>EBD</v>
      </c>
      <c r="C421">
        <v>418</v>
      </c>
      <c r="D421" s="10">
        <f t="shared" ref="D421:D460" si="23">C421</f>
        <v>418</v>
      </c>
      <c r="E421" s="10">
        <f t="shared" si="22"/>
        <v>1</v>
      </c>
    </row>
    <row r="422" spans="1:5" x14ac:dyDescent="0.25">
      <c r="A422" t="s">
        <v>1279</v>
      </c>
      <c r="B422" t="str">
        <f t="shared" si="21"/>
        <v>EM1</v>
      </c>
      <c r="C422">
        <v>419</v>
      </c>
      <c r="D422" s="10">
        <f t="shared" si="23"/>
        <v>419</v>
      </c>
      <c r="E422" s="10">
        <f t="shared" si="22"/>
        <v>1</v>
      </c>
    </row>
    <row r="423" spans="1:5" x14ac:dyDescent="0.25">
      <c r="A423" t="s">
        <v>1280</v>
      </c>
      <c r="B423" t="str">
        <f t="shared" si="21"/>
        <v>Pozos_PRP</v>
      </c>
      <c r="C423">
        <v>420</v>
      </c>
      <c r="D423" s="10">
        <f t="shared" si="23"/>
        <v>420</v>
      </c>
      <c r="E423" s="10">
        <f t="shared" si="22"/>
        <v>1</v>
      </c>
    </row>
    <row r="424" spans="1:5" x14ac:dyDescent="0.25">
      <c r="A424" t="s">
        <v>1281</v>
      </c>
      <c r="B424" t="str">
        <f t="shared" si="21"/>
        <v>TORRE_E85_A_E_125</v>
      </c>
      <c r="C424">
        <v>421</v>
      </c>
      <c r="D424" s="10">
        <f t="shared" si="23"/>
        <v>421</v>
      </c>
      <c r="E424" s="10">
        <f t="shared" si="22"/>
        <v>1</v>
      </c>
    </row>
    <row r="425" spans="1:5" x14ac:dyDescent="0.25">
      <c r="A425" t="s">
        <v>1282</v>
      </c>
      <c r="B425" t="str">
        <f t="shared" si="21"/>
        <v>EDT</v>
      </c>
      <c r="C425">
        <v>422</v>
      </c>
      <c r="D425" s="10">
        <f t="shared" si="23"/>
        <v>422</v>
      </c>
      <c r="E425" s="10">
        <f t="shared" si="22"/>
        <v>1</v>
      </c>
    </row>
    <row r="426" spans="1:5" x14ac:dyDescent="0.25">
      <c r="A426" t="s">
        <v>825</v>
      </c>
      <c r="B426" t="str">
        <f t="shared" si="21"/>
        <v>TORRE_E85_A_E_125</v>
      </c>
      <c r="C426">
        <v>423</v>
      </c>
      <c r="D426" s="10">
        <f t="shared" si="23"/>
        <v>423</v>
      </c>
      <c r="E426" s="11">
        <f t="shared" si="22"/>
        <v>1</v>
      </c>
    </row>
    <row r="427" spans="1:5" x14ac:dyDescent="0.25">
      <c r="A427" t="s">
        <v>826</v>
      </c>
      <c r="B427" t="str">
        <f t="shared" si="21"/>
        <v>EM4</v>
      </c>
      <c r="C427">
        <v>424</v>
      </c>
      <c r="D427" s="10">
        <f t="shared" si="23"/>
        <v>424</v>
      </c>
      <c r="E427" s="11">
        <f t="shared" si="22"/>
        <v>1</v>
      </c>
    </row>
    <row r="428" spans="1:5" x14ac:dyDescent="0.25">
      <c r="A428" t="s">
        <v>827</v>
      </c>
      <c r="B428" t="str">
        <f t="shared" si="21"/>
        <v>TORRES_E35_A_E48</v>
      </c>
      <c r="C428">
        <v>425</v>
      </c>
      <c r="D428" s="10">
        <f t="shared" si="23"/>
        <v>425</v>
      </c>
      <c r="E428" s="11">
        <f t="shared" si="22"/>
        <v>1</v>
      </c>
    </row>
    <row r="429" spans="1:5" x14ac:dyDescent="0.25">
      <c r="A429" t="s">
        <v>828</v>
      </c>
      <c r="B429" t="str">
        <f t="shared" si="21"/>
        <v>Acceso_a_pozos</v>
      </c>
      <c r="C429">
        <v>426</v>
      </c>
      <c r="D429" s="10">
        <f t="shared" si="23"/>
        <v>426</v>
      </c>
      <c r="E429" s="11">
        <f t="shared" si="22"/>
        <v>1</v>
      </c>
    </row>
    <row r="430" spans="1:5" x14ac:dyDescent="0.25">
      <c r="A430" t="s">
        <v>829</v>
      </c>
      <c r="B430" t="str">
        <f t="shared" si="21"/>
        <v>EM1</v>
      </c>
      <c r="C430">
        <v>427</v>
      </c>
      <c r="D430" s="10">
        <f t="shared" si="23"/>
        <v>427</v>
      </c>
      <c r="E430" s="11">
        <f t="shared" si="22"/>
        <v>1</v>
      </c>
    </row>
    <row r="431" spans="1:5" x14ac:dyDescent="0.25">
      <c r="A431" t="s">
        <v>830</v>
      </c>
      <c r="B431" t="str">
        <f t="shared" si="21"/>
        <v>EV1</v>
      </c>
      <c r="C431">
        <v>428</v>
      </c>
      <c r="D431" s="10">
        <f t="shared" si="23"/>
        <v>428</v>
      </c>
      <c r="E431" s="11">
        <f t="shared" si="22"/>
        <v>1</v>
      </c>
    </row>
    <row r="432" spans="1:5" x14ac:dyDescent="0.25">
      <c r="A432" t="s">
        <v>831</v>
      </c>
      <c r="B432" t="str">
        <f t="shared" si="21"/>
        <v>Pozos_PRP</v>
      </c>
      <c r="C432">
        <v>429</v>
      </c>
      <c r="D432" s="10">
        <f t="shared" si="23"/>
        <v>429</v>
      </c>
      <c r="E432" s="11">
        <f t="shared" si="22"/>
        <v>1</v>
      </c>
    </row>
    <row r="433" spans="1:5" x14ac:dyDescent="0.25">
      <c r="A433" t="s">
        <v>832</v>
      </c>
      <c r="B433" t="str">
        <f t="shared" si="21"/>
        <v>ED1</v>
      </c>
      <c r="C433">
        <v>430</v>
      </c>
      <c r="D433" s="10">
        <f t="shared" si="23"/>
        <v>430</v>
      </c>
      <c r="E433" s="11">
        <f t="shared" si="22"/>
        <v>1</v>
      </c>
    </row>
    <row r="434" spans="1:5" x14ac:dyDescent="0.25">
      <c r="A434" t="s">
        <v>833</v>
      </c>
      <c r="B434" t="str">
        <f t="shared" si="21"/>
        <v>EM2</v>
      </c>
      <c r="C434">
        <v>431</v>
      </c>
      <c r="D434" s="10">
        <f t="shared" si="23"/>
        <v>431</v>
      </c>
      <c r="E434" s="11">
        <f t="shared" si="22"/>
        <v>1</v>
      </c>
    </row>
    <row r="435" spans="1:5" x14ac:dyDescent="0.25">
      <c r="A435" t="s">
        <v>834</v>
      </c>
      <c r="B435" t="str">
        <f t="shared" si="21"/>
        <v>EM2_S2</v>
      </c>
      <c r="C435">
        <v>432</v>
      </c>
      <c r="D435" s="10">
        <f t="shared" si="23"/>
        <v>432</v>
      </c>
      <c r="E435" s="11">
        <f t="shared" si="22"/>
        <v>1</v>
      </c>
    </row>
    <row r="436" spans="1:5" x14ac:dyDescent="0.25">
      <c r="A436" t="s">
        <v>835</v>
      </c>
      <c r="B436" t="str">
        <f t="shared" si="21"/>
        <v>EV2</v>
      </c>
      <c r="C436">
        <v>433</v>
      </c>
      <c r="D436" s="10">
        <f t="shared" si="23"/>
        <v>433</v>
      </c>
      <c r="E436" s="11">
        <f t="shared" si="22"/>
        <v>1</v>
      </c>
    </row>
    <row r="437" spans="1:5" x14ac:dyDescent="0.25">
      <c r="A437" t="s">
        <v>836</v>
      </c>
      <c r="B437" t="str">
        <f t="shared" si="21"/>
        <v>Subestacion-El-Mauro_A_E35</v>
      </c>
      <c r="C437">
        <v>434</v>
      </c>
      <c r="D437" s="10">
        <f t="shared" si="23"/>
        <v>434</v>
      </c>
      <c r="E437" s="11">
        <f t="shared" si="22"/>
        <v>1</v>
      </c>
    </row>
    <row r="438" spans="1:5" x14ac:dyDescent="0.25">
      <c r="A438" t="s">
        <v>837</v>
      </c>
      <c r="B438" t="str">
        <f t="shared" si="21"/>
        <v>TORRES_E48_A_E84_PV4</v>
      </c>
      <c r="C438">
        <v>435</v>
      </c>
      <c r="D438" s="10">
        <f t="shared" si="23"/>
        <v>435</v>
      </c>
      <c r="E438" s="11">
        <f t="shared" si="22"/>
        <v>1</v>
      </c>
    </row>
    <row r="439" spans="1:5" x14ac:dyDescent="0.25">
      <c r="A439" t="s">
        <v>838</v>
      </c>
      <c r="B439" t="str">
        <f t="shared" si="21"/>
        <v>Camino_Alternativo_Salamanca</v>
      </c>
      <c r="C439">
        <v>436</v>
      </c>
      <c r="D439" s="10">
        <f t="shared" si="23"/>
        <v>436</v>
      </c>
      <c r="E439" s="11">
        <f t="shared" si="22"/>
        <v>1</v>
      </c>
    </row>
    <row r="440" spans="1:5" x14ac:dyDescent="0.25">
      <c r="A440" t="s">
        <v>839</v>
      </c>
      <c r="B440" t="str">
        <f t="shared" si="21"/>
        <v>EBD</v>
      </c>
      <c r="C440">
        <v>437</v>
      </c>
      <c r="D440" s="10">
        <f t="shared" si="23"/>
        <v>437</v>
      </c>
      <c r="E440" s="11">
        <f t="shared" si="22"/>
        <v>1</v>
      </c>
    </row>
    <row r="441" spans="1:5" x14ac:dyDescent="0.25">
      <c r="A441" t="s">
        <v>840</v>
      </c>
      <c r="B441" t="str">
        <f t="shared" si="21"/>
        <v>ED2</v>
      </c>
      <c r="C441">
        <v>438</v>
      </c>
      <c r="D441" s="10">
        <f t="shared" si="23"/>
        <v>438</v>
      </c>
      <c r="E441" s="11">
        <f t="shared" si="22"/>
        <v>1</v>
      </c>
    </row>
    <row r="442" spans="1:5" x14ac:dyDescent="0.25">
      <c r="A442" t="s">
        <v>841</v>
      </c>
      <c r="B442" t="str">
        <f t="shared" si="21"/>
        <v>EDT</v>
      </c>
      <c r="C442">
        <v>439</v>
      </c>
      <c r="D442" s="10">
        <f t="shared" si="23"/>
        <v>439</v>
      </c>
      <c r="E442" s="11">
        <f t="shared" si="22"/>
        <v>1</v>
      </c>
    </row>
    <row r="443" spans="1:5" x14ac:dyDescent="0.25">
      <c r="A443" t="s">
        <v>842</v>
      </c>
      <c r="B443" t="str">
        <f t="shared" si="21"/>
        <v>EM3</v>
      </c>
      <c r="C443">
        <v>440</v>
      </c>
      <c r="D443" s="10">
        <f t="shared" si="23"/>
        <v>440</v>
      </c>
      <c r="E443" s="11">
        <f t="shared" si="22"/>
        <v>1</v>
      </c>
    </row>
    <row r="444" spans="1:5" x14ac:dyDescent="0.25">
      <c r="A444" t="s">
        <v>843</v>
      </c>
      <c r="B444" t="str">
        <f t="shared" si="21"/>
        <v>MonteAranda-NSTC-Km-84p2-a-82p3</v>
      </c>
      <c r="C444">
        <v>441</v>
      </c>
      <c r="D444" s="10">
        <f t="shared" si="23"/>
        <v>441</v>
      </c>
      <c r="E444" s="11">
        <f t="shared" si="22"/>
        <v>1</v>
      </c>
    </row>
    <row r="445" spans="1:5" x14ac:dyDescent="0.25">
      <c r="A445" t="s">
        <v>844</v>
      </c>
      <c r="B445" t="str">
        <f t="shared" si="21"/>
        <v>Camino_Alternativo_Salamanca</v>
      </c>
      <c r="C445">
        <v>442</v>
      </c>
      <c r="D445" s="10">
        <f t="shared" si="23"/>
        <v>442</v>
      </c>
      <c r="E445" s="11">
        <f t="shared" si="22"/>
        <v>1</v>
      </c>
    </row>
    <row r="446" spans="1:5" x14ac:dyDescent="0.25">
      <c r="A446" t="s">
        <v>845</v>
      </c>
      <c r="B446" t="str">
        <f t="shared" si="21"/>
        <v>TORRES_E35_A_E48</v>
      </c>
      <c r="C446">
        <v>443</v>
      </c>
      <c r="D446" s="10">
        <f t="shared" si="23"/>
        <v>443</v>
      </c>
      <c r="E446" s="11">
        <f t="shared" si="22"/>
        <v>1</v>
      </c>
    </row>
    <row r="447" spans="1:5" x14ac:dyDescent="0.25">
      <c r="A447" t="s">
        <v>846</v>
      </c>
      <c r="B447" t="str">
        <f t="shared" si="21"/>
        <v>ED2</v>
      </c>
      <c r="C447">
        <v>444</v>
      </c>
      <c r="D447" s="10">
        <f t="shared" si="23"/>
        <v>444</v>
      </c>
      <c r="E447" s="11">
        <f t="shared" si="22"/>
        <v>1</v>
      </c>
    </row>
    <row r="448" spans="1:5" x14ac:dyDescent="0.25">
      <c r="A448" t="s">
        <v>847</v>
      </c>
      <c r="B448" t="str">
        <f t="shared" si="21"/>
        <v>EM2_S2</v>
      </c>
      <c r="C448">
        <v>445</v>
      </c>
      <c r="D448" s="10">
        <f t="shared" si="23"/>
        <v>445</v>
      </c>
      <c r="E448" s="11">
        <f t="shared" si="22"/>
        <v>1</v>
      </c>
    </row>
    <row r="449" spans="1:5" x14ac:dyDescent="0.25">
      <c r="A449" t="s">
        <v>848</v>
      </c>
      <c r="B449" t="str">
        <f t="shared" si="21"/>
        <v>EM3</v>
      </c>
      <c r="C449">
        <v>446</v>
      </c>
      <c r="D449" s="10">
        <f t="shared" si="23"/>
        <v>446</v>
      </c>
      <c r="E449" s="11">
        <f t="shared" si="22"/>
        <v>1</v>
      </c>
    </row>
    <row r="450" spans="1:5" x14ac:dyDescent="0.25">
      <c r="A450" t="s">
        <v>849</v>
      </c>
      <c r="B450" t="str">
        <f t="shared" ref="B450:B460" si="24">RIGHT(A450, LEN(A450)-29)</f>
        <v>Estacion_Intermedia</v>
      </c>
      <c r="C450">
        <v>447</v>
      </c>
      <c r="D450" s="10">
        <f t="shared" si="23"/>
        <v>447</v>
      </c>
      <c r="E450" s="11">
        <f t="shared" si="22"/>
        <v>1</v>
      </c>
    </row>
    <row r="451" spans="1:5" x14ac:dyDescent="0.25">
      <c r="A451" t="s">
        <v>850</v>
      </c>
      <c r="B451" t="str">
        <f t="shared" si="24"/>
        <v>Acceso_a_pozos</v>
      </c>
      <c r="C451">
        <v>448</v>
      </c>
      <c r="D451" s="10">
        <f t="shared" si="23"/>
        <v>448</v>
      </c>
      <c r="E451" s="11">
        <f t="shared" ref="E451:E460" si="25">C451-C450</f>
        <v>1</v>
      </c>
    </row>
    <row r="452" spans="1:5" x14ac:dyDescent="0.25">
      <c r="A452" t="s">
        <v>851</v>
      </c>
      <c r="B452" t="str">
        <f t="shared" si="24"/>
        <v>EBD</v>
      </c>
      <c r="C452">
        <v>449</v>
      </c>
      <c r="D452" s="10">
        <f t="shared" si="23"/>
        <v>449</v>
      </c>
      <c r="E452" s="11">
        <f t="shared" si="25"/>
        <v>1</v>
      </c>
    </row>
    <row r="453" spans="1:5" x14ac:dyDescent="0.25">
      <c r="A453" t="s">
        <v>852</v>
      </c>
      <c r="B453" t="str">
        <f t="shared" si="24"/>
        <v>EM4</v>
      </c>
      <c r="C453">
        <v>450</v>
      </c>
      <c r="D453" s="10">
        <f t="shared" si="23"/>
        <v>450</v>
      </c>
      <c r="E453" s="11">
        <f t="shared" si="25"/>
        <v>1</v>
      </c>
    </row>
    <row r="454" spans="1:5" x14ac:dyDescent="0.25">
      <c r="A454" t="s">
        <v>853</v>
      </c>
      <c r="B454" t="str">
        <f t="shared" si="24"/>
        <v>Pozos_PRP</v>
      </c>
      <c r="C454">
        <v>451</v>
      </c>
      <c r="D454" s="10">
        <f t="shared" si="23"/>
        <v>451</v>
      </c>
      <c r="E454" s="11">
        <f t="shared" si="25"/>
        <v>1</v>
      </c>
    </row>
    <row r="455" spans="1:5" x14ac:dyDescent="0.25">
      <c r="A455" t="s">
        <v>854</v>
      </c>
      <c r="B455" t="str">
        <f t="shared" si="24"/>
        <v>Subestacion-El-Mauro_A_E35</v>
      </c>
      <c r="C455">
        <v>452</v>
      </c>
      <c r="D455" s="10">
        <f t="shared" si="23"/>
        <v>452</v>
      </c>
      <c r="E455" s="11">
        <f t="shared" si="25"/>
        <v>1</v>
      </c>
    </row>
    <row r="456" spans="1:5" x14ac:dyDescent="0.25">
      <c r="A456" t="s">
        <v>855</v>
      </c>
      <c r="B456" t="str">
        <f t="shared" si="24"/>
        <v>EDT</v>
      </c>
      <c r="C456">
        <v>453</v>
      </c>
      <c r="D456" s="10">
        <f t="shared" si="23"/>
        <v>453</v>
      </c>
      <c r="E456" s="11">
        <f t="shared" si="25"/>
        <v>1</v>
      </c>
    </row>
    <row r="457" spans="1:5" x14ac:dyDescent="0.25">
      <c r="A457" t="s">
        <v>856</v>
      </c>
      <c r="B457" t="str">
        <f t="shared" si="24"/>
        <v>EM1</v>
      </c>
      <c r="C457">
        <v>454</v>
      </c>
      <c r="D457" s="10">
        <f t="shared" si="23"/>
        <v>454</v>
      </c>
      <c r="E457" s="11">
        <f t="shared" si="25"/>
        <v>1</v>
      </c>
    </row>
    <row r="458" spans="1:5" x14ac:dyDescent="0.25">
      <c r="A458" t="s">
        <v>857</v>
      </c>
      <c r="B458" t="str">
        <f t="shared" si="24"/>
        <v>Estacion_Cabecera</v>
      </c>
      <c r="C458">
        <v>455</v>
      </c>
      <c r="D458" s="10">
        <f t="shared" si="23"/>
        <v>455</v>
      </c>
      <c r="E458" s="11">
        <f t="shared" si="25"/>
        <v>1</v>
      </c>
    </row>
    <row r="459" spans="1:5" x14ac:dyDescent="0.25">
      <c r="A459" t="s">
        <v>858</v>
      </c>
      <c r="B459" t="str">
        <f t="shared" si="24"/>
        <v>EV1</v>
      </c>
      <c r="C459">
        <v>456</v>
      </c>
      <c r="D459" s="10">
        <f t="shared" si="23"/>
        <v>456</v>
      </c>
      <c r="E459" s="11">
        <f t="shared" si="25"/>
        <v>1</v>
      </c>
    </row>
    <row r="460" spans="1:5" x14ac:dyDescent="0.25">
      <c r="A460" t="s">
        <v>859</v>
      </c>
      <c r="B460" t="str">
        <f t="shared" si="24"/>
        <v>EV2</v>
      </c>
      <c r="C460">
        <v>457</v>
      </c>
      <c r="D460" s="10">
        <f t="shared" si="23"/>
        <v>457</v>
      </c>
      <c r="E460" s="11">
        <f t="shared" si="25"/>
        <v>1</v>
      </c>
    </row>
  </sheetData>
  <autoFilter ref="A1:C1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7"/>
  <sheetViews>
    <sheetView topLeftCell="A428" zoomScale="85" zoomScaleNormal="85" workbookViewId="0">
      <selection activeCell="A418" sqref="A418"/>
    </sheetView>
  </sheetViews>
  <sheetFormatPr baseColWidth="10" defaultColWidth="10.7109375" defaultRowHeight="15" x14ac:dyDescent="0.25"/>
  <cols>
    <col min="1" max="1" width="73.42578125" customWidth="1"/>
    <col min="26" max="26" width="239.42578125" customWidth="1"/>
  </cols>
  <sheetData>
    <row r="1" spans="1:26" x14ac:dyDescent="0.25">
      <c r="A1" t="s">
        <v>1283</v>
      </c>
      <c r="B1" s="9" t="s">
        <v>1284</v>
      </c>
      <c r="C1" s="9" t="s">
        <v>3</v>
      </c>
      <c r="D1" s="9" t="s">
        <v>1285</v>
      </c>
      <c r="E1" s="9" t="s">
        <v>1286</v>
      </c>
      <c r="F1" s="9" t="s">
        <v>1287</v>
      </c>
      <c r="G1" s="9" t="s">
        <v>1288</v>
      </c>
      <c r="H1" s="9" t="s">
        <v>1289</v>
      </c>
      <c r="I1" s="9" t="s">
        <v>1290</v>
      </c>
      <c r="J1" s="9" t="s">
        <v>1291</v>
      </c>
      <c r="K1" s="9" t="s">
        <v>1292</v>
      </c>
      <c r="L1" s="9" t="s">
        <v>1293</v>
      </c>
      <c r="M1" s="9" t="s">
        <v>1294</v>
      </c>
      <c r="N1" s="9" t="s">
        <v>1295</v>
      </c>
      <c r="O1" s="9" t="s">
        <v>1296</v>
      </c>
      <c r="P1" s="9" t="s">
        <v>1297</v>
      </c>
      <c r="Q1" s="9" t="s">
        <v>1298</v>
      </c>
      <c r="R1" s="9" t="s">
        <v>4</v>
      </c>
      <c r="S1" s="9" t="s">
        <v>5</v>
      </c>
      <c r="T1" s="9" t="s">
        <v>6</v>
      </c>
      <c r="U1" s="9" t="s">
        <v>1299</v>
      </c>
      <c r="V1" s="9" t="s">
        <v>1300</v>
      </c>
      <c r="W1" s="9" t="s">
        <v>9</v>
      </c>
      <c r="X1" s="9" t="s">
        <v>10</v>
      </c>
      <c r="Y1" s="9" t="s">
        <v>1301</v>
      </c>
      <c r="Z1" t="s">
        <v>1302</v>
      </c>
    </row>
    <row r="2" spans="1:26" x14ac:dyDescent="0.25">
      <c r="A2">
        <v>1</v>
      </c>
      <c r="B2" s="9" t="s">
        <v>1303</v>
      </c>
      <c r="C2" s="9" t="s">
        <v>1304</v>
      </c>
      <c r="D2">
        <v>0</v>
      </c>
      <c r="E2">
        <v>1.2</v>
      </c>
      <c r="F2">
        <v>0.1</v>
      </c>
      <c r="G2" s="12">
        <v>0.2</v>
      </c>
      <c r="H2">
        <v>1</v>
      </c>
      <c r="I2" s="9" t="s">
        <v>1305</v>
      </c>
      <c r="J2" s="9" t="s">
        <v>1306</v>
      </c>
      <c r="K2" s="9" t="s">
        <v>1306</v>
      </c>
      <c r="L2">
        <v>349592.80460799998</v>
      </c>
      <c r="M2">
        <v>6479583.7228709999</v>
      </c>
      <c r="N2">
        <v>0</v>
      </c>
      <c r="O2">
        <v>12</v>
      </c>
      <c r="P2">
        <v>45901.769205999997</v>
      </c>
      <c r="Q2" s="9" t="s">
        <v>1307</v>
      </c>
      <c r="R2" s="9" t="s">
        <v>1308</v>
      </c>
      <c r="S2" s="9" t="s">
        <v>1309</v>
      </c>
      <c r="T2" s="9" t="s">
        <v>29</v>
      </c>
      <c r="U2" s="9" t="s">
        <v>1310</v>
      </c>
      <c r="V2" s="9" t="s">
        <v>1310</v>
      </c>
      <c r="W2" s="9" t="s">
        <v>30</v>
      </c>
      <c r="X2" s="9" t="s">
        <v>1311</v>
      </c>
      <c r="Y2" s="9">
        <f t="shared" ref="Y2:Y33" si="0">VLOOKUP(C2,$A$418:$B$538,2,FALSE())</f>
        <v>9803</v>
      </c>
      <c r="Z2" t="str">
        <f t="shared" ref="Z2:Z65" si="1">CONCATENATE(X2,"&amp;rasterId=",Y2)</f>
        <v>https://sig.aminerals.cl/imgdyn/rest/services/CL_MLP_PAO/CL_MLP_PAO_IF_Ortho_Transversal/ImageServer/file?id=.%5CTransversal_Aereo%5C25_02_02%5CCL_MLP_PAO_IF_Ortho_25_02_01_Transversal_TR_1.tif&amp;rasterId=9803</v>
      </c>
    </row>
    <row r="3" spans="1:26" x14ac:dyDescent="0.25">
      <c r="A3">
        <v>2</v>
      </c>
      <c r="B3" s="9" t="s">
        <v>1303</v>
      </c>
      <c r="C3" s="9" t="s">
        <v>1312</v>
      </c>
      <c r="D3">
        <v>0</v>
      </c>
      <c r="E3">
        <v>1.2</v>
      </c>
      <c r="F3">
        <v>0.1</v>
      </c>
      <c r="G3" s="12">
        <v>0.4</v>
      </c>
      <c r="H3">
        <v>1</v>
      </c>
      <c r="I3" s="9" t="s">
        <v>1305</v>
      </c>
      <c r="J3" s="9" t="s">
        <v>1306</v>
      </c>
      <c r="K3" s="9" t="s">
        <v>1306</v>
      </c>
      <c r="L3">
        <v>347218.49820600002</v>
      </c>
      <c r="M3">
        <v>6476630.9720219998</v>
      </c>
      <c r="N3">
        <v>0</v>
      </c>
      <c r="O3">
        <v>12</v>
      </c>
      <c r="P3">
        <v>45901.769206999998</v>
      </c>
      <c r="Q3" s="9" t="s">
        <v>1313</v>
      </c>
      <c r="R3" s="9" t="s">
        <v>1314</v>
      </c>
      <c r="S3" s="9" t="s">
        <v>1309</v>
      </c>
      <c r="T3" s="9" t="s">
        <v>29</v>
      </c>
      <c r="U3" s="9" t="s">
        <v>1310</v>
      </c>
      <c r="V3" s="9" t="s">
        <v>1310</v>
      </c>
      <c r="W3" s="9" t="s">
        <v>30</v>
      </c>
      <c r="X3" s="9" t="s">
        <v>1311</v>
      </c>
      <c r="Y3" s="9">
        <f t="shared" si="0"/>
        <v>9804</v>
      </c>
      <c r="Z3" t="str">
        <f t="shared" si="1"/>
        <v>https://sig.aminerals.cl/imgdyn/rest/services/CL_MLP_PAO/CL_MLP_PAO_IF_Ortho_Transversal/ImageServer/file?id=.%5CTransversal_Aereo%5C25_02_02%5CCL_MLP_PAO_IF_Ortho_25_02_01_Transversal_TR_1.tif&amp;rasterId=9804</v>
      </c>
    </row>
    <row r="4" spans="1:26" x14ac:dyDescent="0.25">
      <c r="A4">
        <v>3</v>
      </c>
      <c r="B4" s="9" t="s">
        <v>1303</v>
      </c>
      <c r="C4" s="9" t="s">
        <v>1315</v>
      </c>
      <c r="D4">
        <v>0</v>
      </c>
      <c r="E4">
        <v>1.2</v>
      </c>
      <c r="F4">
        <v>0.1</v>
      </c>
      <c r="G4" s="12">
        <v>0.4</v>
      </c>
      <c r="H4">
        <v>1</v>
      </c>
      <c r="I4" s="9" t="s">
        <v>1305</v>
      </c>
      <c r="J4" s="9" t="s">
        <v>1306</v>
      </c>
      <c r="K4" s="9" t="s">
        <v>1306</v>
      </c>
      <c r="L4">
        <v>273959.01598899998</v>
      </c>
      <c r="M4">
        <v>6471800.3956909999</v>
      </c>
      <c r="N4">
        <v>0</v>
      </c>
      <c r="O4">
        <v>12</v>
      </c>
      <c r="P4">
        <v>45901.769207999998</v>
      </c>
      <c r="Q4" s="9" t="s">
        <v>1316</v>
      </c>
      <c r="R4" s="9" t="s">
        <v>1317</v>
      </c>
      <c r="S4" s="9" t="s">
        <v>1309</v>
      </c>
      <c r="T4" s="9" t="s">
        <v>29</v>
      </c>
      <c r="U4" s="9" t="s">
        <v>1310</v>
      </c>
      <c r="V4" s="9" t="s">
        <v>1310</v>
      </c>
      <c r="W4" s="9" t="s">
        <v>30</v>
      </c>
      <c r="X4" s="9" t="s">
        <v>1318</v>
      </c>
      <c r="Y4" s="9">
        <f t="shared" si="0"/>
        <v>9805</v>
      </c>
      <c r="Z4" t="str">
        <f t="shared" si="1"/>
        <v>https://sig.aminerals.cl/imgdyn/rest/services/CL_MLP_PAO/CL_MLP_PAO_IF_Ortho_Transversal/ImageServer/file?id=.%5CTransversal_Aereo%5C25_02_02%5CCL_MLP_PAO_IF_Ortho_25_02_01_Transversal_TR_10.tif&amp;rasterId=9805</v>
      </c>
    </row>
    <row r="5" spans="1:26" x14ac:dyDescent="0.25">
      <c r="A5">
        <v>4</v>
      </c>
      <c r="B5" s="9" t="s">
        <v>1303</v>
      </c>
      <c r="C5" s="9" t="s">
        <v>1319</v>
      </c>
      <c r="D5">
        <v>0</v>
      </c>
      <c r="E5">
        <v>1.2</v>
      </c>
      <c r="F5">
        <v>0.1</v>
      </c>
      <c r="G5" s="12">
        <v>0.2</v>
      </c>
      <c r="H5">
        <v>1</v>
      </c>
      <c r="I5" s="9" t="s">
        <v>1305</v>
      </c>
      <c r="J5" s="9" t="s">
        <v>1306</v>
      </c>
      <c r="K5" s="9" t="s">
        <v>1306</v>
      </c>
      <c r="L5">
        <v>297858.120773</v>
      </c>
      <c r="M5">
        <v>6461838.2506929999</v>
      </c>
      <c r="N5">
        <v>0</v>
      </c>
      <c r="O5">
        <v>12</v>
      </c>
      <c r="P5">
        <v>45901.769209999999</v>
      </c>
      <c r="Q5" s="9" t="s">
        <v>1320</v>
      </c>
      <c r="R5" s="9" t="s">
        <v>1321</v>
      </c>
      <c r="S5" s="9" t="s">
        <v>1309</v>
      </c>
      <c r="T5" s="9" t="s">
        <v>29</v>
      </c>
      <c r="U5" s="9" t="s">
        <v>1310</v>
      </c>
      <c r="V5" s="9" t="s">
        <v>1310</v>
      </c>
      <c r="W5" s="9" t="s">
        <v>30</v>
      </c>
      <c r="X5" s="9" t="s">
        <v>1322</v>
      </c>
      <c r="Y5" s="9">
        <f t="shared" si="0"/>
        <v>9806</v>
      </c>
      <c r="Z5" t="str">
        <f t="shared" si="1"/>
        <v>https://sig.aminerals.cl/imgdyn/rest/services/CL_MLP_PAO/CL_MLP_PAO_IF_Ortho_Transversal/ImageServer/file?id=.%5CTransversal_Aereo%5C25_02_02%5CCL_MLP_PAO_IF_Ortho_25_02_01_Transversal_TR_100.tif&amp;rasterId=9806</v>
      </c>
    </row>
    <row r="6" spans="1:26" x14ac:dyDescent="0.25">
      <c r="A6">
        <v>5</v>
      </c>
      <c r="B6" s="9" t="s">
        <v>1303</v>
      </c>
      <c r="C6" s="9" t="s">
        <v>1323</v>
      </c>
      <c r="D6">
        <v>0</v>
      </c>
      <c r="E6">
        <v>1.2</v>
      </c>
      <c r="F6">
        <v>0.1</v>
      </c>
      <c r="G6" s="12">
        <v>0.4</v>
      </c>
      <c r="H6">
        <v>1</v>
      </c>
      <c r="I6" s="9" t="s">
        <v>1305</v>
      </c>
      <c r="J6" s="9" t="s">
        <v>1306</v>
      </c>
      <c r="K6" s="9" t="s">
        <v>1306</v>
      </c>
      <c r="L6">
        <v>296914.78074299998</v>
      </c>
      <c r="M6">
        <v>6462010.4900839999</v>
      </c>
      <c r="N6">
        <v>0</v>
      </c>
      <c r="O6">
        <v>12</v>
      </c>
      <c r="P6">
        <v>45901.769210999999</v>
      </c>
      <c r="Q6" s="9" t="s">
        <v>1324</v>
      </c>
      <c r="R6" s="9" t="s">
        <v>1325</v>
      </c>
      <c r="S6" s="9" t="s">
        <v>1309</v>
      </c>
      <c r="T6" s="9" t="s">
        <v>29</v>
      </c>
      <c r="U6" s="9" t="s">
        <v>1310</v>
      </c>
      <c r="V6" s="9" t="s">
        <v>1310</v>
      </c>
      <c r="W6" s="9" t="s">
        <v>30</v>
      </c>
      <c r="X6" s="9" t="s">
        <v>1326</v>
      </c>
      <c r="Y6" s="9">
        <f t="shared" si="0"/>
        <v>9807</v>
      </c>
      <c r="Z6" t="str">
        <f t="shared" si="1"/>
        <v>https://sig.aminerals.cl/imgdyn/rest/services/CL_MLP_PAO/CL_MLP_PAO_IF_Ortho_Transversal/ImageServer/file?id=.%5CTransversal_Aereo%5C25_02_02%5CCL_MLP_PAO_IF_Ortho_25_02_01_Transversal_TR_101.tif&amp;rasterId=9807</v>
      </c>
    </row>
    <row r="7" spans="1:26" x14ac:dyDescent="0.25">
      <c r="A7">
        <v>6</v>
      </c>
      <c r="B7" s="9" t="s">
        <v>1303</v>
      </c>
      <c r="C7" s="9" t="s">
        <v>1327</v>
      </c>
      <c r="D7">
        <v>0</v>
      </c>
      <c r="E7">
        <v>1.2</v>
      </c>
      <c r="F7">
        <v>0.1</v>
      </c>
      <c r="G7" s="12">
        <v>0.2</v>
      </c>
      <c r="H7">
        <v>1</v>
      </c>
      <c r="I7" s="9" t="s">
        <v>1305</v>
      </c>
      <c r="J7" s="9" t="s">
        <v>1306</v>
      </c>
      <c r="K7" s="9" t="s">
        <v>1306</v>
      </c>
      <c r="L7">
        <v>296144.51906000002</v>
      </c>
      <c r="M7">
        <v>6462264.9077789998</v>
      </c>
      <c r="N7">
        <v>0</v>
      </c>
      <c r="O7">
        <v>12</v>
      </c>
      <c r="P7">
        <v>45901.769211999999</v>
      </c>
      <c r="Q7" s="9" t="s">
        <v>1328</v>
      </c>
      <c r="R7" s="9" t="s">
        <v>1329</v>
      </c>
      <c r="S7" s="9" t="s">
        <v>1309</v>
      </c>
      <c r="T7" s="9" t="s">
        <v>29</v>
      </c>
      <c r="U7" s="9" t="s">
        <v>1310</v>
      </c>
      <c r="V7" s="9" t="s">
        <v>1310</v>
      </c>
      <c r="W7" s="9" t="s">
        <v>30</v>
      </c>
      <c r="X7" s="9" t="s">
        <v>1330</v>
      </c>
      <c r="Y7" s="9">
        <f t="shared" si="0"/>
        <v>9808</v>
      </c>
      <c r="Z7" t="str">
        <f t="shared" si="1"/>
        <v>https://sig.aminerals.cl/imgdyn/rest/services/CL_MLP_PAO/CL_MLP_PAO_IF_Ortho_Transversal/ImageServer/file?id=.%5CTransversal_Aereo%5C25_02_02%5CCL_MLP_PAO_IF_Ortho_25_02_01_Transversal_TR_102.tif&amp;rasterId=9808</v>
      </c>
    </row>
    <row r="8" spans="1:26" x14ac:dyDescent="0.25">
      <c r="A8">
        <v>7</v>
      </c>
      <c r="B8" s="9" t="s">
        <v>1303</v>
      </c>
      <c r="C8" s="9" t="s">
        <v>1331</v>
      </c>
      <c r="D8">
        <v>0</v>
      </c>
      <c r="E8">
        <v>1.2</v>
      </c>
      <c r="F8">
        <v>0.1</v>
      </c>
      <c r="G8" s="12">
        <v>0.2</v>
      </c>
      <c r="H8">
        <v>1</v>
      </c>
      <c r="I8" s="9" t="s">
        <v>1305</v>
      </c>
      <c r="J8" s="9" t="s">
        <v>1306</v>
      </c>
      <c r="K8" s="9" t="s">
        <v>1306</v>
      </c>
      <c r="L8">
        <v>296063.30753799999</v>
      </c>
      <c r="M8">
        <v>6463101.3767029997</v>
      </c>
      <c r="N8">
        <v>0</v>
      </c>
      <c r="O8">
        <v>12</v>
      </c>
      <c r="P8">
        <v>45901.769214</v>
      </c>
      <c r="Q8" s="9" t="s">
        <v>1332</v>
      </c>
      <c r="R8" s="9" t="s">
        <v>1333</v>
      </c>
      <c r="S8" s="9" t="s">
        <v>1309</v>
      </c>
      <c r="T8" s="9" t="s">
        <v>29</v>
      </c>
      <c r="U8" s="9" t="s">
        <v>1310</v>
      </c>
      <c r="V8" s="9" t="s">
        <v>1310</v>
      </c>
      <c r="W8" s="9" t="s">
        <v>30</v>
      </c>
      <c r="X8" s="9" t="s">
        <v>1334</v>
      </c>
      <c r="Y8" s="9">
        <f t="shared" si="0"/>
        <v>9809</v>
      </c>
      <c r="Z8" t="str">
        <f t="shared" si="1"/>
        <v>https://sig.aminerals.cl/imgdyn/rest/services/CL_MLP_PAO/CL_MLP_PAO_IF_Ortho_Transversal/ImageServer/file?id=.%5CTransversal_Aereo%5C25_02_02%5CCL_MLP_PAO_IF_Ortho_25_02_01_Transversal_TR_103.tif&amp;rasterId=9809</v>
      </c>
    </row>
    <row r="9" spans="1:26" x14ac:dyDescent="0.25">
      <c r="A9">
        <v>8</v>
      </c>
      <c r="B9" s="9" t="s">
        <v>1303</v>
      </c>
      <c r="C9" s="9" t="s">
        <v>1335</v>
      </c>
      <c r="D9">
        <v>0</v>
      </c>
      <c r="E9">
        <v>1.2</v>
      </c>
      <c r="F9">
        <v>0.1</v>
      </c>
      <c r="G9" s="12">
        <v>0.4</v>
      </c>
      <c r="H9">
        <v>1</v>
      </c>
      <c r="I9" s="9" t="s">
        <v>1305</v>
      </c>
      <c r="J9" s="9" t="s">
        <v>1306</v>
      </c>
      <c r="K9" s="9" t="s">
        <v>1306</v>
      </c>
      <c r="L9">
        <v>295886.14542900003</v>
      </c>
      <c r="M9">
        <v>6464088.1052299999</v>
      </c>
      <c r="N9">
        <v>0</v>
      </c>
      <c r="O9">
        <v>12</v>
      </c>
      <c r="P9">
        <v>45901.769215</v>
      </c>
      <c r="Q9" s="9" t="s">
        <v>1336</v>
      </c>
      <c r="R9" s="9" t="s">
        <v>1337</v>
      </c>
      <c r="S9" s="9" t="s">
        <v>1309</v>
      </c>
      <c r="T9" s="9" t="s">
        <v>29</v>
      </c>
      <c r="U9" s="9" t="s">
        <v>1310</v>
      </c>
      <c r="V9" s="9" t="s">
        <v>1310</v>
      </c>
      <c r="W9" s="9" t="s">
        <v>30</v>
      </c>
      <c r="X9" s="9" t="s">
        <v>1338</v>
      </c>
      <c r="Y9" s="9">
        <f t="shared" si="0"/>
        <v>9810</v>
      </c>
      <c r="Z9" t="str">
        <f t="shared" si="1"/>
        <v>https://sig.aminerals.cl/imgdyn/rest/services/CL_MLP_PAO/CL_MLP_PAO_IF_Ortho_Transversal/ImageServer/file?id=.%5CTransversal_Aereo%5C25_02_02%5CCL_MLP_PAO_IF_Ortho_25_02_01_Transversal_TR_104.tif&amp;rasterId=9810</v>
      </c>
    </row>
    <row r="10" spans="1:26" x14ac:dyDescent="0.25">
      <c r="A10">
        <v>9</v>
      </c>
      <c r="B10" s="9" t="s">
        <v>1303</v>
      </c>
      <c r="C10" s="9" t="s">
        <v>1339</v>
      </c>
      <c r="D10">
        <v>0</v>
      </c>
      <c r="E10">
        <v>1.2</v>
      </c>
      <c r="F10">
        <v>0.1</v>
      </c>
      <c r="G10" s="12">
        <v>0.2</v>
      </c>
      <c r="H10">
        <v>1</v>
      </c>
      <c r="I10" s="9" t="s">
        <v>1305</v>
      </c>
      <c r="J10" s="9" t="s">
        <v>1306</v>
      </c>
      <c r="K10" s="9" t="s">
        <v>1306</v>
      </c>
      <c r="L10">
        <v>295497.29514300002</v>
      </c>
      <c r="M10">
        <v>6464970.3649180001</v>
      </c>
      <c r="N10">
        <v>0</v>
      </c>
      <c r="O10">
        <v>12</v>
      </c>
      <c r="P10">
        <v>45901.769217000001</v>
      </c>
      <c r="Q10" s="9" t="s">
        <v>1340</v>
      </c>
      <c r="R10" s="9" t="s">
        <v>1341</v>
      </c>
      <c r="S10" s="9" t="s">
        <v>1309</v>
      </c>
      <c r="T10" s="9" t="s">
        <v>29</v>
      </c>
      <c r="U10" s="9" t="s">
        <v>1310</v>
      </c>
      <c r="V10" s="9" t="s">
        <v>1310</v>
      </c>
      <c r="W10" s="9" t="s">
        <v>30</v>
      </c>
      <c r="X10" s="9" t="s">
        <v>1342</v>
      </c>
      <c r="Y10" s="9">
        <f t="shared" si="0"/>
        <v>9811</v>
      </c>
      <c r="Z10" t="str">
        <f t="shared" si="1"/>
        <v>https://sig.aminerals.cl/imgdyn/rest/services/CL_MLP_PAO/CL_MLP_PAO_IF_Ortho_Transversal/ImageServer/file?id=.%5CTransversal_Aereo%5C25_02_02%5CCL_MLP_PAO_IF_Ortho_25_02_01_Transversal_TR_105.tif&amp;rasterId=9811</v>
      </c>
    </row>
    <row r="11" spans="1:26" x14ac:dyDescent="0.25">
      <c r="A11">
        <v>10</v>
      </c>
      <c r="B11" s="9" t="s">
        <v>1303</v>
      </c>
      <c r="C11" s="9" t="s">
        <v>1343</v>
      </c>
      <c r="D11">
        <v>0</v>
      </c>
      <c r="E11">
        <v>1.2</v>
      </c>
      <c r="F11">
        <v>0.1</v>
      </c>
      <c r="G11" s="12">
        <v>0.4</v>
      </c>
      <c r="H11">
        <v>1</v>
      </c>
      <c r="I11" s="9" t="s">
        <v>1305</v>
      </c>
      <c r="J11" s="9" t="s">
        <v>1306</v>
      </c>
      <c r="K11" s="9" t="s">
        <v>1306</v>
      </c>
      <c r="L11">
        <v>294476.13391999999</v>
      </c>
      <c r="M11">
        <v>6465187.840198</v>
      </c>
      <c r="N11">
        <v>0</v>
      </c>
      <c r="O11">
        <v>12</v>
      </c>
      <c r="P11">
        <v>45901.769219000002</v>
      </c>
      <c r="Q11" s="9" t="s">
        <v>1344</v>
      </c>
      <c r="R11" s="9" t="s">
        <v>1345</v>
      </c>
      <c r="S11" s="9" t="s">
        <v>1309</v>
      </c>
      <c r="T11" s="9" t="s">
        <v>29</v>
      </c>
      <c r="U11" s="9" t="s">
        <v>1310</v>
      </c>
      <c r="V11" s="9" t="s">
        <v>1310</v>
      </c>
      <c r="W11" s="9" t="s">
        <v>30</v>
      </c>
      <c r="X11" s="9" t="s">
        <v>1346</v>
      </c>
      <c r="Y11" s="9">
        <f t="shared" si="0"/>
        <v>9812</v>
      </c>
      <c r="Z11" t="str">
        <f t="shared" si="1"/>
        <v>https://sig.aminerals.cl/imgdyn/rest/services/CL_MLP_PAO/CL_MLP_PAO_IF_Ortho_Transversal/ImageServer/file?id=.%5CTransversal_Aereo%5C25_02_02%5CCL_MLP_PAO_IF_Ortho_25_02_01_Transversal_TR_106.tif&amp;rasterId=9812</v>
      </c>
    </row>
    <row r="12" spans="1:26" x14ac:dyDescent="0.25">
      <c r="A12">
        <v>11</v>
      </c>
      <c r="B12" s="9" t="s">
        <v>1303</v>
      </c>
      <c r="C12" s="9" t="s">
        <v>1347</v>
      </c>
      <c r="D12">
        <v>0</v>
      </c>
      <c r="E12">
        <v>1.2</v>
      </c>
      <c r="F12">
        <v>0.1</v>
      </c>
      <c r="G12" s="12">
        <v>0.4</v>
      </c>
      <c r="H12">
        <v>1</v>
      </c>
      <c r="I12" s="9" t="s">
        <v>1305</v>
      </c>
      <c r="J12" s="9" t="s">
        <v>1306</v>
      </c>
      <c r="K12" s="9" t="s">
        <v>1306</v>
      </c>
      <c r="L12">
        <v>293560.47187399998</v>
      </c>
      <c r="M12">
        <v>6465696.9462379999</v>
      </c>
      <c r="N12">
        <v>0</v>
      </c>
      <c r="O12">
        <v>12</v>
      </c>
      <c r="P12">
        <v>45901.769221000002</v>
      </c>
      <c r="Q12" s="9" t="s">
        <v>1348</v>
      </c>
      <c r="R12" s="9" t="s">
        <v>1349</v>
      </c>
      <c r="S12" s="9" t="s">
        <v>1309</v>
      </c>
      <c r="T12" s="9" t="s">
        <v>29</v>
      </c>
      <c r="U12" s="9" t="s">
        <v>1310</v>
      </c>
      <c r="V12" s="9" t="s">
        <v>1310</v>
      </c>
      <c r="W12" s="9" t="s">
        <v>30</v>
      </c>
      <c r="X12" s="9" t="s">
        <v>1350</v>
      </c>
      <c r="Y12" s="9">
        <f t="shared" si="0"/>
        <v>9813</v>
      </c>
      <c r="Z12" t="str">
        <f t="shared" si="1"/>
        <v>https://sig.aminerals.cl/imgdyn/rest/services/CL_MLP_PAO/CL_MLP_PAO_IF_Ortho_Transversal/ImageServer/file?id=.%5CTransversal_Aereo%5C25_02_02%5CCL_MLP_PAO_IF_Ortho_25_02_01_Transversal_TR_107.tif&amp;rasterId=9813</v>
      </c>
    </row>
    <row r="13" spans="1:26" x14ac:dyDescent="0.25">
      <c r="A13">
        <v>12</v>
      </c>
      <c r="B13" s="9" t="s">
        <v>1303</v>
      </c>
      <c r="C13" s="9" t="s">
        <v>1351</v>
      </c>
      <c r="D13">
        <v>0</v>
      </c>
      <c r="E13">
        <v>1.2</v>
      </c>
      <c r="F13">
        <v>0.1</v>
      </c>
      <c r="G13" s="12">
        <v>0.4</v>
      </c>
      <c r="H13">
        <v>1</v>
      </c>
      <c r="I13" s="9" t="s">
        <v>1305</v>
      </c>
      <c r="J13" s="9" t="s">
        <v>1306</v>
      </c>
      <c r="K13" s="9" t="s">
        <v>1306</v>
      </c>
      <c r="L13">
        <v>292473.68826299999</v>
      </c>
      <c r="M13">
        <v>6465936.8935059998</v>
      </c>
      <c r="N13">
        <v>0</v>
      </c>
      <c r="O13">
        <v>12</v>
      </c>
      <c r="P13">
        <v>45901.769222000003</v>
      </c>
      <c r="Q13" s="9" t="s">
        <v>1352</v>
      </c>
      <c r="R13" s="9" t="s">
        <v>1353</v>
      </c>
      <c r="S13" s="9" t="s">
        <v>1309</v>
      </c>
      <c r="T13" s="9" t="s">
        <v>29</v>
      </c>
      <c r="U13" s="9" t="s">
        <v>1310</v>
      </c>
      <c r="V13" s="9" t="s">
        <v>1310</v>
      </c>
      <c r="W13" s="9" t="s">
        <v>30</v>
      </c>
      <c r="X13" s="9" t="s">
        <v>1354</v>
      </c>
      <c r="Y13" s="9">
        <f t="shared" si="0"/>
        <v>9814</v>
      </c>
      <c r="Z13" t="str">
        <f t="shared" si="1"/>
        <v>https://sig.aminerals.cl/imgdyn/rest/services/CL_MLP_PAO/CL_MLP_PAO_IF_Ortho_Transversal/ImageServer/file?id=.%5CTransversal_Aereo%5C25_02_02%5CCL_MLP_PAO_IF_Ortho_25_02_01_Transversal_TR_108.tif&amp;rasterId=9814</v>
      </c>
    </row>
    <row r="14" spans="1:26" x14ac:dyDescent="0.25">
      <c r="A14">
        <v>13</v>
      </c>
      <c r="B14" s="9" t="s">
        <v>1303</v>
      </c>
      <c r="C14" s="9" t="s">
        <v>1355</v>
      </c>
      <c r="D14">
        <v>0</v>
      </c>
      <c r="E14">
        <v>1.2</v>
      </c>
      <c r="F14">
        <v>0.1</v>
      </c>
      <c r="G14" s="12">
        <v>0.4</v>
      </c>
      <c r="H14">
        <v>1</v>
      </c>
      <c r="I14" s="9" t="s">
        <v>1305</v>
      </c>
      <c r="J14" s="9" t="s">
        <v>1306</v>
      </c>
      <c r="K14" s="9" t="s">
        <v>1306</v>
      </c>
      <c r="L14">
        <v>291514.09363100003</v>
      </c>
      <c r="M14">
        <v>6466429.4599810001</v>
      </c>
      <c r="N14">
        <v>0</v>
      </c>
      <c r="O14">
        <v>12</v>
      </c>
      <c r="P14">
        <v>45901.769224000003</v>
      </c>
      <c r="Q14" s="9" t="s">
        <v>1356</v>
      </c>
      <c r="R14" s="9" t="s">
        <v>1357</v>
      </c>
      <c r="S14" s="9" t="s">
        <v>1309</v>
      </c>
      <c r="T14" s="9" t="s">
        <v>29</v>
      </c>
      <c r="U14" s="9" t="s">
        <v>1310</v>
      </c>
      <c r="V14" s="9" t="s">
        <v>1310</v>
      </c>
      <c r="W14" s="9" t="s">
        <v>30</v>
      </c>
      <c r="X14" s="9" t="s">
        <v>1358</v>
      </c>
      <c r="Y14" s="9">
        <f t="shared" si="0"/>
        <v>9815</v>
      </c>
      <c r="Z14" t="str">
        <f t="shared" si="1"/>
        <v>https://sig.aminerals.cl/imgdyn/rest/services/CL_MLP_PAO/CL_MLP_PAO_IF_Ortho_Transversal/ImageServer/file?id=.%5CTransversal_Aereo%5C25_02_02%5CCL_MLP_PAO_IF_Ortho_25_02_01_Transversal_TR_109.tif&amp;rasterId=9815</v>
      </c>
    </row>
    <row r="15" spans="1:26" x14ac:dyDescent="0.25">
      <c r="A15">
        <v>14</v>
      </c>
      <c r="B15" s="9" t="s">
        <v>1303</v>
      </c>
      <c r="C15" s="9" t="s">
        <v>1359</v>
      </c>
      <c r="D15">
        <v>0</v>
      </c>
      <c r="E15">
        <v>1.2</v>
      </c>
      <c r="F15">
        <v>0.1</v>
      </c>
      <c r="G15" s="12">
        <v>0.4</v>
      </c>
      <c r="H15">
        <v>1</v>
      </c>
      <c r="I15" s="9" t="s">
        <v>1305</v>
      </c>
      <c r="J15" s="9" t="s">
        <v>1306</v>
      </c>
      <c r="K15" s="9" t="s">
        <v>1306</v>
      </c>
      <c r="L15">
        <v>273013.695748</v>
      </c>
      <c r="M15">
        <v>6471432.3896120004</v>
      </c>
      <c r="N15">
        <v>0</v>
      </c>
      <c r="O15">
        <v>12</v>
      </c>
      <c r="P15">
        <v>45901.769224999996</v>
      </c>
      <c r="Q15" s="9" t="s">
        <v>1360</v>
      </c>
      <c r="R15" s="9" t="s">
        <v>1361</v>
      </c>
      <c r="S15" s="9" t="s">
        <v>1309</v>
      </c>
      <c r="T15" s="9" t="s">
        <v>29</v>
      </c>
      <c r="U15" s="9" t="s">
        <v>1310</v>
      </c>
      <c r="V15" s="9" t="s">
        <v>1310</v>
      </c>
      <c r="W15" s="9" t="s">
        <v>30</v>
      </c>
      <c r="X15" s="9" t="s">
        <v>1362</v>
      </c>
      <c r="Y15" s="9">
        <f t="shared" si="0"/>
        <v>9816</v>
      </c>
      <c r="Z15" t="str">
        <f t="shared" si="1"/>
        <v>https://sig.aminerals.cl/imgdyn/rest/services/CL_MLP_PAO/CL_MLP_PAO_IF_Ortho_Transversal/ImageServer/file?id=.%5CTransversal_Aereo%5C25_02_02%5CCL_MLP_PAO_IF_Ortho_25_02_01_Transversal_TR_11.tif&amp;rasterId=9816</v>
      </c>
    </row>
    <row r="16" spans="1:26" x14ac:dyDescent="0.25">
      <c r="A16">
        <v>15</v>
      </c>
      <c r="B16" s="9" t="s">
        <v>1303</v>
      </c>
      <c r="C16" s="9" t="s">
        <v>1363</v>
      </c>
      <c r="D16">
        <v>0</v>
      </c>
      <c r="E16">
        <v>1.2</v>
      </c>
      <c r="F16">
        <v>0.1</v>
      </c>
      <c r="G16" s="12">
        <v>0.4</v>
      </c>
      <c r="H16">
        <v>1</v>
      </c>
      <c r="I16" s="9" t="s">
        <v>1305</v>
      </c>
      <c r="J16" s="9" t="s">
        <v>1306</v>
      </c>
      <c r="K16" s="9" t="s">
        <v>1306</v>
      </c>
      <c r="L16">
        <v>348961.96991699998</v>
      </c>
      <c r="M16">
        <v>6477748.8939699996</v>
      </c>
      <c r="N16">
        <v>0</v>
      </c>
      <c r="O16">
        <v>12</v>
      </c>
      <c r="P16">
        <v>45901.769226999997</v>
      </c>
      <c r="Q16" s="9" t="s">
        <v>1364</v>
      </c>
      <c r="R16" s="9" t="s">
        <v>1365</v>
      </c>
      <c r="S16" s="9" t="s">
        <v>1309</v>
      </c>
      <c r="T16" s="9" t="s">
        <v>29</v>
      </c>
      <c r="U16" s="9" t="s">
        <v>1310</v>
      </c>
      <c r="V16" s="9" t="s">
        <v>1310</v>
      </c>
      <c r="W16" s="9" t="s">
        <v>30</v>
      </c>
      <c r="X16" s="9" t="s">
        <v>1366</v>
      </c>
      <c r="Y16" s="9">
        <f t="shared" si="0"/>
        <v>9817</v>
      </c>
      <c r="Z16" t="str">
        <f t="shared" si="1"/>
        <v>https://sig.aminerals.cl/imgdyn/rest/services/CL_MLP_PAO/CL_MLP_PAO_IF_Ortho_Transversal/ImageServer/file?id=.%5CTransversal_Aereo%5C25_02_02%5CCL_MLP_PAO_IF_Ortho_25_02_01_Transversal_TR_110.tif&amp;rasterId=9817</v>
      </c>
    </row>
    <row r="17" spans="1:26" x14ac:dyDescent="0.25">
      <c r="A17">
        <v>16</v>
      </c>
      <c r="B17" s="9" t="s">
        <v>1303</v>
      </c>
      <c r="C17" s="9" t="s">
        <v>1367</v>
      </c>
      <c r="D17">
        <v>0</v>
      </c>
      <c r="E17">
        <v>1.2</v>
      </c>
      <c r="F17">
        <v>0.1</v>
      </c>
      <c r="G17" s="12">
        <v>0.4</v>
      </c>
      <c r="H17">
        <v>1</v>
      </c>
      <c r="I17" s="9" t="s">
        <v>1305</v>
      </c>
      <c r="J17" s="9" t="s">
        <v>1306</v>
      </c>
      <c r="K17" s="9" t="s">
        <v>1306</v>
      </c>
      <c r="L17">
        <v>290508.75342800003</v>
      </c>
      <c r="M17">
        <v>6466969.4501329996</v>
      </c>
      <c r="N17">
        <v>0</v>
      </c>
      <c r="O17">
        <v>12</v>
      </c>
      <c r="P17">
        <v>45901.769227999997</v>
      </c>
      <c r="Q17" s="13" t="s">
        <v>1368</v>
      </c>
      <c r="R17" s="9" t="s">
        <v>1369</v>
      </c>
      <c r="S17" s="9" t="s">
        <v>1309</v>
      </c>
      <c r="T17" s="9" t="s">
        <v>29</v>
      </c>
      <c r="U17" s="9" t="s">
        <v>1310</v>
      </c>
      <c r="V17" s="9" t="s">
        <v>1310</v>
      </c>
      <c r="W17" s="9" t="s">
        <v>30</v>
      </c>
      <c r="X17" s="9" t="s">
        <v>1370</v>
      </c>
      <c r="Y17" s="9">
        <f t="shared" si="0"/>
        <v>9818</v>
      </c>
      <c r="Z17" t="str">
        <f t="shared" si="1"/>
        <v>https://sig.aminerals.cl/imgdyn/rest/services/CL_MLP_PAO/CL_MLP_PAO_IF_Ortho_Transversal/ImageServer/file?id=.%5CTransversal_Aereo%5C25_02_02%5CCL_MLP_PAO_IF_Ortho_25_02_01_Transversal_TR_111.tif&amp;rasterId=9818</v>
      </c>
    </row>
    <row r="18" spans="1:26" x14ac:dyDescent="0.25">
      <c r="A18">
        <v>17</v>
      </c>
      <c r="B18" s="9" t="s">
        <v>1303</v>
      </c>
      <c r="C18" s="9" t="s">
        <v>1371</v>
      </c>
      <c r="D18">
        <v>0</v>
      </c>
      <c r="E18">
        <v>1.2</v>
      </c>
      <c r="F18">
        <v>0.1</v>
      </c>
      <c r="G18" s="12">
        <v>0.4</v>
      </c>
      <c r="H18">
        <v>1</v>
      </c>
      <c r="I18" s="9" t="s">
        <v>1305</v>
      </c>
      <c r="J18" s="9" t="s">
        <v>1306</v>
      </c>
      <c r="K18" s="9" t="s">
        <v>1306</v>
      </c>
      <c r="L18">
        <v>289512.29647300002</v>
      </c>
      <c r="M18">
        <v>6467626.6327339998</v>
      </c>
      <c r="N18">
        <v>0</v>
      </c>
      <c r="O18">
        <v>12</v>
      </c>
      <c r="P18">
        <v>45901.769229999998</v>
      </c>
      <c r="Q18" s="9" t="s">
        <v>1372</v>
      </c>
      <c r="R18" s="9" t="s">
        <v>1373</v>
      </c>
      <c r="S18" s="9" t="s">
        <v>1309</v>
      </c>
      <c r="T18" s="9" t="s">
        <v>29</v>
      </c>
      <c r="U18" s="9" t="s">
        <v>1310</v>
      </c>
      <c r="V18" s="9" t="s">
        <v>1310</v>
      </c>
      <c r="W18" s="9" t="s">
        <v>30</v>
      </c>
      <c r="X18" s="9" t="s">
        <v>1374</v>
      </c>
      <c r="Y18" s="9">
        <f t="shared" si="0"/>
        <v>9819</v>
      </c>
      <c r="Z18" t="str">
        <f t="shared" si="1"/>
        <v>https://sig.aminerals.cl/imgdyn/rest/services/CL_MLP_PAO/CL_MLP_PAO_IF_Ortho_Transversal/ImageServer/file?id=.%5CTransversal_Aereo%5C25_02_02%5CCL_MLP_PAO_IF_Ortho_25_02_01_Transversal_TR_112.tif&amp;rasterId=9819</v>
      </c>
    </row>
    <row r="19" spans="1:26" x14ac:dyDescent="0.25">
      <c r="A19">
        <v>18</v>
      </c>
      <c r="B19" s="9" t="s">
        <v>1303</v>
      </c>
      <c r="C19" s="9" t="s">
        <v>1375</v>
      </c>
      <c r="D19">
        <v>0</v>
      </c>
      <c r="E19">
        <v>1.2</v>
      </c>
      <c r="F19">
        <v>0.1</v>
      </c>
      <c r="G19" s="12">
        <v>0.4</v>
      </c>
      <c r="H19">
        <v>1</v>
      </c>
      <c r="I19" s="9" t="s">
        <v>1305</v>
      </c>
      <c r="J19" s="9" t="s">
        <v>1306</v>
      </c>
      <c r="K19" s="9" t="s">
        <v>1306</v>
      </c>
      <c r="L19">
        <v>288491.39769200003</v>
      </c>
      <c r="M19">
        <v>6467993.326231</v>
      </c>
      <c r="N19">
        <v>0</v>
      </c>
      <c r="O19">
        <v>12</v>
      </c>
      <c r="P19">
        <v>45901.769230999998</v>
      </c>
      <c r="Q19" s="9" t="s">
        <v>1376</v>
      </c>
      <c r="R19" s="9" t="s">
        <v>1377</v>
      </c>
      <c r="S19" s="9" t="s">
        <v>1309</v>
      </c>
      <c r="T19" s="9" t="s">
        <v>29</v>
      </c>
      <c r="U19" s="9" t="s">
        <v>1310</v>
      </c>
      <c r="V19" s="9" t="s">
        <v>1310</v>
      </c>
      <c r="W19" s="9" t="s">
        <v>30</v>
      </c>
      <c r="X19" s="9" t="s">
        <v>1378</v>
      </c>
      <c r="Y19" s="9">
        <f t="shared" si="0"/>
        <v>9820</v>
      </c>
      <c r="Z19" t="str">
        <f t="shared" si="1"/>
        <v>https://sig.aminerals.cl/imgdyn/rest/services/CL_MLP_PAO/CL_MLP_PAO_IF_Ortho_Transversal/ImageServer/file?id=.%5CTransversal_Aereo%5C25_02_02%5CCL_MLP_PAO_IF_Ortho_25_02_01_Transversal_TR_113.tif&amp;rasterId=9820</v>
      </c>
    </row>
    <row r="20" spans="1:26" x14ac:dyDescent="0.25">
      <c r="A20">
        <v>19</v>
      </c>
      <c r="B20" s="9" t="s">
        <v>1303</v>
      </c>
      <c r="C20" s="9" t="s">
        <v>1379</v>
      </c>
      <c r="D20">
        <v>0</v>
      </c>
      <c r="E20">
        <v>1.2</v>
      </c>
      <c r="F20">
        <v>0.1</v>
      </c>
      <c r="G20" s="12">
        <v>0.4</v>
      </c>
      <c r="H20">
        <v>1</v>
      </c>
      <c r="I20" s="9" t="s">
        <v>1305</v>
      </c>
      <c r="J20" s="9" t="s">
        <v>1306</v>
      </c>
      <c r="K20" s="9" t="s">
        <v>1306</v>
      </c>
      <c r="L20">
        <v>287499.171844</v>
      </c>
      <c r="M20">
        <v>6468258.0742180003</v>
      </c>
      <c r="N20">
        <v>0</v>
      </c>
      <c r="O20">
        <v>12</v>
      </c>
      <c r="P20">
        <v>45901.769231999999</v>
      </c>
      <c r="Q20" s="9" t="s">
        <v>1380</v>
      </c>
      <c r="R20" s="9" t="s">
        <v>1381</v>
      </c>
      <c r="S20" s="9" t="s">
        <v>1309</v>
      </c>
      <c r="T20" s="9" t="s">
        <v>29</v>
      </c>
      <c r="U20" s="9" t="s">
        <v>1310</v>
      </c>
      <c r="V20" s="9" t="s">
        <v>1310</v>
      </c>
      <c r="W20" s="9" t="s">
        <v>30</v>
      </c>
      <c r="X20" s="9" t="s">
        <v>1382</v>
      </c>
      <c r="Y20" s="9">
        <f t="shared" si="0"/>
        <v>9821</v>
      </c>
      <c r="Z20" t="str">
        <f t="shared" si="1"/>
        <v>https://sig.aminerals.cl/imgdyn/rest/services/CL_MLP_PAO/CL_MLP_PAO_IF_Ortho_Transversal/ImageServer/file?id=.%5CTransversal_Aereo%5C25_02_02%5CCL_MLP_PAO_IF_Ortho_25_02_01_Transversal_TR_114.tif&amp;rasterId=9821</v>
      </c>
    </row>
    <row r="21" spans="1:26" x14ac:dyDescent="0.25">
      <c r="A21">
        <v>20</v>
      </c>
      <c r="B21" s="9" t="s">
        <v>1303</v>
      </c>
      <c r="C21" s="9" t="s">
        <v>1383</v>
      </c>
      <c r="D21">
        <v>0</v>
      </c>
      <c r="E21">
        <v>1.2</v>
      </c>
      <c r="F21">
        <v>0.1</v>
      </c>
      <c r="G21" s="12">
        <v>0.4</v>
      </c>
      <c r="H21">
        <v>1</v>
      </c>
      <c r="I21" s="9" t="s">
        <v>1305</v>
      </c>
      <c r="J21" s="9" t="s">
        <v>1306</v>
      </c>
      <c r="K21" s="9" t="s">
        <v>1306</v>
      </c>
      <c r="L21">
        <v>286476.851119</v>
      </c>
      <c r="M21">
        <v>6468771.9909610003</v>
      </c>
      <c r="N21">
        <v>0</v>
      </c>
      <c r="O21">
        <v>12</v>
      </c>
      <c r="P21">
        <v>45901.769233999999</v>
      </c>
      <c r="Q21" s="9" t="s">
        <v>1384</v>
      </c>
      <c r="R21" s="9" t="s">
        <v>1385</v>
      </c>
      <c r="S21" s="9" t="s">
        <v>1309</v>
      </c>
      <c r="T21" s="9" t="s">
        <v>29</v>
      </c>
      <c r="U21" s="9" t="s">
        <v>1310</v>
      </c>
      <c r="V21" s="9" t="s">
        <v>1310</v>
      </c>
      <c r="W21" s="9" t="s">
        <v>30</v>
      </c>
      <c r="X21" s="9" t="s">
        <v>1386</v>
      </c>
      <c r="Y21" s="9">
        <f t="shared" si="0"/>
        <v>9822</v>
      </c>
      <c r="Z21" t="str">
        <f t="shared" si="1"/>
        <v>https://sig.aminerals.cl/imgdyn/rest/services/CL_MLP_PAO/CL_MLP_PAO_IF_Ortho_Transversal/ImageServer/file?id=.%5CTransversal_Aereo%5C25_02_02%5CCL_MLP_PAO_IF_Ortho_25_02_01_Transversal_TR_115.tif&amp;rasterId=9822</v>
      </c>
    </row>
    <row r="22" spans="1:26" x14ac:dyDescent="0.25">
      <c r="A22">
        <v>21</v>
      </c>
      <c r="B22" s="9" t="s">
        <v>1303</v>
      </c>
      <c r="C22" s="9" t="s">
        <v>1387</v>
      </c>
      <c r="D22">
        <v>0</v>
      </c>
      <c r="E22">
        <v>1.2</v>
      </c>
      <c r="F22">
        <v>0.1</v>
      </c>
      <c r="G22" s="12">
        <v>0.4</v>
      </c>
      <c r="H22">
        <v>1</v>
      </c>
      <c r="I22" s="9" t="s">
        <v>1305</v>
      </c>
      <c r="J22" s="9" t="s">
        <v>1306</v>
      </c>
      <c r="K22" s="9" t="s">
        <v>1306</v>
      </c>
      <c r="L22">
        <v>285490.57616599998</v>
      </c>
      <c r="M22">
        <v>6469505.2224390004</v>
      </c>
      <c r="N22">
        <v>0</v>
      </c>
      <c r="O22">
        <v>12</v>
      </c>
      <c r="P22">
        <v>45901.769235</v>
      </c>
      <c r="Q22" s="9" t="s">
        <v>1388</v>
      </c>
      <c r="R22" s="9" t="s">
        <v>1389</v>
      </c>
      <c r="S22" s="9" t="s">
        <v>1309</v>
      </c>
      <c r="T22" s="9" t="s">
        <v>29</v>
      </c>
      <c r="U22" s="9" t="s">
        <v>1310</v>
      </c>
      <c r="V22" s="9" t="s">
        <v>1310</v>
      </c>
      <c r="W22" s="9" t="s">
        <v>30</v>
      </c>
      <c r="X22" s="9" t="s">
        <v>1390</v>
      </c>
      <c r="Y22" s="9">
        <f t="shared" si="0"/>
        <v>9823</v>
      </c>
      <c r="Z22" t="str">
        <f t="shared" si="1"/>
        <v>https://sig.aminerals.cl/imgdyn/rest/services/CL_MLP_PAO/CL_MLP_PAO_IF_Ortho_Transversal/ImageServer/file?id=.%5CTransversal_Aereo%5C25_02_02%5CCL_MLP_PAO_IF_Ortho_25_02_01_Transversal_TR_116.tif&amp;rasterId=9823</v>
      </c>
    </row>
    <row r="23" spans="1:26" x14ac:dyDescent="0.25">
      <c r="A23">
        <v>22</v>
      </c>
      <c r="B23" s="9" t="s">
        <v>1303</v>
      </c>
      <c r="C23" s="9" t="s">
        <v>1391</v>
      </c>
      <c r="D23">
        <v>0</v>
      </c>
      <c r="E23">
        <v>1.2</v>
      </c>
      <c r="F23">
        <v>0.1</v>
      </c>
      <c r="G23" s="12">
        <v>0.4</v>
      </c>
      <c r="H23">
        <v>1</v>
      </c>
      <c r="I23" s="9" t="s">
        <v>1305</v>
      </c>
      <c r="J23" s="9" t="s">
        <v>1306</v>
      </c>
      <c r="K23" s="9" t="s">
        <v>1306</v>
      </c>
      <c r="L23">
        <v>284417.02714100003</v>
      </c>
      <c r="M23">
        <v>6469938.334729</v>
      </c>
      <c r="N23">
        <v>0</v>
      </c>
      <c r="O23">
        <v>12</v>
      </c>
      <c r="P23">
        <v>45901.769237</v>
      </c>
      <c r="Q23" s="9" t="s">
        <v>1392</v>
      </c>
      <c r="R23" s="9" t="s">
        <v>1393</v>
      </c>
      <c r="S23" s="9" t="s">
        <v>1309</v>
      </c>
      <c r="T23" s="9" t="s">
        <v>29</v>
      </c>
      <c r="U23" s="9" t="s">
        <v>1310</v>
      </c>
      <c r="V23" s="9" t="s">
        <v>1310</v>
      </c>
      <c r="W23" s="9" t="s">
        <v>30</v>
      </c>
      <c r="X23" s="9" t="s">
        <v>1394</v>
      </c>
      <c r="Y23" s="9">
        <f t="shared" si="0"/>
        <v>9824</v>
      </c>
      <c r="Z23" t="str">
        <f t="shared" si="1"/>
        <v>https://sig.aminerals.cl/imgdyn/rest/services/CL_MLP_PAO/CL_MLP_PAO_IF_Ortho_Transversal/ImageServer/file?id=.%5CTransversal_Aereo%5C25_02_02%5CCL_MLP_PAO_IF_Ortho_25_02_01_Transversal_TR_117.tif&amp;rasterId=9824</v>
      </c>
    </row>
    <row r="24" spans="1:26" x14ac:dyDescent="0.25">
      <c r="A24">
        <v>23</v>
      </c>
      <c r="B24" s="9" t="s">
        <v>1303</v>
      </c>
      <c r="C24" s="9" t="s">
        <v>1395</v>
      </c>
      <c r="D24">
        <v>0</v>
      </c>
      <c r="E24">
        <v>1.2</v>
      </c>
      <c r="F24">
        <v>0.1</v>
      </c>
      <c r="G24" s="12">
        <v>0.4</v>
      </c>
      <c r="H24">
        <v>1</v>
      </c>
      <c r="I24" s="9" t="s">
        <v>1305</v>
      </c>
      <c r="J24" s="9" t="s">
        <v>1306</v>
      </c>
      <c r="K24" s="9" t="s">
        <v>1306</v>
      </c>
      <c r="L24">
        <v>283565.65645900002</v>
      </c>
      <c r="M24">
        <v>6470489.011283</v>
      </c>
      <c r="N24">
        <v>0</v>
      </c>
      <c r="O24">
        <v>12</v>
      </c>
      <c r="P24">
        <v>45901.769238000001</v>
      </c>
      <c r="Q24" s="9" t="s">
        <v>1396</v>
      </c>
      <c r="R24" s="9" t="s">
        <v>1397</v>
      </c>
      <c r="S24" s="9" t="s">
        <v>1309</v>
      </c>
      <c r="T24" s="9" t="s">
        <v>29</v>
      </c>
      <c r="U24" s="9" t="s">
        <v>1310</v>
      </c>
      <c r="V24" s="9" t="s">
        <v>1310</v>
      </c>
      <c r="W24" s="9" t="s">
        <v>30</v>
      </c>
      <c r="X24" s="9" t="s">
        <v>1398</v>
      </c>
      <c r="Y24" s="9">
        <f t="shared" si="0"/>
        <v>9825</v>
      </c>
      <c r="Z24" t="str">
        <f t="shared" si="1"/>
        <v>https://sig.aminerals.cl/imgdyn/rest/services/CL_MLP_PAO/CL_MLP_PAO_IF_Ortho_Transversal/ImageServer/file?id=.%5CTransversal_Aereo%5C25_02_02%5CCL_MLP_PAO_IF_Ortho_25_02_01_Transversal_TR_118.tif&amp;rasterId=9825</v>
      </c>
    </row>
    <row r="25" spans="1:26" x14ac:dyDescent="0.25">
      <c r="A25">
        <v>24</v>
      </c>
      <c r="B25" s="9" t="s">
        <v>1303</v>
      </c>
      <c r="C25" s="9" t="s">
        <v>1399</v>
      </c>
      <c r="D25">
        <v>0</v>
      </c>
      <c r="E25">
        <v>1.2</v>
      </c>
      <c r="F25">
        <v>0.1</v>
      </c>
      <c r="G25" s="12">
        <v>0.4</v>
      </c>
      <c r="H25">
        <v>1</v>
      </c>
      <c r="I25" s="9" t="s">
        <v>1305</v>
      </c>
      <c r="J25" s="9" t="s">
        <v>1306</v>
      </c>
      <c r="K25" s="9" t="s">
        <v>1306</v>
      </c>
      <c r="L25">
        <v>282902.088865</v>
      </c>
      <c r="M25">
        <v>6471275.4313660003</v>
      </c>
      <c r="N25">
        <v>0</v>
      </c>
      <c r="O25">
        <v>12</v>
      </c>
      <c r="P25">
        <v>45901.769239000001</v>
      </c>
      <c r="Q25" s="9" t="s">
        <v>1400</v>
      </c>
      <c r="R25" s="9" t="s">
        <v>1401</v>
      </c>
      <c r="S25" s="9" t="s">
        <v>1309</v>
      </c>
      <c r="T25" s="9" t="s">
        <v>29</v>
      </c>
      <c r="U25" s="9" t="s">
        <v>1310</v>
      </c>
      <c r="V25" s="9" t="s">
        <v>1310</v>
      </c>
      <c r="W25" s="9" t="s">
        <v>30</v>
      </c>
      <c r="X25" s="9" t="s">
        <v>1402</v>
      </c>
      <c r="Y25" s="9">
        <f t="shared" si="0"/>
        <v>9826</v>
      </c>
      <c r="Z25" t="str">
        <f t="shared" si="1"/>
        <v>https://sig.aminerals.cl/imgdyn/rest/services/CL_MLP_PAO/CL_MLP_PAO_IF_Ortho_Transversal/ImageServer/file?id=.%5CTransversal_Aereo%5C25_02_02%5CCL_MLP_PAO_IF_Ortho_25_02_01_Transversal_TR_119.tif&amp;rasterId=9826</v>
      </c>
    </row>
    <row r="26" spans="1:26" x14ac:dyDescent="0.25">
      <c r="A26">
        <v>25</v>
      </c>
      <c r="B26" s="9" t="s">
        <v>1303</v>
      </c>
      <c r="C26" s="9" t="s">
        <v>1403</v>
      </c>
      <c r="D26">
        <v>0</v>
      </c>
      <c r="E26">
        <v>1.2</v>
      </c>
      <c r="F26">
        <v>0.1</v>
      </c>
      <c r="G26" s="12">
        <v>0.4</v>
      </c>
      <c r="H26">
        <v>1</v>
      </c>
      <c r="I26" s="9" t="s">
        <v>1305</v>
      </c>
      <c r="J26" s="9" t="s">
        <v>1306</v>
      </c>
      <c r="K26" s="9" t="s">
        <v>1306</v>
      </c>
      <c r="L26">
        <v>348055.11062300002</v>
      </c>
      <c r="M26">
        <v>6476837.7192360004</v>
      </c>
      <c r="N26">
        <v>0</v>
      </c>
      <c r="O26">
        <v>12</v>
      </c>
      <c r="P26">
        <v>45901.769241000002</v>
      </c>
      <c r="Q26" s="9" t="s">
        <v>1404</v>
      </c>
      <c r="R26" s="9" t="s">
        <v>1405</v>
      </c>
      <c r="S26" s="9" t="s">
        <v>1309</v>
      </c>
      <c r="T26" s="9" t="s">
        <v>29</v>
      </c>
      <c r="U26" s="9" t="s">
        <v>1310</v>
      </c>
      <c r="V26" s="9" t="s">
        <v>1310</v>
      </c>
      <c r="W26" s="9" t="s">
        <v>30</v>
      </c>
      <c r="X26" s="9" t="s">
        <v>1406</v>
      </c>
      <c r="Y26" s="9">
        <f t="shared" si="0"/>
        <v>9827</v>
      </c>
      <c r="Z26" t="str">
        <f t="shared" si="1"/>
        <v>https://sig.aminerals.cl/imgdyn/rest/services/CL_MLP_PAO/CL_MLP_PAO_IF_Ortho_Transversal/ImageServer/file?id=.%5CTransversal_Aereo%5C25_02_02%5CCL_MLP_PAO_IF_Ortho_25_02_01_Transversal_TR_12.tif&amp;rasterId=9827</v>
      </c>
    </row>
    <row r="27" spans="1:26" x14ac:dyDescent="0.25">
      <c r="A27">
        <v>26</v>
      </c>
      <c r="B27" s="9" t="s">
        <v>1303</v>
      </c>
      <c r="C27" s="9" t="s">
        <v>1407</v>
      </c>
      <c r="D27">
        <v>0</v>
      </c>
      <c r="E27">
        <v>1.2</v>
      </c>
      <c r="F27">
        <v>0.1</v>
      </c>
      <c r="G27" s="12">
        <v>0.4</v>
      </c>
      <c r="H27">
        <v>1</v>
      </c>
      <c r="I27" s="9" t="s">
        <v>1305</v>
      </c>
      <c r="J27" s="9" t="s">
        <v>1306</v>
      </c>
      <c r="K27" s="9" t="s">
        <v>1306</v>
      </c>
      <c r="L27">
        <v>282017.18313399999</v>
      </c>
      <c r="M27">
        <v>6471561.6755499998</v>
      </c>
      <c r="N27">
        <v>0</v>
      </c>
      <c r="O27">
        <v>12</v>
      </c>
      <c r="P27">
        <v>45901.769242000002</v>
      </c>
      <c r="Q27" s="9" t="s">
        <v>1408</v>
      </c>
      <c r="R27" s="9" t="s">
        <v>1409</v>
      </c>
      <c r="S27" s="9" t="s">
        <v>1309</v>
      </c>
      <c r="T27" s="9" t="s">
        <v>29</v>
      </c>
      <c r="U27" s="9" t="s">
        <v>1310</v>
      </c>
      <c r="V27" s="9" t="s">
        <v>1310</v>
      </c>
      <c r="W27" s="9" t="s">
        <v>30</v>
      </c>
      <c r="X27" s="9" t="s">
        <v>1410</v>
      </c>
      <c r="Y27" s="9">
        <f t="shared" si="0"/>
        <v>9828</v>
      </c>
      <c r="Z27" t="str">
        <f t="shared" si="1"/>
        <v>https://sig.aminerals.cl/imgdyn/rest/services/CL_MLP_PAO/CL_MLP_PAO_IF_Ortho_Transversal/ImageServer/file?id=.%5CTransversal_Aereo%5C25_02_02%5CCL_MLP_PAO_IF_Ortho_25_02_01_Transversal_TR_120.tif&amp;rasterId=9828</v>
      </c>
    </row>
    <row r="28" spans="1:26" x14ac:dyDescent="0.25">
      <c r="A28">
        <v>27</v>
      </c>
      <c r="B28" s="9" t="s">
        <v>1303</v>
      </c>
      <c r="C28" s="9" t="s">
        <v>1411</v>
      </c>
      <c r="D28">
        <v>0</v>
      </c>
      <c r="E28">
        <v>1.2</v>
      </c>
      <c r="F28">
        <v>0.1</v>
      </c>
      <c r="G28" s="12">
        <v>0.2</v>
      </c>
      <c r="H28">
        <v>1</v>
      </c>
      <c r="I28" s="9" t="s">
        <v>1305</v>
      </c>
      <c r="J28" s="9" t="s">
        <v>1306</v>
      </c>
      <c r="K28" s="9" t="s">
        <v>1306</v>
      </c>
      <c r="L28">
        <v>272001.05446199997</v>
      </c>
      <c r="M28">
        <v>6471344.6655959999</v>
      </c>
      <c r="N28">
        <v>0</v>
      </c>
      <c r="O28">
        <v>12</v>
      </c>
      <c r="P28">
        <v>45901.769244000003</v>
      </c>
      <c r="Q28" s="9" t="s">
        <v>1412</v>
      </c>
      <c r="R28" s="9" t="s">
        <v>1413</v>
      </c>
      <c r="S28" s="9" t="s">
        <v>1309</v>
      </c>
      <c r="T28" s="9" t="s">
        <v>29</v>
      </c>
      <c r="U28" s="9" t="s">
        <v>1310</v>
      </c>
      <c r="V28" s="9" t="s">
        <v>1310</v>
      </c>
      <c r="W28" s="9" t="s">
        <v>30</v>
      </c>
      <c r="X28" s="9" t="s">
        <v>1414</v>
      </c>
      <c r="Y28" s="9">
        <f t="shared" si="0"/>
        <v>9829</v>
      </c>
      <c r="Z28" t="str">
        <f t="shared" si="1"/>
        <v>https://sig.aminerals.cl/imgdyn/rest/services/CL_MLP_PAO/CL_MLP_PAO_IF_Ortho_Transversal/ImageServer/file?id=.%5CTransversal_Aereo%5C25_02_02%5CCL_MLP_PAO_IF_Ortho_25_02_01_Transversal_TR_13.tif&amp;rasterId=9829</v>
      </c>
    </row>
    <row r="29" spans="1:26" x14ac:dyDescent="0.25">
      <c r="A29">
        <v>28</v>
      </c>
      <c r="B29" s="9" t="s">
        <v>1303</v>
      </c>
      <c r="C29" s="9" t="s">
        <v>1415</v>
      </c>
      <c r="D29">
        <v>0</v>
      </c>
      <c r="E29">
        <v>1.2</v>
      </c>
      <c r="F29">
        <v>0.1</v>
      </c>
      <c r="G29" s="12">
        <v>0.4</v>
      </c>
      <c r="H29">
        <v>1</v>
      </c>
      <c r="I29" s="9" t="s">
        <v>1305</v>
      </c>
      <c r="J29" s="9" t="s">
        <v>1306</v>
      </c>
      <c r="K29" s="9" t="s">
        <v>1306</v>
      </c>
      <c r="L29">
        <v>271001.24461699999</v>
      </c>
      <c r="M29">
        <v>6471598.5852300003</v>
      </c>
      <c r="N29">
        <v>0</v>
      </c>
      <c r="O29">
        <v>12</v>
      </c>
      <c r="P29">
        <v>45901.769245000003</v>
      </c>
      <c r="Q29" s="9" t="s">
        <v>1416</v>
      </c>
      <c r="R29" s="9" t="s">
        <v>1417</v>
      </c>
      <c r="S29" s="9" t="s">
        <v>1309</v>
      </c>
      <c r="T29" s="9" t="s">
        <v>29</v>
      </c>
      <c r="U29" s="9" t="s">
        <v>1310</v>
      </c>
      <c r="V29" s="9" t="s">
        <v>1310</v>
      </c>
      <c r="W29" s="9" t="s">
        <v>30</v>
      </c>
      <c r="X29" s="9" t="s">
        <v>1418</v>
      </c>
      <c r="Y29" s="9">
        <f t="shared" si="0"/>
        <v>9830</v>
      </c>
      <c r="Z29" t="str">
        <f t="shared" si="1"/>
        <v>https://sig.aminerals.cl/imgdyn/rest/services/CL_MLP_PAO/CL_MLP_PAO_IF_Ortho_Transversal/ImageServer/file?id=.%5CTransversal_Aereo%5C25_02_02%5CCL_MLP_PAO_IF_Ortho_25_02_01_Transversal_TR_14.tif&amp;rasterId=9830</v>
      </c>
    </row>
    <row r="30" spans="1:26" x14ac:dyDescent="0.25">
      <c r="A30">
        <v>29</v>
      </c>
      <c r="B30" s="9" t="s">
        <v>1303</v>
      </c>
      <c r="C30" s="9" t="s">
        <v>1419</v>
      </c>
      <c r="D30">
        <v>0</v>
      </c>
      <c r="E30">
        <v>1.2</v>
      </c>
      <c r="F30">
        <v>0.1</v>
      </c>
      <c r="G30" s="12">
        <v>0.2</v>
      </c>
      <c r="H30">
        <v>1</v>
      </c>
      <c r="I30" s="9" t="s">
        <v>1305</v>
      </c>
      <c r="J30" s="9" t="s">
        <v>1306</v>
      </c>
      <c r="K30" s="9" t="s">
        <v>1306</v>
      </c>
      <c r="L30">
        <v>269999.06155799999</v>
      </c>
      <c r="M30">
        <v>6471708.6923890002</v>
      </c>
      <c r="N30">
        <v>0</v>
      </c>
      <c r="O30">
        <v>12</v>
      </c>
      <c r="P30">
        <v>45901.769246999997</v>
      </c>
      <c r="Q30" s="9" t="s">
        <v>1420</v>
      </c>
      <c r="R30" s="9" t="s">
        <v>1421</v>
      </c>
      <c r="S30" s="9" t="s">
        <v>1309</v>
      </c>
      <c r="T30" s="9" t="s">
        <v>29</v>
      </c>
      <c r="U30" s="9" t="s">
        <v>1310</v>
      </c>
      <c r="V30" s="9" t="s">
        <v>1310</v>
      </c>
      <c r="W30" s="9" t="s">
        <v>30</v>
      </c>
      <c r="X30" s="9" t="s">
        <v>1422</v>
      </c>
      <c r="Y30" s="9">
        <f t="shared" si="0"/>
        <v>9831</v>
      </c>
      <c r="Z30" t="str">
        <f t="shared" si="1"/>
        <v>https://sig.aminerals.cl/imgdyn/rest/services/CL_MLP_PAO/CL_MLP_PAO_IF_Ortho_Transversal/ImageServer/file?id=.%5CTransversal_Aereo%5C25_02_02%5CCL_MLP_PAO_IF_Ortho_25_02_01_Transversal_TR_15.tif&amp;rasterId=9831</v>
      </c>
    </row>
    <row r="31" spans="1:26" x14ac:dyDescent="0.25">
      <c r="A31">
        <v>30</v>
      </c>
      <c r="B31" s="9" t="s">
        <v>1303</v>
      </c>
      <c r="C31" s="9" t="s">
        <v>1423</v>
      </c>
      <c r="D31">
        <v>0</v>
      </c>
      <c r="E31">
        <v>1.2</v>
      </c>
      <c r="F31">
        <v>0.1</v>
      </c>
      <c r="G31" s="12">
        <v>0.2</v>
      </c>
      <c r="H31">
        <v>1</v>
      </c>
      <c r="I31" s="9" t="s">
        <v>1305</v>
      </c>
      <c r="J31" s="9" t="s">
        <v>1306</v>
      </c>
      <c r="K31" s="9" t="s">
        <v>1306</v>
      </c>
      <c r="L31">
        <v>269000.11028800003</v>
      </c>
      <c r="M31">
        <v>6471511.4164829999</v>
      </c>
      <c r="N31">
        <v>0</v>
      </c>
      <c r="O31">
        <v>12</v>
      </c>
      <c r="P31">
        <v>45901.769247999997</v>
      </c>
      <c r="Q31" s="9" t="s">
        <v>1424</v>
      </c>
      <c r="R31" s="9" t="s">
        <v>1425</v>
      </c>
      <c r="S31" s="9" t="s">
        <v>1309</v>
      </c>
      <c r="T31" s="9" t="s">
        <v>29</v>
      </c>
      <c r="U31" s="9" t="s">
        <v>1310</v>
      </c>
      <c r="V31" s="9" t="s">
        <v>1310</v>
      </c>
      <c r="W31" s="9" t="s">
        <v>30</v>
      </c>
      <c r="X31" s="9" t="s">
        <v>1426</v>
      </c>
      <c r="Y31" s="9">
        <f t="shared" si="0"/>
        <v>9832</v>
      </c>
      <c r="Z31" t="str">
        <f t="shared" si="1"/>
        <v>https://sig.aminerals.cl/imgdyn/rest/services/CL_MLP_PAO/CL_MLP_PAO_IF_Ortho_Transversal/ImageServer/file?id=.%5CTransversal_Aereo%5C25_02_02%5CCL_MLP_PAO_IF_Ortho_25_02_01_Transversal_TR_16.tif&amp;rasterId=9832</v>
      </c>
    </row>
    <row r="32" spans="1:26" x14ac:dyDescent="0.25">
      <c r="A32">
        <v>31</v>
      </c>
      <c r="B32" s="9" t="s">
        <v>1303</v>
      </c>
      <c r="C32" s="9" t="s">
        <v>1427</v>
      </c>
      <c r="D32">
        <v>0</v>
      </c>
      <c r="E32">
        <v>1.2</v>
      </c>
      <c r="F32">
        <v>0.1</v>
      </c>
      <c r="G32" s="12">
        <v>0.4</v>
      </c>
      <c r="H32">
        <v>1</v>
      </c>
      <c r="I32" s="9" t="s">
        <v>1305</v>
      </c>
      <c r="J32" s="9" t="s">
        <v>1306</v>
      </c>
      <c r="K32" s="9" t="s">
        <v>1306</v>
      </c>
      <c r="L32">
        <v>267989.15591500001</v>
      </c>
      <c r="M32">
        <v>6471295.209911</v>
      </c>
      <c r="N32">
        <v>0</v>
      </c>
      <c r="O32">
        <v>12</v>
      </c>
      <c r="P32">
        <v>45901.769249999998</v>
      </c>
      <c r="Q32" s="9" t="s">
        <v>1428</v>
      </c>
      <c r="R32" s="9" t="s">
        <v>1429</v>
      </c>
      <c r="S32" s="9" t="s">
        <v>1309</v>
      </c>
      <c r="T32" s="9" t="s">
        <v>29</v>
      </c>
      <c r="U32" s="9" t="s">
        <v>1310</v>
      </c>
      <c r="V32" s="9" t="s">
        <v>1310</v>
      </c>
      <c r="W32" s="9" t="s">
        <v>30</v>
      </c>
      <c r="X32" s="9" t="s">
        <v>1430</v>
      </c>
      <c r="Y32" s="9">
        <f t="shared" si="0"/>
        <v>9833</v>
      </c>
      <c r="Z32" t="str">
        <f t="shared" si="1"/>
        <v>https://sig.aminerals.cl/imgdyn/rest/services/CL_MLP_PAO/CL_MLP_PAO_IF_Ortho_Transversal/ImageServer/file?id=.%5CTransversal_Aereo%5C25_02_02%5CCL_MLP_PAO_IF_Ortho_25_02_01_Transversal_TR_17.tif&amp;rasterId=9833</v>
      </c>
    </row>
    <row r="33" spans="1:26" x14ac:dyDescent="0.25">
      <c r="A33">
        <v>32</v>
      </c>
      <c r="B33" s="9" t="s">
        <v>1303</v>
      </c>
      <c r="C33" s="9" t="s">
        <v>1431</v>
      </c>
      <c r="D33">
        <v>0</v>
      </c>
      <c r="E33">
        <v>1.2</v>
      </c>
      <c r="F33">
        <v>0.1</v>
      </c>
      <c r="G33" s="12">
        <v>0.2</v>
      </c>
      <c r="H33">
        <v>1</v>
      </c>
      <c r="I33" s="9" t="s">
        <v>1305</v>
      </c>
      <c r="J33" s="9" t="s">
        <v>1306</v>
      </c>
      <c r="K33" s="9" t="s">
        <v>1306</v>
      </c>
      <c r="L33">
        <v>267006.86654800002</v>
      </c>
      <c r="M33">
        <v>6471340.1385030001</v>
      </c>
      <c r="N33">
        <v>0</v>
      </c>
      <c r="O33">
        <v>12</v>
      </c>
      <c r="P33">
        <v>45901.769251999998</v>
      </c>
      <c r="Q33" s="9" t="s">
        <v>1432</v>
      </c>
      <c r="R33" s="9" t="s">
        <v>1433</v>
      </c>
      <c r="S33" s="9" t="s">
        <v>1309</v>
      </c>
      <c r="T33" s="9" t="s">
        <v>29</v>
      </c>
      <c r="U33" s="9" t="s">
        <v>1310</v>
      </c>
      <c r="V33" s="9" t="s">
        <v>1310</v>
      </c>
      <c r="W33" s="9" t="s">
        <v>30</v>
      </c>
      <c r="X33" s="9" t="s">
        <v>1434</v>
      </c>
      <c r="Y33" s="9">
        <f t="shared" si="0"/>
        <v>9834</v>
      </c>
      <c r="Z33" t="str">
        <f t="shared" si="1"/>
        <v>https://sig.aminerals.cl/imgdyn/rest/services/CL_MLP_PAO/CL_MLP_PAO_IF_Ortho_Transversal/ImageServer/file?id=.%5CTransversal_Aereo%5C25_02_02%5CCL_MLP_PAO_IF_Ortho_25_02_01_Transversal_TR_18.tif&amp;rasterId=9834</v>
      </c>
    </row>
    <row r="34" spans="1:26" x14ac:dyDescent="0.25">
      <c r="A34">
        <v>33</v>
      </c>
      <c r="B34" s="9" t="s">
        <v>1303</v>
      </c>
      <c r="C34" s="9" t="s">
        <v>1435</v>
      </c>
      <c r="D34">
        <v>0</v>
      </c>
      <c r="E34">
        <v>1.2</v>
      </c>
      <c r="F34">
        <v>0.1</v>
      </c>
      <c r="G34" s="12">
        <v>0.4</v>
      </c>
      <c r="H34">
        <v>1</v>
      </c>
      <c r="I34" s="9" t="s">
        <v>1305</v>
      </c>
      <c r="J34" s="9" t="s">
        <v>1306</v>
      </c>
      <c r="K34" s="9" t="s">
        <v>1306</v>
      </c>
      <c r="L34">
        <v>265991.74331400002</v>
      </c>
      <c r="M34">
        <v>6471168.9409269998</v>
      </c>
      <c r="N34">
        <v>0</v>
      </c>
      <c r="O34">
        <v>12</v>
      </c>
      <c r="P34">
        <v>45901.769252999999</v>
      </c>
      <c r="Q34" s="9" t="s">
        <v>1436</v>
      </c>
      <c r="R34" s="9" t="s">
        <v>1437</v>
      </c>
      <c r="S34" s="9" t="s">
        <v>1309</v>
      </c>
      <c r="T34" s="9" t="s">
        <v>29</v>
      </c>
      <c r="U34" s="9" t="s">
        <v>1310</v>
      </c>
      <c r="V34" s="9" t="s">
        <v>1310</v>
      </c>
      <c r="W34" s="9" t="s">
        <v>30</v>
      </c>
      <c r="X34" s="9" t="s">
        <v>1438</v>
      </c>
      <c r="Y34" s="9">
        <f t="shared" ref="Y34:Y65" si="2">VLOOKUP(C34,$A$418:$B$538,2,FALSE())</f>
        <v>9835</v>
      </c>
      <c r="Z34" t="str">
        <f t="shared" si="1"/>
        <v>https://sig.aminerals.cl/imgdyn/rest/services/CL_MLP_PAO/CL_MLP_PAO_IF_Ortho_Transversal/ImageServer/file?id=.%5CTransversal_Aereo%5C25_02_02%5CCL_MLP_PAO_IF_Ortho_25_02_01_Transversal_TR_19.tif&amp;rasterId=9835</v>
      </c>
    </row>
    <row r="35" spans="1:26" x14ac:dyDescent="0.25">
      <c r="A35">
        <v>34</v>
      </c>
      <c r="B35" s="9" t="s">
        <v>1303</v>
      </c>
      <c r="C35" s="9" t="s">
        <v>1439</v>
      </c>
      <c r="D35">
        <v>0</v>
      </c>
      <c r="E35">
        <v>1.2</v>
      </c>
      <c r="F35">
        <v>0.1</v>
      </c>
      <c r="G35" s="12">
        <v>0.4</v>
      </c>
      <c r="H35">
        <v>1</v>
      </c>
      <c r="I35" s="9" t="s">
        <v>1305</v>
      </c>
      <c r="J35" s="9" t="s">
        <v>1306</v>
      </c>
      <c r="K35" s="9" t="s">
        <v>1306</v>
      </c>
      <c r="L35">
        <v>281062.274599</v>
      </c>
      <c r="M35">
        <v>6471867.0404610001</v>
      </c>
      <c r="N35">
        <v>0</v>
      </c>
      <c r="O35">
        <v>12</v>
      </c>
      <c r="P35">
        <v>45901.769254999999</v>
      </c>
      <c r="Q35" s="9" t="s">
        <v>1440</v>
      </c>
      <c r="R35" s="9" t="s">
        <v>1441</v>
      </c>
      <c r="S35" s="9" t="s">
        <v>1309</v>
      </c>
      <c r="T35" s="9" t="s">
        <v>29</v>
      </c>
      <c r="U35" s="9" t="s">
        <v>1310</v>
      </c>
      <c r="V35" s="9" t="s">
        <v>1310</v>
      </c>
      <c r="W35" s="9" t="s">
        <v>30</v>
      </c>
      <c r="X35" s="9" t="s">
        <v>1442</v>
      </c>
      <c r="Y35" s="9">
        <f t="shared" si="2"/>
        <v>9836</v>
      </c>
      <c r="Z35" t="str">
        <f t="shared" si="1"/>
        <v>https://sig.aminerals.cl/imgdyn/rest/services/CL_MLP_PAO/CL_MLP_PAO_IF_Ortho_Transversal/ImageServer/file?id=.%5CTransversal_Aereo%5C25_02_02%5CCL_MLP_PAO_IF_Ortho_25_02_01_Transversal_TR_2.tif&amp;rasterId=9836</v>
      </c>
    </row>
    <row r="36" spans="1:26" x14ac:dyDescent="0.25">
      <c r="A36">
        <v>35</v>
      </c>
      <c r="B36" s="9" t="s">
        <v>1303</v>
      </c>
      <c r="C36" s="9" t="s">
        <v>1443</v>
      </c>
      <c r="D36">
        <v>0</v>
      </c>
      <c r="E36">
        <v>1.2</v>
      </c>
      <c r="F36">
        <v>0.1</v>
      </c>
      <c r="G36" s="12">
        <v>0.4</v>
      </c>
      <c r="H36">
        <v>1</v>
      </c>
      <c r="I36" s="9" t="s">
        <v>1305</v>
      </c>
      <c r="J36" s="9" t="s">
        <v>1306</v>
      </c>
      <c r="K36" s="9" t="s">
        <v>1306</v>
      </c>
      <c r="L36">
        <v>265015.30992500001</v>
      </c>
      <c r="M36">
        <v>6470751.7001820002</v>
      </c>
      <c r="N36">
        <v>0</v>
      </c>
      <c r="O36">
        <v>12</v>
      </c>
      <c r="P36">
        <v>45901.769256</v>
      </c>
      <c r="Q36" s="9" t="s">
        <v>1444</v>
      </c>
      <c r="R36" s="9" t="s">
        <v>1445</v>
      </c>
      <c r="S36" s="9" t="s">
        <v>1309</v>
      </c>
      <c r="T36" s="9" t="s">
        <v>29</v>
      </c>
      <c r="U36" s="9" t="s">
        <v>1310</v>
      </c>
      <c r="V36" s="9" t="s">
        <v>1310</v>
      </c>
      <c r="W36" s="9" t="s">
        <v>30</v>
      </c>
      <c r="X36" s="9" t="s">
        <v>1446</v>
      </c>
      <c r="Y36" s="9">
        <f t="shared" si="2"/>
        <v>9837</v>
      </c>
      <c r="Z36" t="str">
        <f t="shared" si="1"/>
        <v>https://sig.aminerals.cl/imgdyn/rest/services/CL_MLP_PAO/CL_MLP_PAO_IF_Ortho_Transversal/ImageServer/file?id=.%5CTransversal_Aereo%5C25_02_02%5CCL_MLP_PAO_IF_Ortho_25_02_01_Transversal_TR_20.tif&amp;rasterId=9837</v>
      </c>
    </row>
    <row r="37" spans="1:26" x14ac:dyDescent="0.25">
      <c r="A37">
        <v>36</v>
      </c>
      <c r="B37" s="9" t="s">
        <v>1303</v>
      </c>
      <c r="C37" s="9" t="s">
        <v>1447</v>
      </c>
      <c r="D37">
        <v>0</v>
      </c>
      <c r="E37">
        <v>1.2</v>
      </c>
      <c r="F37">
        <v>0.1</v>
      </c>
      <c r="G37" s="12">
        <v>0.4</v>
      </c>
      <c r="H37">
        <v>1</v>
      </c>
      <c r="I37" s="9" t="s">
        <v>1305</v>
      </c>
      <c r="J37" s="9" t="s">
        <v>1306</v>
      </c>
      <c r="K37" s="9" t="s">
        <v>1306</v>
      </c>
      <c r="L37">
        <v>264187.01551100001</v>
      </c>
      <c r="M37">
        <v>6470115.4210839998</v>
      </c>
      <c r="N37">
        <v>0</v>
      </c>
      <c r="O37">
        <v>12</v>
      </c>
      <c r="P37">
        <v>45901.769258</v>
      </c>
      <c r="Q37" s="9" t="s">
        <v>1448</v>
      </c>
      <c r="R37" s="9" t="s">
        <v>1449</v>
      </c>
      <c r="S37" s="9" t="s">
        <v>1309</v>
      </c>
      <c r="T37" s="9" t="s">
        <v>29</v>
      </c>
      <c r="U37" s="9" t="s">
        <v>1310</v>
      </c>
      <c r="V37" s="9" t="s">
        <v>1310</v>
      </c>
      <c r="W37" s="9" t="s">
        <v>30</v>
      </c>
      <c r="X37" s="9" t="s">
        <v>1450</v>
      </c>
      <c r="Y37" s="9">
        <f t="shared" si="2"/>
        <v>9838</v>
      </c>
      <c r="Z37" t="str">
        <f t="shared" si="1"/>
        <v>https://sig.aminerals.cl/imgdyn/rest/services/CL_MLP_PAO/CL_MLP_PAO_IF_Ortho_Transversal/ImageServer/file?id=.%5CTransversal_Aereo%5C25_02_02%5CCL_MLP_PAO_IF_Ortho_25_02_01_Transversal_TR_21.tif&amp;rasterId=9838</v>
      </c>
    </row>
    <row r="38" spans="1:26" x14ac:dyDescent="0.25">
      <c r="A38">
        <v>37</v>
      </c>
      <c r="B38" s="9" t="s">
        <v>1303</v>
      </c>
      <c r="C38" s="9" t="s">
        <v>1451</v>
      </c>
      <c r="D38">
        <v>0</v>
      </c>
      <c r="E38">
        <v>1</v>
      </c>
      <c r="F38">
        <v>0.1</v>
      </c>
      <c r="G38" s="12">
        <v>0.1</v>
      </c>
      <c r="H38">
        <v>1</v>
      </c>
      <c r="I38" s="9" t="s">
        <v>1305</v>
      </c>
      <c r="J38" s="9" t="s">
        <v>1306</v>
      </c>
      <c r="K38" s="9" t="s">
        <v>1306</v>
      </c>
      <c r="L38">
        <v>263785.67924199998</v>
      </c>
      <c r="M38">
        <v>6469528.4648289997</v>
      </c>
      <c r="N38">
        <v>0</v>
      </c>
      <c r="O38">
        <v>12</v>
      </c>
      <c r="P38">
        <v>45901.769259000001</v>
      </c>
      <c r="Q38" s="9" t="s">
        <v>1452</v>
      </c>
      <c r="R38" s="9" t="s">
        <v>1453</v>
      </c>
      <c r="S38" s="9" t="s">
        <v>1309</v>
      </c>
      <c r="T38" s="9" t="s">
        <v>29</v>
      </c>
      <c r="U38" s="9" t="s">
        <v>1310</v>
      </c>
      <c r="V38" s="9" t="s">
        <v>1310</v>
      </c>
      <c r="W38" s="9" t="s">
        <v>30</v>
      </c>
      <c r="X38" s="9" t="s">
        <v>1454</v>
      </c>
      <c r="Y38" s="9">
        <f t="shared" si="2"/>
        <v>9839</v>
      </c>
      <c r="Z38" t="str">
        <f t="shared" si="1"/>
        <v>https://sig.aminerals.cl/imgdyn/rest/services/CL_MLP_PAO/CL_MLP_PAO_IF_Ortho_Transversal/ImageServer/file?id=.%5CTransversal_Aereo%5C25_02_02%5CCL_MLP_PAO_IF_Ortho_25_02_01_Transversal_TR_22.tif&amp;rasterId=9839</v>
      </c>
    </row>
    <row r="39" spans="1:26" x14ac:dyDescent="0.25">
      <c r="A39">
        <v>38</v>
      </c>
      <c r="B39" s="9" t="s">
        <v>1303</v>
      </c>
      <c r="C39" s="9" t="s">
        <v>1455</v>
      </c>
      <c r="D39">
        <v>0</v>
      </c>
      <c r="E39">
        <v>1.2</v>
      </c>
      <c r="F39">
        <v>0.1</v>
      </c>
      <c r="G39" s="12">
        <v>0.4</v>
      </c>
      <c r="H39">
        <v>1</v>
      </c>
      <c r="I39" s="9" t="s">
        <v>1305</v>
      </c>
      <c r="J39" s="9" t="s">
        <v>1306</v>
      </c>
      <c r="K39" s="9" t="s">
        <v>1306</v>
      </c>
      <c r="L39">
        <v>348883.38877600001</v>
      </c>
      <c r="M39">
        <v>6477099.7477879999</v>
      </c>
      <c r="N39">
        <v>0</v>
      </c>
      <c r="O39">
        <v>12</v>
      </c>
      <c r="P39">
        <v>45901.769260000001</v>
      </c>
      <c r="Q39" s="9" t="s">
        <v>1456</v>
      </c>
      <c r="R39" s="9" t="s">
        <v>1457</v>
      </c>
      <c r="S39" s="9" t="s">
        <v>1309</v>
      </c>
      <c r="T39" s="9" t="s">
        <v>29</v>
      </c>
      <c r="U39" s="9" t="s">
        <v>1310</v>
      </c>
      <c r="V39" s="9" t="s">
        <v>1310</v>
      </c>
      <c r="W39" s="9" t="s">
        <v>30</v>
      </c>
      <c r="X39" s="9" t="s">
        <v>1458</v>
      </c>
      <c r="Y39" s="9">
        <f t="shared" si="2"/>
        <v>9840</v>
      </c>
      <c r="Z39" t="str">
        <f t="shared" si="1"/>
        <v>https://sig.aminerals.cl/imgdyn/rest/services/CL_MLP_PAO/CL_MLP_PAO_IF_Ortho_Transversal/ImageServer/file?id=.%5CTransversal_Aereo%5C25_02_02%5CCL_MLP_PAO_IF_Ortho_25_02_01_Transversal_TR_23.tif&amp;rasterId=9840</v>
      </c>
    </row>
    <row r="40" spans="1:26" x14ac:dyDescent="0.25">
      <c r="A40">
        <v>39</v>
      </c>
      <c r="B40" s="9" t="s">
        <v>1303</v>
      </c>
      <c r="C40" s="9" t="s">
        <v>1459</v>
      </c>
      <c r="D40">
        <v>0</v>
      </c>
      <c r="E40">
        <v>1.2</v>
      </c>
      <c r="F40">
        <v>0.1</v>
      </c>
      <c r="G40" s="12">
        <v>0.4</v>
      </c>
      <c r="H40">
        <v>1</v>
      </c>
      <c r="I40" s="9" t="s">
        <v>1305</v>
      </c>
      <c r="J40" s="9" t="s">
        <v>1306</v>
      </c>
      <c r="K40" s="9" t="s">
        <v>1306</v>
      </c>
      <c r="L40">
        <v>264895.57290099998</v>
      </c>
      <c r="M40">
        <v>6467891.5881740004</v>
      </c>
      <c r="N40">
        <v>0</v>
      </c>
      <c r="O40">
        <v>12</v>
      </c>
      <c r="P40">
        <v>45901.769262000002</v>
      </c>
      <c r="Q40" s="9" t="s">
        <v>1460</v>
      </c>
      <c r="R40" s="9" t="s">
        <v>1461</v>
      </c>
      <c r="S40" s="9" t="s">
        <v>1309</v>
      </c>
      <c r="T40" s="9" t="s">
        <v>29</v>
      </c>
      <c r="U40" s="9" t="s">
        <v>1310</v>
      </c>
      <c r="V40" s="9" t="s">
        <v>1310</v>
      </c>
      <c r="W40" s="9" t="s">
        <v>30</v>
      </c>
      <c r="X40" s="9" t="s">
        <v>1462</v>
      </c>
      <c r="Y40" s="9">
        <f t="shared" si="2"/>
        <v>9841</v>
      </c>
      <c r="Z40" t="str">
        <f t="shared" si="1"/>
        <v>https://sig.aminerals.cl/imgdyn/rest/services/CL_MLP_PAO/CL_MLP_PAO_IF_Ortho_Transversal/ImageServer/file?id=.%5CTransversal_Aereo%5C25_02_02%5CCL_MLP_PAO_IF_Ortho_25_02_01_Transversal_TR_24.tif&amp;rasterId=9841</v>
      </c>
    </row>
    <row r="41" spans="1:26" x14ac:dyDescent="0.25">
      <c r="A41">
        <v>40</v>
      </c>
      <c r="B41" s="9" t="s">
        <v>1303</v>
      </c>
      <c r="C41" s="9" t="s">
        <v>1463</v>
      </c>
      <c r="D41">
        <v>0</v>
      </c>
      <c r="E41">
        <v>1</v>
      </c>
      <c r="F41">
        <v>0.1</v>
      </c>
      <c r="G41" s="12">
        <v>0.1</v>
      </c>
      <c r="H41">
        <v>1</v>
      </c>
      <c r="I41" s="9" t="s">
        <v>1305</v>
      </c>
      <c r="J41" s="9" t="s">
        <v>1306</v>
      </c>
      <c r="K41" s="9" t="s">
        <v>1306</v>
      </c>
      <c r="L41">
        <v>273860.99098200002</v>
      </c>
      <c r="M41">
        <v>6471285.6146269999</v>
      </c>
      <c r="N41">
        <v>0</v>
      </c>
      <c r="O41">
        <v>12</v>
      </c>
      <c r="P41">
        <v>45901.769263000002</v>
      </c>
      <c r="Q41" s="9" t="s">
        <v>1464</v>
      </c>
      <c r="R41" s="9" t="s">
        <v>1465</v>
      </c>
      <c r="S41" s="9" t="s">
        <v>1309</v>
      </c>
      <c r="T41" s="9" t="s">
        <v>29</v>
      </c>
      <c r="U41" s="9" t="s">
        <v>1310</v>
      </c>
      <c r="V41" s="9" t="s">
        <v>1310</v>
      </c>
      <c r="W41" s="9" t="s">
        <v>30</v>
      </c>
      <c r="X41" s="9" t="s">
        <v>1466</v>
      </c>
      <c r="Y41" s="9">
        <f t="shared" si="2"/>
        <v>9842</v>
      </c>
      <c r="Z41" t="str">
        <f t="shared" si="1"/>
        <v>https://sig.aminerals.cl/imgdyn/rest/services/CL_MLP_PAO/CL_MLP_PAO_IF_Ortho_Transversal/ImageServer/file?id=.%5CTransversal_Aereo%5C25_02_02%5CCL_MLP_PAO_IF_Ortho_25_02_01_Transversal_TR_25.tif&amp;rasterId=9842</v>
      </c>
    </row>
    <row r="42" spans="1:26" x14ac:dyDescent="0.25">
      <c r="A42">
        <v>41</v>
      </c>
      <c r="B42" s="9" t="s">
        <v>1303</v>
      </c>
      <c r="C42" s="9" t="s">
        <v>1467</v>
      </c>
      <c r="D42">
        <v>0</v>
      </c>
      <c r="E42">
        <v>1.2</v>
      </c>
      <c r="F42">
        <v>0.1</v>
      </c>
      <c r="G42" s="12">
        <v>0.4</v>
      </c>
      <c r="H42">
        <v>1</v>
      </c>
      <c r="I42" s="9" t="s">
        <v>1305</v>
      </c>
      <c r="J42" s="9" t="s">
        <v>1306</v>
      </c>
      <c r="K42" s="9" t="s">
        <v>1306</v>
      </c>
      <c r="L42">
        <v>346993.44028500002</v>
      </c>
      <c r="M42">
        <v>6475738.2786429999</v>
      </c>
      <c r="N42">
        <v>0</v>
      </c>
      <c r="O42">
        <v>12</v>
      </c>
      <c r="P42">
        <v>45901.769265000003</v>
      </c>
      <c r="Q42" s="9" t="s">
        <v>1468</v>
      </c>
      <c r="R42" s="9" t="s">
        <v>1469</v>
      </c>
      <c r="S42" s="9" t="s">
        <v>1309</v>
      </c>
      <c r="T42" s="9" t="s">
        <v>29</v>
      </c>
      <c r="U42" s="9" t="s">
        <v>1310</v>
      </c>
      <c r="V42" s="9" t="s">
        <v>1310</v>
      </c>
      <c r="W42" s="9" t="s">
        <v>30</v>
      </c>
      <c r="X42" s="9" t="s">
        <v>1470</v>
      </c>
      <c r="Y42" s="9">
        <f t="shared" si="2"/>
        <v>9843</v>
      </c>
      <c r="Z42" t="str">
        <f t="shared" si="1"/>
        <v>https://sig.aminerals.cl/imgdyn/rest/services/CL_MLP_PAO/CL_MLP_PAO_IF_Ortho_Transversal/ImageServer/file?id=.%5CTransversal_Aereo%5C25_02_02%5CCL_MLP_PAO_IF_Ortho_25_02_01_Transversal_TR_26.tif&amp;rasterId=9843</v>
      </c>
    </row>
    <row r="43" spans="1:26" x14ac:dyDescent="0.25">
      <c r="A43">
        <v>42</v>
      </c>
      <c r="B43" s="9" t="s">
        <v>1303</v>
      </c>
      <c r="C43" s="9" t="s">
        <v>1471</v>
      </c>
      <c r="D43">
        <v>0</v>
      </c>
      <c r="E43">
        <v>1.2</v>
      </c>
      <c r="F43">
        <v>0.1</v>
      </c>
      <c r="G43" s="12">
        <v>0.4</v>
      </c>
      <c r="H43">
        <v>1</v>
      </c>
      <c r="I43" s="9" t="s">
        <v>1305</v>
      </c>
      <c r="J43" s="9" t="s">
        <v>1306</v>
      </c>
      <c r="K43" s="9" t="s">
        <v>1306</v>
      </c>
      <c r="L43">
        <v>346948.77173799998</v>
      </c>
      <c r="M43">
        <v>6474701.4692050004</v>
      </c>
      <c r="N43">
        <v>0</v>
      </c>
      <c r="O43">
        <v>12</v>
      </c>
      <c r="P43">
        <v>45901.769266000003</v>
      </c>
      <c r="Q43" s="9" t="s">
        <v>1472</v>
      </c>
      <c r="R43" s="9" t="s">
        <v>1473</v>
      </c>
      <c r="S43" s="9" t="s">
        <v>1309</v>
      </c>
      <c r="T43" s="9" t="s">
        <v>29</v>
      </c>
      <c r="U43" s="9" t="s">
        <v>1310</v>
      </c>
      <c r="V43" s="9" t="s">
        <v>1310</v>
      </c>
      <c r="W43" s="9" t="s">
        <v>30</v>
      </c>
      <c r="X43" s="9" t="s">
        <v>1474</v>
      </c>
      <c r="Y43" s="9">
        <f t="shared" si="2"/>
        <v>9844</v>
      </c>
      <c r="Z43" t="str">
        <f t="shared" si="1"/>
        <v>https://sig.aminerals.cl/imgdyn/rest/services/CL_MLP_PAO/CL_MLP_PAO_IF_Ortho_Transversal/ImageServer/file?id=.%5CTransversal_Aereo%5C25_02_02%5CCL_MLP_PAO_IF_Ortho_25_02_01_Transversal_TR_27.tif&amp;rasterId=9844</v>
      </c>
    </row>
    <row r="44" spans="1:26" x14ac:dyDescent="0.25">
      <c r="A44">
        <v>43</v>
      </c>
      <c r="B44" s="9" t="s">
        <v>1303</v>
      </c>
      <c r="C44" s="9" t="s">
        <v>1475</v>
      </c>
      <c r="D44">
        <v>0</v>
      </c>
      <c r="E44">
        <v>1.2</v>
      </c>
      <c r="F44">
        <v>0.1</v>
      </c>
      <c r="G44" s="12">
        <v>0.4</v>
      </c>
      <c r="H44">
        <v>1</v>
      </c>
      <c r="I44" s="9" t="s">
        <v>1305</v>
      </c>
      <c r="J44" s="9" t="s">
        <v>1306</v>
      </c>
      <c r="K44" s="9" t="s">
        <v>1306</v>
      </c>
      <c r="L44">
        <v>346465.72378200002</v>
      </c>
      <c r="M44">
        <v>6473656.054366</v>
      </c>
      <c r="N44">
        <v>0</v>
      </c>
      <c r="O44">
        <v>12</v>
      </c>
      <c r="P44">
        <v>45901.769267999996</v>
      </c>
      <c r="Q44" s="9" t="s">
        <v>1476</v>
      </c>
      <c r="R44" s="9" t="s">
        <v>1477</v>
      </c>
      <c r="S44" s="9" t="s">
        <v>1309</v>
      </c>
      <c r="T44" s="9" t="s">
        <v>29</v>
      </c>
      <c r="U44" s="9" t="s">
        <v>1310</v>
      </c>
      <c r="V44" s="9" t="s">
        <v>1310</v>
      </c>
      <c r="W44" s="9" t="s">
        <v>30</v>
      </c>
      <c r="X44" s="9" t="s">
        <v>1478</v>
      </c>
      <c r="Y44" s="9">
        <f t="shared" si="2"/>
        <v>9845</v>
      </c>
      <c r="Z44" t="str">
        <f t="shared" si="1"/>
        <v>https://sig.aminerals.cl/imgdyn/rest/services/CL_MLP_PAO/CL_MLP_PAO_IF_Ortho_Transversal/ImageServer/file?id=.%5CTransversal_Aereo%5C25_02_02%5CCL_MLP_PAO_IF_Ortho_25_02_01_Transversal_TR_28.tif&amp;rasterId=9845</v>
      </c>
    </row>
    <row r="45" spans="1:26" x14ac:dyDescent="0.25">
      <c r="A45">
        <v>44</v>
      </c>
      <c r="B45" s="9" t="s">
        <v>1303</v>
      </c>
      <c r="C45" s="9" t="s">
        <v>1479</v>
      </c>
      <c r="D45">
        <v>0</v>
      </c>
      <c r="E45">
        <v>1.2</v>
      </c>
      <c r="F45">
        <v>0.1</v>
      </c>
      <c r="G45" s="12">
        <v>0.4</v>
      </c>
      <c r="H45">
        <v>1</v>
      </c>
      <c r="I45" s="9" t="s">
        <v>1305</v>
      </c>
      <c r="J45" s="9" t="s">
        <v>1306</v>
      </c>
      <c r="K45" s="9" t="s">
        <v>1306</v>
      </c>
      <c r="L45">
        <v>346215.86002600001</v>
      </c>
      <c r="M45">
        <v>6472764.5733270003</v>
      </c>
      <c r="N45">
        <v>0</v>
      </c>
      <c r="O45">
        <v>12</v>
      </c>
      <c r="P45">
        <v>45901.769268999997</v>
      </c>
      <c r="Q45" s="9" t="s">
        <v>1480</v>
      </c>
      <c r="R45" s="9" t="s">
        <v>1481</v>
      </c>
      <c r="S45" s="9" t="s">
        <v>1309</v>
      </c>
      <c r="T45" s="9" t="s">
        <v>29</v>
      </c>
      <c r="U45" s="9" t="s">
        <v>1310</v>
      </c>
      <c r="V45" s="9" t="s">
        <v>1310</v>
      </c>
      <c r="W45" s="9" t="s">
        <v>30</v>
      </c>
      <c r="X45" s="9" t="s">
        <v>1482</v>
      </c>
      <c r="Y45" s="9">
        <f t="shared" si="2"/>
        <v>9846</v>
      </c>
      <c r="Z45" t="str">
        <f t="shared" si="1"/>
        <v>https://sig.aminerals.cl/imgdyn/rest/services/CL_MLP_PAO/CL_MLP_PAO_IF_Ortho_Transversal/ImageServer/file?id=.%5CTransversal_Aereo%5C25_02_02%5CCL_MLP_PAO_IF_Ortho_25_02_01_Transversal_TR_29.tif&amp;rasterId=9846</v>
      </c>
    </row>
    <row r="46" spans="1:26" x14ac:dyDescent="0.25">
      <c r="A46">
        <v>45</v>
      </c>
      <c r="B46" s="9" t="s">
        <v>1303</v>
      </c>
      <c r="C46" s="9" t="s">
        <v>1483</v>
      </c>
      <c r="D46">
        <v>0</v>
      </c>
      <c r="E46">
        <v>1.2</v>
      </c>
      <c r="F46">
        <v>0.1</v>
      </c>
      <c r="G46" s="12">
        <v>0.4</v>
      </c>
      <c r="H46">
        <v>1</v>
      </c>
      <c r="I46" s="9" t="s">
        <v>1305</v>
      </c>
      <c r="J46" s="9" t="s">
        <v>1306</v>
      </c>
      <c r="K46" s="9" t="s">
        <v>1306</v>
      </c>
      <c r="L46">
        <v>280005.88566799997</v>
      </c>
      <c r="M46">
        <v>6472023.7493799999</v>
      </c>
      <c r="N46">
        <v>0</v>
      </c>
      <c r="O46">
        <v>12</v>
      </c>
      <c r="P46">
        <v>45901.769270999997</v>
      </c>
      <c r="Q46" s="9" t="s">
        <v>1484</v>
      </c>
      <c r="R46" s="9" t="s">
        <v>1485</v>
      </c>
      <c r="S46" s="9" t="s">
        <v>1309</v>
      </c>
      <c r="T46" s="9" t="s">
        <v>29</v>
      </c>
      <c r="U46" s="9" t="s">
        <v>1310</v>
      </c>
      <c r="V46" s="9" t="s">
        <v>1310</v>
      </c>
      <c r="W46" s="9" t="s">
        <v>30</v>
      </c>
      <c r="X46" s="9" t="s">
        <v>1486</v>
      </c>
      <c r="Y46" s="9">
        <f t="shared" si="2"/>
        <v>9847</v>
      </c>
      <c r="Z46" t="str">
        <f t="shared" si="1"/>
        <v>https://sig.aminerals.cl/imgdyn/rest/services/CL_MLP_PAO/CL_MLP_PAO_IF_Ortho_Transversal/ImageServer/file?id=.%5CTransversal_Aereo%5C25_02_02%5CCL_MLP_PAO_IF_Ortho_25_02_01_Transversal_TR_3.tif&amp;rasterId=9847</v>
      </c>
    </row>
    <row r="47" spans="1:26" x14ac:dyDescent="0.25">
      <c r="A47">
        <v>46</v>
      </c>
      <c r="B47" s="9" t="s">
        <v>1303</v>
      </c>
      <c r="C47" s="9" t="s">
        <v>1487</v>
      </c>
      <c r="D47">
        <v>0</v>
      </c>
      <c r="E47">
        <v>1.2</v>
      </c>
      <c r="F47">
        <v>0.1</v>
      </c>
      <c r="G47" s="12">
        <v>0.4</v>
      </c>
      <c r="H47">
        <v>1</v>
      </c>
      <c r="I47" s="9" t="s">
        <v>1305</v>
      </c>
      <c r="J47" s="9" t="s">
        <v>1306</v>
      </c>
      <c r="K47" s="9" t="s">
        <v>1306</v>
      </c>
      <c r="L47">
        <v>345768.39102400001</v>
      </c>
      <c r="M47">
        <v>6471667.8343629995</v>
      </c>
      <c r="N47">
        <v>0</v>
      </c>
      <c r="O47">
        <v>12</v>
      </c>
      <c r="P47">
        <v>45901.769272999998</v>
      </c>
      <c r="Q47" s="9" t="s">
        <v>1488</v>
      </c>
      <c r="R47" s="9" t="s">
        <v>1489</v>
      </c>
      <c r="S47" s="9" t="s">
        <v>1309</v>
      </c>
      <c r="T47" s="9" t="s">
        <v>29</v>
      </c>
      <c r="U47" s="9" t="s">
        <v>1310</v>
      </c>
      <c r="V47" s="9" t="s">
        <v>1310</v>
      </c>
      <c r="W47" s="9" t="s">
        <v>30</v>
      </c>
      <c r="X47" s="9" t="s">
        <v>1490</v>
      </c>
      <c r="Y47" s="9">
        <f t="shared" si="2"/>
        <v>9848</v>
      </c>
      <c r="Z47" t="str">
        <f t="shared" si="1"/>
        <v>https://sig.aminerals.cl/imgdyn/rest/services/CL_MLP_PAO/CL_MLP_PAO_IF_Ortho_Transversal/ImageServer/file?id=.%5CTransversal_Aereo%5C25_02_02%5CCL_MLP_PAO_IF_Ortho_25_02_01_Transversal_TR_30.tif&amp;rasterId=9848</v>
      </c>
    </row>
    <row r="48" spans="1:26" x14ac:dyDescent="0.25">
      <c r="A48">
        <v>47</v>
      </c>
      <c r="B48" s="9" t="s">
        <v>1303</v>
      </c>
      <c r="C48" s="9" t="s">
        <v>1491</v>
      </c>
      <c r="D48">
        <v>0</v>
      </c>
      <c r="E48">
        <v>1.2</v>
      </c>
      <c r="F48">
        <v>0.1</v>
      </c>
      <c r="G48" s="12">
        <v>0.2</v>
      </c>
      <c r="H48">
        <v>1</v>
      </c>
      <c r="I48" s="9" t="s">
        <v>1305</v>
      </c>
      <c r="J48" s="9" t="s">
        <v>1306</v>
      </c>
      <c r="K48" s="9" t="s">
        <v>1306</v>
      </c>
      <c r="L48">
        <v>345087.79427900002</v>
      </c>
      <c r="M48">
        <v>6470957.0525580002</v>
      </c>
      <c r="N48">
        <v>0</v>
      </c>
      <c r="O48">
        <v>12</v>
      </c>
      <c r="P48">
        <v>45901.769273999998</v>
      </c>
      <c r="Q48" s="9" t="s">
        <v>1492</v>
      </c>
      <c r="R48" s="9" t="s">
        <v>1493</v>
      </c>
      <c r="S48" s="9" t="s">
        <v>1309</v>
      </c>
      <c r="T48" s="9" t="s">
        <v>29</v>
      </c>
      <c r="U48" s="9" t="s">
        <v>1310</v>
      </c>
      <c r="V48" s="9" t="s">
        <v>1310</v>
      </c>
      <c r="W48" s="9" t="s">
        <v>30</v>
      </c>
      <c r="X48" s="9" t="s">
        <v>1494</v>
      </c>
      <c r="Y48" s="9">
        <f t="shared" si="2"/>
        <v>9849</v>
      </c>
      <c r="Z48" t="str">
        <f t="shared" si="1"/>
        <v>https://sig.aminerals.cl/imgdyn/rest/services/CL_MLP_PAO/CL_MLP_PAO_IF_Ortho_Transversal/ImageServer/file?id=.%5CTransversal_Aereo%5C25_02_02%5CCL_MLP_PAO_IF_Ortho_25_02_01_Transversal_TR_31.tif&amp;rasterId=9849</v>
      </c>
    </row>
    <row r="49" spans="1:26" x14ac:dyDescent="0.25">
      <c r="A49">
        <v>48</v>
      </c>
      <c r="B49" s="9" t="s">
        <v>1303</v>
      </c>
      <c r="C49" s="9" t="s">
        <v>1495</v>
      </c>
      <c r="D49">
        <v>0</v>
      </c>
      <c r="E49">
        <v>1.2</v>
      </c>
      <c r="F49">
        <v>0.1</v>
      </c>
      <c r="G49" s="12">
        <v>0.4</v>
      </c>
      <c r="H49">
        <v>1</v>
      </c>
      <c r="I49" s="9" t="s">
        <v>1305</v>
      </c>
      <c r="J49" s="9" t="s">
        <v>1306</v>
      </c>
      <c r="K49" s="9" t="s">
        <v>1306</v>
      </c>
      <c r="L49">
        <v>344233.43447699997</v>
      </c>
      <c r="M49">
        <v>6470394.4006390003</v>
      </c>
      <c r="N49">
        <v>0</v>
      </c>
      <c r="O49">
        <v>12</v>
      </c>
      <c r="P49">
        <v>45901.769274999999</v>
      </c>
      <c r="Q49" s="13" t="s">
        <v>1496</v>
      </c>
      <c r="R49" s="9" t="s">
        <v>1497</v>
      </c>
      <c r="S49" s="9" t="s">
        <v>1309</v>
      </c>
      <c r="T49" s="9" t="s">
        <v>29</v>
      </c>
      <c r="U49" s="9" t="s">
        <v>1310</v>
      </c>
      <c r="V49" s="9" t="s">
        <v>1310</v>
      </c>
      <c r="W49" s="9" t="s">
        <v>30</v>
      </c>
      <c r="X49" s="9" t="s">
        <v>1498</v>
      </c>
      <c r="Y49" s="9">
        <f t="shared" si="2"/>
        <v>9850</v>
      </c>
      <c r="Z49" t="str">
        <f t="shared" si="1"/>
        <v>https://sig.aminerals.cl/imgdyn/rest/services/CL_MLP_PAO/CL_MLP_PAO_IF_Ortho_Transversal/ImageServer/file?id=.%5CTransversal_Aereo%5C25_02_02%5CCL_MLP_PAO_IF_Ortho_25_02_01_Transversal_TR_32.tif&amp;rasterId=9850</v>
      </c>
    </row>
    <row r="50" spans="1:26" x14ac:dyDescent="0.25">
      <c r="A50">
        <v>49</v>
      </c>
      <c r="B50" s="9" t="s">
        <v>1303</v>
      </c>
      <c r="C50" s="9" t="s">
        <v>1499</v>
      </c>
      <c r="D50">
        <v>0</v>
      </c>
      <c r="E50">
        <v>1.2</v>
      </c>
      <c r="F50">
        <v>0.1</v>
      </c>
      <c r="G50" s="12">
        <v>0.4</v>
      </c>
      <c r="H50">
        <v>1</v>
      </c>
      <c r="I50" s="9" t="s">
        <v>1305</v>
      </c>
      <c r="J50" s="9" t="s">
        <v>1306</v>
      </c>
      <c r="K50" s="9" t="s">
        <v>1306</v>
      </c>
      <c r="L50">
        <v>350111.01986900001</v>
      </c>
      <c r="M50">
        <v>6479620.6656590002</v>
      </c>
      <c r="N50">
        <v>0</v>
      </c>
      <c r="O50">
        <v>12</v>
      </c>
      <c r="P50">
        <v>45901.769276999999</v>
      </c>
      <c r="Q50" s="9" t="s">
        <v>1500</v>
      </c>
      <c r="R50" s="9" t="s">
        <v>1501</v>
      </c>
      <c r="S50" s="9" t="s">
        <v>1309</v>
      </c>
      <c r="T50" s="9" t="s">
        <v>29</v>
      </c>
      <c r="U50" s="9" t="s">
        <v>1310</v>
      </c>
      <c r="V50" s="9" t="s">
        <v>1310</v>
      </c>
      <c r="W50" s="9" t="s">
        <v>30</v>
      </c>
      <c r="X50" s="9" t="s">
        <v>1502</v>
      </c>
      <c r="Y50" s="9">
        <f t="shared" si="2"/>
        <v>9851</v>
      </c>
      <c r="Z50" t="str">
        <f t="shared" si="1"/>
        <v>https://sig.aminerals.cl/imgdyn/rest/services/CL_MLP_PAO/CL_MLP_PAO_IF_Ortho_Transversal/ImageServer/file?id=.%5CTransversal_Aereo%5C25_02_02%5CCL_MLP_PAO_IF_Ortho_25_02_01_Transversal_TR_33.tif&amp;rasterId=9851</v>
      </c>
    </row>
    <row r="51" spans="1:26" x14ac:dyDescent="0.25">
      <c r="A51">
        <v>50</v>
      </c>
      <c r="B51" s="9" t="s">
        <v>1303</v>
      </c>
      <c r="C51" s="9" t="s">
        <v>1503</v>
      </c>
      <c r="D51">
        <v>0</v>
      </c>
      <c r="E51">
        <v>1.2</v>
      </c>
      <c r="F51">
        <v>0.1</v>
      </c>
      <c r="G51" s="12">
        <v>0.4</v>
      </c>
      <c r="H51">
        <v>1</v>
      </c>
      <c r="I51" s="9" t="s">
        <v>1305</v>
      </c>
      <c r="J51" s="9" t="s">
        <v>1306</v>
      </c>
      <c r="K51" s="9" t="s">
        <v>1306</v>
      </c>
      <c r="L51">
        <v>343195.16900300002</v>
      </c>
      <c r="M51">
        <v>6470235.6608370002</v>
      </c>
      <c r="N51">
        <v>0</v>
      </c>
      <c r="O51">
        <v>12</v>
      </c>
      <c r="P51">
        <v>45901.769278</v>
      </c>
      <c r="Q51" s="9" t="s">
        <v>1504</v>
      </c>
      <c r="R51" s="9" t="s">
        <v>1505</v>
      </c>
      <c r="S51" s="9" t="s">
        <v>1309</v>
      </c>
      <c r="T51" s="9" t="s">
        <v>29</v>
      </c>
      <c r="U51" s="9" t="s">
        <v>1310</v>
      </c>
      <c r="V51" s="9" t="s">
        <v>1310</v>
      </c>
      <c r="W51" s="9" t="s">
        <v>30</v>
      </c>
      <c r="X51" s="9" t="s">
        <v>1506</v>
      </c>
      <c r="Y51" s="9">
        <f t="shared" si="2"/>
        <v>9852</v>
      </c>
      <c r="Z51" t="str">
        <f t="shared" si="1"/>
        <v>https://sig.aminerals.cl/imgdyn/rest/services/CL_MLP_PAO/CL_MLP_PAO_IF_Ortho_Transversal/ImageServer/file?id=.%5CTransversal_Aereo%5C25_02_02%5CCL_MLP_PAO_IF_Ortho_25_02_01_Transversal_TR_34.tif&amp;rasterId=9852</v>
      </c>
    </row>
    <row r="52" spans="1:26" x14ac:dyDescent="0.25">
      <c r="A52">
        <v>51</v>
      </c>
      <c r="B52" s="9" t="s">
        <v>1303</v>
      </c>
      <c r="C52" s="9" t="s">
        <v>1507</v>
      </c>
      <c r="D52">
        <v>0</v>
      </c>
      <c r="E52">
        <v>1.2</v>
      </c>
      <c r="F52">
        <v>0.1</v>
      </c>
      <c r="G52" s="12">
        <v>0.4</v>
      </c>
      <c r="H52">
        <v>1</v>
      </c>
      <c r="I52" s="9" t="s">
        <v>1305</v>
      </c>
      <c r="J52" s="9" t="s">
        <v>1306</v>
      </c>
      <c r="K52" s="9" t="s">
        <v>1306</v>
      </c>
      <c r="L52">
        <v>342204.15278599999</v>
      </c>
      <c r="M52">
        <v>6470147.3306999998</v>
      </c>
      <c r="N52">
        <v>0</v>
      </c>
      <c r="O52">
        <v>12</v>
      </c>
      <c r="P52">
        <v>45901.76928</v>
      </c>
      <c r="Q52" s="9" t="s">
        <v>1508</v>
      </c>
      <c r="R52" s="9" t="s">
        <v>1509</v>
      </c>
      <c r="S52" s="9" t="s">
        <v>1309</v>
      </c>
      <c r="T52" s="9" t="s">
        <v>29</v>
      </c>
      <c r="U52" s="9" t="s">
        <v>1310</v>
      </c>
      <c r="V52" s="9" t="s">
        <v>1310</v>
      </c>
      <c r="W52" s="9" t="s">
        <v>30</v>
      </c>
      <c r="X52" s="9" t="s">
        <v>1510</v>
      </c>
      <c r="Y52" s="9">
        <f t="shared" si="2"/>
        <v>9853</v>
      </c>
      <c r="Z52" t="str">
        <f t="shared" si="1"/>
        <v>https://sig.aminerals.cl/imgdyn/rest/services/CL_MLP_PAO/CL_MLP_PAO_IF_Ortho_Transversal/ImageServer/file?id=.%5CTransversal_Aereo%5C25_02_02%5CCL_MLP_PAO_IF_Ortho_25_02_01_Transversal_TR_35.tif&amp;rasterId=9853</v>
      </c>
    </row>
    <row r="53" spans="1:26" x14ac:dyDescent="0.25">
      <c r="A53">
        <v>52</v>
      </c>
      <c r="B53" s="9" t="s">
        <v>1303</v>
      </c>
      <c r="C53" s="9" t="s">
        <v>1511</v>
      </c>
      <c r="D53">
        <v>0</v>
      </c>
      <c r="E53">
        <v>1.2</v>
      </c>
      <c r="F53">
        <v>0.1</v>
      </c>
      <c r="G53" s="12">
        <v>0.4</v>
      </c>
      <c r="H53">
        <v>1</v>
      </c>
      <c r="I53" s="9" t="s">
        <v>1305</v>
      </c>
      <c r="J53" s="9" t="s">
        <v>1306</v>
      </c>
      <c r="K53" s="9" t="s">
        <v>1306</v>
      </c>
      <c r="L53">
        <v>341228.83497999999</v>
      </c>
      <c r="M53">
        <v>6469910.4816800002</v>
      </c>
      <c r="N53">
        <v>0</v>
      </c>
      <c r="O53">
        <v>12</v>
      </c>
      <c r="P53">
        <v>45901.769281000001</v>
      </c>
      <c r="Q53" s="9" t="s">
        <v>1512</v>
      </c>
      <c r="R53" s="9" t="s">
        <v>1513</v>
      </c>
      <c r="S53" s="9" t="s">
        <v>1309</v>
      </c>
      <c r="T53" s="9" t="s">
        <v>29</v>
      </c>
      <c r="U53" s="9" t="s">
        <v>1310</v>
      </c>
      <c r="V53" s="9" t="s">
        <v>1310</v>
      </c>
      <c r="W53" s="9" t="s">
        <v>30</v>
      </c>
      <c r="X53" s="9" t="s">
        <v>1514</v>
      </c>
      <c r="Y53" s="9">
        <f t="shared" si="2"/>
        <v>9854</v>
      </c>
      <c r="Z53" t="str">
        <f t="shared" si="1"/>
        <v>https://sig.aminerals.cl/imgdyn/rest/services/CL_MLP_PAO/CL_MLP_PAO_IF_Ortho_Transversal/ImageServer/file?id=.%5CTransversal_Aereo%5C25_02_02%5CCL_MLP_PAO_IF_Ortho_25_02_01_Transversal_TR_36.tif&amp;rasterId=9854</v>
      </c>
    </row>
    <row r="54" spans="1:26" x14ac:dyDescent="0.25">
      <c r="A54">
        <v>53</v>
      </c>
      <c r="B54" s="9" t="s">
        <v>1303</v>
      </c>
      <c r="C54" s="9" t="s">
        <v>1515</v>
      </c>
      <c r="D54">
        <v>0</v>
      </c>
      <c r="E54">
        <v>1.2</v>
      </c>
      <c r="F54">
        <v>0.1</v>
      </c>
      <c r="G54" s="12">
        <v>0.4</v>
      </c>
      <c r="H54">
        <v>1</v>
      </c>
      <c r="I54" s="9" t="s">
        <v>1305</v>
      </c>
      <c r="J54" s="9" t="s">
        <v>1306</v>
      </c>
      <c r="K54" s="9" t="s">
        <v>1306</v>
      </c>
      <c r="L54">
        <v>340202.55333099997</v>
      </c>
      <c r="M54">
        <v>6469680.07632</v>
      </c>
      <c r="N54">
        <v>0</v>
      </c>
      <c r="O54">
        <v>12</v>
      </c>
      <c r="P54">
        <v>45901.769283000001</v>
      </c>
      <c r="Q54" s="13" t="s">
        <v>1516</v>
      </c>
      <c r="R54" s="9" t="s">
        <v>1517</v>
      </c>
      <c r="S54" s="9" t="s">
        <v>1309</v>
      </c>
      <c r="T54" s="9" t="s">
        <v>29</v>
      </c>
      <c r="U54" s="9" t="s">
        <v>1310</v>
      </c>
      <c r="V54" s="9" t="s">
        <v>1310</v>
      </c>
      <c r="W54" s="9" t="s">
        <v>30</v>
      </c>
      <c r="X54" s="9" t="s">
        <v>1518</v>
      </c>
      <c r="Y54" s="9">
        <f t="shared" si="2"/>
        <v>9855</v>
      </c>
      <c r="Z54" t="str">
        <f t="shared" si="1"/>
        <v>https://sig.aminerals.cl/imgdyn/rest/services/CL_MLP_PAO/CL_MLP_PAO_IF_Ortho_Transversal/ImageServer/file?id=.%5CTransversal_Aereo%5C25_02_02%5CCL_MLP_PAO_IF_Ortho_25_02_01_Transversal_TR_37.tif&amp;rasterId=9855</v>
      </c>
    </row>
    <row r="55" spans="1:26" x14ac:dyDescent="0.25">
      <c r="A55">
        <v>54</v>
      </c>
      <c r="B55" s="9" t="s">
        <v>1303</v>
      </c>
      <c r="C55" s="9" t="s">
        <v>1519</v>
      </c>
      <c r="D55">
        <v>0</v>
      </c>
      <c r="E55">
        <v>1.2</v>
      </c>
      <c r="F55">
        <v>0.1</v>
      </c>
      <c r="G55" s="12">
        <v>0.4</v>
      </c>
      <c r="H55">
        <v>1</v>
      </c>
      <c r="I55" s="9" t="s">
        <v>1305</v>
      </c>
      <c r="J55" s="9" t="s">
        <v>1306</v>
      </c>
      <c r="K55" s="9" t="s">
        <v>1306</v>
      </c>
      <c r="L55">
        <v>339188.71769800002</v>
      </c>
      <c r="M55">
        <v>6469865.8419880001</v>
      </c>
      <c r="N55">
        <v>0</v>
      </c>
      <c r="O55">
        <v>12</v>
      </c>
      <c r="P55">
        <v>45901.769284000002</v>
      </c>
      <c r="Q55" s="9" t="s">
        <v>1520</v>
      </c>
      <c r="R55" s="9" t="s">
        <v>1521</v>
      </c>
      <c r="S55" s="9" t="s">
        <v>1309</v>
      </c>
      <c r="T55" s="9" t="s">
        <v>29</v>
      </c>
      <c r="U55" s="9" t="s">
        <v>1310</v>
      </c>
      <c r="V55" s="9" t="s">
        <v>1310</v>
      </c>
      <c r="W55" s="9" t="s">
        <v>30</v>
      </c>
      <c r="X55" s="9" t="s">
        <v>1522</v>
      </c>
      <c r="Y55" s="9">
        <f t="shared" si="2"/>
        <v>9856</v>
      </c>
      <c r="Z55" t="str">
        <f t="shared" si="1"/>
        <v>https://sig.aminerals.cl/imgdyn/rest/services/CL_MLP_PAO/CL_MLP_PAO_IF_Ortho_Transversal/ImageServer/file?id=.%5CTransversal_Aereo%5C25_02_02%5CCL_MLP_PAO_IF_Ortho_25_02_01_Transversal_TR_38.tif&amp;rasterId=9856</v>
      </c>
    </row>
    <row r="56" spans="1:26" x14ac:dyDescent="0.25">
      <c r="A56">
        <v>55</v>
      </c>
      <c r="B56" s="9" t="s">
        <v>1303</v>
      </c>
      <c r="C56" s="9" t="s">
        <v>1523</v>
      </c>
      <c r="D56">
        <v>0</v>
      </c>
      <c r="E56">
        <v>1.2</v>
      </c>
      <c r="F56">
        <v>0.1</v>
      </c>
      <c r="G56" s="12">
        <v>0.4</v>
      </c>
      <c r="H56">
        <v>1</v>
      </c>
      <c r="I56" s="9" t="s">
        <v>1305</v>
      </c>
      <c r="J56" s="9" t="s">
        <v>1306</v>
      </c>
      <c r="K56" s="9" t="s">
        <v>1306</v>
      </c>
      <c r="L56">
        <v>338200.29050900001</v>
      </c>
      <c r="M56">
        <v>6470192.0329219997</v>
      </c>
      <c r="N56">
        <v>0</v>
      </c>
      <c r="O56">
        <v>12</v>
      </c>
      <c r="P56">
        <v>45901.769286000002</v>
      </c>
      <c r="Q56" s="9" t="s">
        <v>1524</v>
      </c>
      <c r="R56" s="9" t="s">
        <v>1525</v>
      </c>
      <c r="S56" s="9" t="s">
        <v>1309</v>
      </c>
      <c r="T56" s="9" t="s">
        <v>29</v>
      </c>
      <c r="U56" s="9" t="s">
        <v>1310</v>
      </c>
      <c r="V56" s="9" t="s">
        <v>1310</v>
      </c>
      <c r="W56" s="9" t="s">
        <v>30</v>
      </c>
      <c r="X56" s="9" t="s">
        <v>1526</v>
      </c>
      <c r="Y56" s="9">
        <f t="shared" si="2"/>
        <v>9857</v>
      </c>
      <c r="Z56" t="str">
        <f t="shared" si="1"/>
        <v>https://sig.aminerals.cl/imgdyn/rest/services/CL_MLP_PAO/CL_MLP_PAO_IF_Ortho_Transversal/ImageServer/file?id=.%5CTransversal_Aereo%5C25_02_02%5CCL_MLP_PAO_IF_Ortho_25_02_01_Transversal_TR_39.tif&amp;rasterId=9857</v>
      </c>
    </row>
    <row r="57" spans="1:26" x14ac:dyDescent="0.25">
      <c r="A57">
        <v>56</v>
      </c>
      <c r="B57" s="9" t="s">
        <v>1303</v>
      </c>
      <c r="C57" s="9" t="s">
        <v>1527</v>
      </c>
      <c r="D57">
        <v>0</v>
      </c>
      <c r="E57">
        <v>1.2</v>
      </c>
      <c r="F57">
        <v>0.1</v>
      </c>
      <c r="G57" s="12">
        <v>0.2</v>
      </c>
      <c r="H57">
        <v>1</v>
      </c>
      <c r="I57" s="9" t="s">
        <v>1305</v>
      </c>
      <c r="J57" s="9" t="s">
        <v>1306</v>
      </c>
      <c r="K57" s="9" t="s">
        <v>1306</v>
      </c>
      <c r="L57">
        <v>278963.60100899998</v>
      </c>
      <c r="M57">
        <v>6472076.783202</v>
      </c>
      <c r="N57">
        <v>0</v>
      </c>
      <c r="O57">
        <v>12</v>
      </c>
      <c r="P57">
        <v>45901.769287000003</v>
      </c>
      <c r="Q57" s="9" t="s">
        <v>1528</v>
      </c>
      <c r="R57" s="9" t="s">
        <v>1529</v>
      </c>
      <c r="S57" s="9" t="s">
        <v>1309</v>
      </c>
      <c r="T57" s="9" t="s">
        <v>29</v>
      </c>
      <c r="U57" s="9" t="s">
        <v>1310</v>
      </c>
      <c r="V57" s="9" t="s">
        <v>1310</v>
      </c>
      <c r="W57" s="9" t="s">
        <v>30</v>
      </c>
      <c r="X57" s="9" t="s">
        <v>1530</v>
      </c>
      <c r="Y57" s="9">
        <f t="shared" si="2"/>
        <v>9858</v>
      </c>
      <c r="Z57" t="str">
        <f t="shared" si="1"/>
        <v>https://sig.aminerals.cl/imgdyn/rest/services/CL_MLP_PAO/CL_MLP_PAO_IF_Ortho_Transversal/ImageServer/file?id=.%5CTransversal_Aereo%5C25_02_02%5CCL_MLP_PAO_IF_Ortho_25_02_01_Transversal_TR_4.tif&amp;rasterId=9858</v>
      </c>
    </row>
    <row r="58" spans="1:26" x14ac:dyDescent="0.25">
      <c r="A58">
        <v>57</v>
      </c>
      <c r="B58" s="9" t="s">
        <v>1303</v>
      </c>
      <c r="C58" s="9" t="s">
        <v>1531</v>
      </c>
      <c r="D58">
        <v>0</v>
      </c>
      <c r="E58">
        <v>1.2</v>
      </c>
      <c r="F58">
        <v>0.1</v>
      </c>
      <c r="G58" s="12">
        <v>0.4</v>
      </c>
      <c r="H58">
        <v>1</v>
      </c>
      <c r="I58" s="9" t="s">
        <v>1305</v>
      </c>
      <c r="J58" s="9" t="s">
        <v>1306</v>
      </c>
      <c r="K58" s="9" t="s">
        <v>1306</v>
      </c>
      <c r="L58">
        <v>337172.25697400002</v>
      </c>
      <c r="M58">
        <v>6470301.6372330002</v>
      </c>
      <c r="N58">
        <v>0</v>
      </c>
      <c r="O58">
        <v>12</v>
      </c>
      <c r="P58">
        <v>45901.769289000003</v>
      </c>
      <c r="Q58" s="9" t="s">
        <v>1532</v>
      </c>
      <c r="R58" s="9" t="s">
        <v>1533</v>
      </c>
      <c r="S58" s="9" t="s">
        <v>1309</v>
      </c>
      <c r="T58" s="9" t="s">
        <v>29</v>
      </c>
      <c r="U58" s="9" t="s">
        <v>1310</v>
      </c>
      <c r="V58" s="9" t="s">
        <v>1310</v>
      </c>
      <c r="W58" s="9" t="s">
        <v>30</v>
      </c>
      <c r="X58" s="9" t="s">
        <v>1534</v>
      </c>
      <c r="Y58" s="9">
        <f t="shared" si="2"/>
        <v>9859</v>
      </c>
      <c r="Z58" t="str">
        <f t="shared" si="1"/>
        <v>https://sig.aminerals.cl/imgdyn/rest/services/CL_MLP_PAO/CL_MLP_PAO_IF_Ortho_Transversal/ImageServer/file?id=.%5CTransversal_Aereo%5C25_02_02%5CCL_MLP_PAO_IF_Ortho_25_02_01_Transversal_TR_40.tif&amp;rasterId=9859</v>
      </c>
    </row>
    <row r="59" spans="1:26" x14ac:dyDescent="0.25">
      <c r="A59">
        <v>58</v>
      </c>
      <c r="B59" s="9" t="s">
        <v>1303</v>
      </c>
      <c r="C59" s="9" t="s">
        <v>1535</v>
      </c>
      <c r="D59">
        <v>0</v>
      </c>
      <c r="E59">
        <v>1.2</v>
      </c>
      <c r="F59">
        <v>0.1</v>
      </c>
      <c r="G59" s="12">
        <v>0.2</v>
      </c>
      <c r="H59">
        <v>1</v>
      </c>
      <c r="I59" s="9" t="s">
        <v>1305</v>
      </c>
      <c r="J59" s="9" t="s">
        <v>1306</v>
      </c>
      <c r="K59" s="9" t="s">
        <v>1306</v>
      </c>
      <c r="L59">
        <v>336351.23577500001</v>
      </c>
      <c r="M59">
        <v>6470420.9387050001</v>
      </c>
      <c r="N59">
        <v>0</v>
      </c>
      <c r="O59">
        <v>12</v>
      </c>
      <c r="P59">
        <v>45901.769289999997</v>
      </c>
      <c r="Q59" s="9" t="s">
        <v>1536</v>
      </c>
      <c r="R59" s="9" t="s">
        <v>1537</v>
      </c>
      <c r="S59" s="9" t="s">
        <v>1309</v>
      </c>
      <c r="T59" s="9" t="s">
        <v>29</v>
      </c>
      <c r="U59" s="9" t="s">
        <v>1310</v>
      </c>
      <c r="V59" s="9" t="s">
        <v>1310</v>
      </c>
      <c r="W59" s="9" t="s">
        <v>30</v>
      </c>
      <c r="X59" s="9" t="s">
        <v>1538</v>
      </c>
      <c r="Y59" s="9">
        <f t="shared" si="2"/>
        <v>9860</v>
      </c>
      <c r="Z59" t="str">
        <f t="shared" si="1"/>
        <v>https://sig.aminerals.cl/imgdyn/rest/services/CL_MLP_PAO/CL_MLP_PAO_IF_Ortho_Transversal/ImageServer/file?id=.%5CTransversal_Aereo%5C25_02_02%5CCL_MLP_PAO_IF_Ortho_25_02_01_Transversal_TR_41.tif&amp;rasterId=9860</v>
      </c>
    </row>
    <row r="60" spans="1:26" x14ac:dyDescent="0.25">
      <c r="A60">
        <v>59</v>
      </c>
      <c r="B60" s="9" t="s">
        <v>1303</v>
      </c>
      <c r="C60" s="9" t="s">
        <v>1539</v>
      </c>
      <c r="D60">
        <v>0</v>
      </c>
      <c r="E60">
        <v>1.2</v>
      </c>
      <c r="F60">
        <v>0.1</v>
      </c>
      <c r="G60" s="12">
        <v>0.2</v>
      </c>
      <c r="H60">
        <v>1</v>
      </c>
      <c r="I60" s="9" t="s">
        <v>1305</v>
      </c>
      <c r="J60" s="9" t="s">
        <v>1306</v>
      </c>
      <c r="K60" s="9" t="s">
        <v>1306</v>
      </c>
      <c r="L60">
        <v>335948.14611700003</v>
      </c>
      <c r="M60">
        <v>6469876.398275</v>
      </c>
      <c r="N60">
        <v>0</v>
      </c>
      <c r="O60">
        <v>12</v>
      </c>
      <c r="P60">
        <v>45901.769291999997</v>
      </c>
      <c r="Q60" s="9" t="s">
        <v>1540</v>
      </c>
      <c r="R60" s="9" t="s">
        <v>1541</v>
      </c>
      <c r="S60" s="9" t="s">
        <v>1309</v>
      </c>
      <c r="T60" s="9" t="s">
        <v>29</v>
      </c>
      <c r="U60" s="9" t="s">
        <v>1310</v>
      </c>
      <c r="V60" s="9" t="s">
        <v>1310</v>
      </c>
      <c r="W60" s="9" t="s">
        <v>30</v>
      </c>
      <c r="X60" s="9" t="s">
        <v>1542</v>
      </c>
      <c r="Y60" s="9">
        <f t="shared" si="2"/>
        <v>9861</v>
      </c>
      <c r="Z60" t="str">
        <f t="shared" si="1"/>
        <v>https://sig.aminerals.cl/imgdyn/rest/services/CL_MLP_PAO/CL_MLP_PAO_IF_Ortho_Transversal/ImageServer/file?id=.%5CTransversal_Aereo%5C25_02_02%5CCL_MLP_PAO_IF_Ortho_25_02_01_Transversal_TR_42.tif&amp;rasterId=9861</v>
      </c>
    </row>
    <row r="61" spans="1:26" x14ac:dyDescent="0.25">
      <c r="A61">
        <v>60</v>
      </c>
      <c r="B61" s="9" t="s">
        <v>1303</v>
      </c>
      <c r="C61" s="9" t="s">
        <v>1543</v>
      </c>
      <c r="D61">
        <v>0</v>
      </c>
      <c r="E61">
        <v>1.2</v>
      </c>
      <c r="F61">
        <v>0.1</v>
      </c>
      <c r="G61" s="12">
        <v>0.4</v>
      </c>
      <c r="H61">
        <v>1</v>
      </c>
      <c r="I61" s="9" t="s">
        <v>1305</v>
      </c>
      <c r="J61" s="9" t="s">
        <v>1306</v>
      </c>
      <c r="K61" s="9" t="s">
        <v>1306</v>
      </c>
      <c r="L61">
        <v>335205.39648400003</v>
      </c>
      <c r="M61">
        <v>6469520.5444470001</v>
      </c>
      <c r="N61">
        <v>0</v>
      </c>
      <c r="O61">
        <v>12</v>
      </c>
      <c r="P61">
        <v>45901.769292999998</v>
      </c>
      <c r="Q61" s="9" t="s">
        <v>1544</v>
      </c>
      <c r="R61" s="9" t="s">
        <v>1545</v>
      </c>
      <c r="S61" s="9" t="s">
        <v>1309</v>
      </c>
      <c r="T61" s="9" t="s">
        <v>29</v>
      </c>
      <c r="U61" s="9" t="s">
        <v>1310</v>
      </c>
      <c r="V61" s="9" t="s">
        <v>1310</v>
      </c>
      <c r="W61" s="9" t="s">
        <v>30</v>
      </c>
      <c r="X61" s="9" t="s">
        <v>1546</v>
      </c>
      <c r="Y61" s="9">
        <f t="shared" si="2"/>
        <v>9862</v>
      </c>
      <c r="Z61" t="str">
        <f t="shared" si="1"/>
        <v>https://sig.aminerals.cl/imgdyn/rest/services/CL_MLP_PAO/CL_MLP_PAO_IF_Ortho_Transversal/ImageServer/file?id=.%5CTransversal_Aereo%5C25_02_02%5CCL_MLP_PAO_IF_Ortho_25_02_01_Transversal_TR_43.tif&amp;rasterId=9862</v>
      </c>
    </row>
    <row r="62" spans="1:26" x14ac:dyDescent="0.25">
      <c r="A62">
        <v>61</v>
      </c>
      <c r="B62" s="9" t="s">
        <v>1303</v>
      </c>
      <c r="C62" s="9" t="s">
        <v>1547</v>
      </c>
      <c r="D62">
        <v>0</v>
      </c>
      <c r="E62">
        <v>0.4</v>
      </c>
      <c r="F62">
        <v>0.1</v>
      </c>
      <c r="G62" s="12">
        <v>0.1</v>
      </c>
      <c r="H62">
        <v>1</v>
      </c>
      <c r="I62" s="9" t="s">
        <v>1305</v>
      </c>
      <c r="J62" s="9" t="s">
        <v>1306</v>
      </c>
      <c r="K62" s="9" t="s">
        <v>1306</v>
      </c>
      <c r="L62">
        <v>351025.822438</v>
      </c>
      <c r="M62">
        <v>6479323.3791659996</v>
      </c>
      <c r="N62">
        <v>0</v>
      </c>
      <c r="O62">
        <v>12</v>
      </c>
      <c r="P62">
        <v>45901.769294999998</v>
      </c>
      <c r="Q62" s="9" t="s">
        <v>1548</v>
      </c>
      <c r="R62" s="9" t="s">
        <v>1549</v>
      </c>
      <c r="S62" s="9" t="s">
        <v>1309</v>
      </c>
      <c r="T62" s="9" t="s">
        <v>29</v>
      </c>
      <c r="U62" s="9" t="s">
        <v>1310</v>
      </c>
      <c r="V62" s="9" t="s">
        <v>1310</v>
      </c>
      <c r="W62" s="9" t="s">
        <v>30</v>
      </c>
      <c r="X62" s="9" t="s">
        <v>1550</v>
      </c>
      <c r="Y62" s="9">
        <f t="shared" si="2"/>
        <v>9863</v>
      </c>
      <c r="Z62" t="str">
        <f t="shared" si="1"/>
        <v>https://sig.aminerals.cl/imgdyn/rest/services/CL_MLP_PAO/CL_MLP_PAO_IF_Ortho_Transversal/ImageServer/file?id=.%5CTransversal_Aereo%5C25_02_02%5CCL_MLP_PAO_IF_Ortho_25_02_01_Transversal_TR_44.tif&amp;rasterId=9863</v>
      </c>
    </row>
    <row r="63" spans="1:26" x14ac:dyDescent="0.25">
      <c r="A63">
        <v>62</v>
      </c>
      <c r="B63" s="9" t="s">
        <v>1303</v>
      </c>
      <c r="C63" s="9" t="s">
        <v>1551</v>
      </c>
      <c r="D63">
        <v>0</v>
      </c>
      <c r="E63">
        <v>1.2</v>
      </c>
      <c r="F63">
        <v>0.1</v>
      </c>
      <c r="G63" s="12">
        <v>0.4</v>
      </c>
      <c r="H63">
        <v>1</v>
      </c>
      <c r="I63" s="9" t="s">
        <v>1305</v>
      </c>
      <c r="J63" s="9" t="s">
        <v>1306</v>
      </c>
      <c r="K63" s="9" t="s">
        <v>1306</v>
      </c>
      <c r="L63">
        <v>334181.32534699998</v>
      </c>
      <c r="M63">
        <v>6469117.1788760005</v>
      </c>
      <c r="N63">
        <v>0</v>
      </c>
      <c r="O63">
        <v>12</v>
      </c>
      <c r="P63">
        <v>45901.769295999999</v>
      </c>
      <c r="Q63" s="9" t="s">
        <v>1552</v>
      </c>
      <c r="R63" s="9" t="s">
        <v>1553</v>
      </c>
      <c r="S63" s="9" t="s">
        <v>1309</v>
      </c>
      <c r="T63" s="9" t="s">
        <v>29</v>
      </c>
      <c r="U63" s="9" t="s">
        <v>1310</v>
      </c>
      <c r="V63" s="9" t="s">
        <v>1310</v>
      </c>
      <c r="W63" s="9" t="s">
        <v>30</v>
      </c>
      <c r="X63" s="9" t="s">
        <v>1554</v>
      </c>
      <c r="Y63" s="9">
        <f t="shared" si="2"/>
        <v>9864</v>
      </c>
      <c r="Z63" t="str">
        <f t="shared" si="1"/>
        <v>https://sig.aminerals.cl/imgdyn/rest/services/CL_MLP_PAO/CL_MLP_PAO_IF_Ortho_Transversal/ImageServer/file?id=.%5CTransversal_Aereo%5C25_02_02%5CCL_MLP_PAO_IF_Ortho_25_02_01_Transversal_TR_45.tif&amp;rasterId=9864</v>
      </c>
    </row>
    <row r="64" spans="1:26" x14ac:dyDescent="0.25">
      <c r="A64">
        <v>63</v>
      </c>
      <c r="B64" s="9" t="s">
        <v>1303</v>
      </c>
      <c r="C64" s="9" t="s">
        <v>1555</v>
      </c>
      <c r="D64">
        <v>0</v>
      </c>
      <c r="E64">
        <v>1.2</v>
      </c>
      <c r="F64">
        <v>0.1</v>
      </c>
      <c r="G64" s="12">
        <v>0.4</v>
      </c>
      <c r="H64">
        <v>1</v>
      </c>
      <c r="I64" s="9" t="s">
        <v>1305</v>
      </c>
      <c r="J64" s="9" t="s">
        <v>1306</v>
      </c>
      <c r="K64" s="9" t="s">
        <v>1306</v>
      </c>
      <c r="L64">
        <v>333167.80784999998</v>
      </c>
      <c r="M64">
        <v>6468736.7470319998</v>
      </c>
      <c r="N64">
        <v>0</v>
      </c>
      <c r="O64">
        <v>12</v>
      </c>
      <c r="P64">
        <v>45901.769296999999</v>
      </c>
      <c r="Q64" s="9" t="s">
        <v>1556</v>
      </c>
      <c r="R64" s="9" t="s">
        <v>1557</v>
      </c>
      <c r="S64" s="9" t="s">
        <v>1309</v>
      </c>
      <c r="T64" s="9" t="s">
        <v>29</v>
      </c>
      <c r="U64" s="9" t="s">
        <v>1310</v>
      </c>
      <c r="V64" s="9" t="s">
        <v>1310</v>
      </c>
      <c r="W64" s="9" t="s">
        <v>30</v>
      </c>
      <c r="X64" s="9" t="s">
        <v>1558</v>
      </c>
      <c r="Y64" s="9">
        <f t="shared" si="2"/>
        <v>9865</v>
      </c>
      <c r="Z64" t="str">
        <f t="shared" si="1"/>
        <v>https://sig.aminerals.cl/imgdyn/rest/services/CL_MLP_PAO/CL_MLP_PAO_IF_Ortho_Transversal/ImageServer/file?id=.%5CTransversal_Aereo%5C25_02_02%5CCL_MLP_PAO_IF_Ortho_25_02_01_Transversal_TR_46.tif&amp;rasterId=9865</v>
      </c>
    </row>
    <row r="65" spans="1:26" x14ac:dyDescent="0.25">
      <c r="A65">
        <v>64</v>
      </c>
      <c r="B65" s="9" t="s">
        <v>1303</v>
      </c>
      <c r="C65" s="9" t="s">
        <v>1559</v>
      </c>
      <c r="D65">
        <v>0</v>
      </c>
      <c r="E65">
        <v>1.2</v>
      </c>
      <c r="F65">
        <v>0.1</v>
      </c>
      <c r="G65" s="12">
        <v>0.4</v>
      </c>
      <c r="H65">
        <v>1</v>
      </c>
      <c r="I65" s="9" t="s">
        <v>1305</v>
      </c>
      <c r="J65" s="9" t="s">
        <v>1306</v>
      </c>
      <c r="K65" s="9" t="s">
        <v>1306</v>
      </c>
      <c r="L65">
        <v>332196.474514</v>
      </c>
      <c r="M65">
        <v>6468356.4273619996</v>
      </c>
      <c r="N65">
        <v>0</v>
      </c>
      <c r="O65">
        <v>12</v>
      </c>
      <c r="P65">
        <v>45901.769299</v>
      </c>
      <c r="Q65" s="9" t="s">
        <v>1560</v>
      </c>
      <c r="R65" s="9" t="s">
        <v>1561</v>
      </c>
      <c r="S65" s="9" t="s">
        <v>1309</v>
      </c>
      <c r="T65" s="9" t="s">
        <v>29</v>
      </c>
      <c r="U65" s="9" t="s">
        <v>1310</v>
      </c>
      <c r="V65" s="9" t="s">
        <v>1310</v>
      </c>
      <c r="W65" s="9" t="s">
        <v>30</v>
      </c>
      <c r="X65" s="9" t="s">
        <v>1562</v>
      </c>
      <c r="Y65" s="9">
        <f t="shared" si="2"/>
        <v>9866</v>
      </c>
      <c r="Z65" t="str">
        <f t="shared" si="1"/>
        <v>https://sig.aminerals.cl/imgdyn/rest/services/CL_MLP_PAO/CL_MLP_PAO_IF_Ortho_Transversal/ImageServer/file?id=.%5CTransversal_Aereo%5C25_02_02%5CCL_MLP_PAO_IF_Ortho_25_02_01_Transversal_TR_47.tif&amp;rasterId=9866</v>
      </c>
    </row>
    <row r="66" spans="1:26" x14ac:dyDescent="0.25">
      <c r="A66">
        <v>65</v>
      </c>
      <c r="B66" s="9" t="s">
        <v>1303</v>
      </c>
      <c r="C66" s="9" t="s">
        <v>1563</v>
      </c>
      <c r="D66">
        <v>0</v>
      </c>
      <c r="E66">
        <v>1.2</v>
      </c>
      <c r="F66">
        <v>0.1</v>
      </c>
      <c r="G66" s="12">
        <v>0.4</v>
      </c>
      <c r="H66">
        <v>1</v>
      </c>
      <c r="I66" s="9" t="s">
        <v>1305</v>
      </c>
      <c r="J66" s="9" t="s">
        <v>1306</v>
      </c>
      <c r="K66" s="9" t="s">
        <v>1306</v>
      </c>
      <c r="L66">
        <v>331167.449608</v>
      </c>
      <c r="M66">
        <v>6468150.1395800002</v>
      </c>
      <c r="N66">
        <v>0</v>
      </c>
      <c r="O66">
        <v>12</v>
      </c>
      <c r="P66">
        <v>45901.769301</v>
      </c>
      <c r="Q66" s="9" t="s">
        <v>1564</v>
      </c>
      <c r="R66" s="9" t="s">
        <v>1565</v>
      </c>
      <c r="S66" s="9" t="s">
        <v>1309</v>
      </c>
      <c r="T66" s="9" t="s">
        <v>29</v>
      </c>
      <c r="U66" s="9" t="s">
        <v>1310</v>
      </c>
      <c r="V66" s="9" t="s">
        <v>1310</v>
      </c>
      <c r="W66" s="9" t="s">
        <v>30</v>
      </c>
      <c r="X66" s="9" t="s">
        <v>1566</v>
      </c>
      <c r="Y66" s="9">
        <f t="shared" ref="Y66:Y97" si="3">VLOOKUP(C66,$A$418:$B$538,2,FALSE())</f>
        <v>9867</v>
      </c>
      <c r="Z66" t="str">
        <f t="shared" ref="Z66:Z129" si="4">CONCATENATE(X66,"&amp;rasterId=",Y66)</f>
        <v>https://sig.aminerals.cl/imgdyn/rest/services/CL_MLP_PAO/CL_MLP_PAO_IF_Ortho_Transversal/ImageServer/file?id=.%5CTransversal_Aereo%5C25_02_02%5CCL_MLP_PAO_IF_Ortho_25_02_01_Transversal_TR_48.tif&amp;rasterId=9867</v>
      </c>
    </row>
    <row r="67" spans="1:26" x14ac:dyDescent="0.25">
      <c r="A67">
        <v>66</v>
      </c>
      <c r="B67" s="9" t="s">
        <v>1303</v>
      </c>
      <c r="C67" s="9" t="s">
        <v>1567</v>
      </c>
      <c r="D67">
        <v>0</v>
      </c>
      <c r="E67">
        <v>1.2</v>
      </c>
      <c r="F67">
        <v>0.1</v>
      </c>
      <c r="G67" s="12">
        <v>0.4</v>
      </c>
      <c r="H67">
        <v>1</v>
      </c>
      <c r="I67" s="9" t="s">
        <v>1305</v>
      </c>
      <c r="J67" s="9" t="s">
        <v>1306</v>
      </c>
      <c r="K67" s="9" t="s">
        <v>1306</v>
      </c>
      <c r="L67">
        <v>330202.87203199998</v>
      </c>
      <c r="M67">
        <v>6468519.8916239999</v>
      </c>
      <c r="N67">
        <v>0</v>
      </c>
      <c r="O67">
        <v>12</v>
      </c>
      <c r="P67">
        <v>45901.769302000001</v>
      </c>
      <c r="Q67" s="9" t="s">
        <v>1568</v>
      </c>
      <c r="R67" s="9" t="s">
        <v>1569</v>
      </c>
      <c r="S67" s="9" t="s">
        <v>1309</v>
      </c>
      <c r="T67" s="9" t="s">
        <v>29</v>
      </c>
      <c r="U67" s="9" t="s">
        <v>1310</v>
      </c>
      <c r="V67" s="9" t="s">
        <v>1310</v>
      </c>
      <c r="W67" s="9" t="s">
        <v>30</v>
      </c>
      <c r="X67" s="9" t="s">
        <v>1570</v>
      </c>
      <c r="Y67" s="9">
        <f t="shared" si="3"/>
        <v>9868</v>
      </c>
      <c r="Z67" t="str">
        <f t="shared" si="4"/>
        <v>https://sig.aminerals.cl/imgdyn/rest/services/CL_MLP_PAO/CL_MLP_PAO_IF_Ortho_Transversal/ImageServer/file?id=.%5CTransversal_Aereo%5C25_02_02%5CCL_MLP_PAO_IF_Ortho_25_02_01_Transversal_TR_49.tif&amp;rasterId=9868</v>
      </c>
    </row>
    <row r="68" spans="1:26" x14ac:dyDescent="0.25">
      <c r="A68">
        <v>67</v>
      </c>
      <c r="B68" s="9" t="s">
        <v>1303</v>
      </c>
      <c r="C68" s="9" t="s">
        <v>1571</v>
      </c>
      <c r="D68">
        <v>0</v>
      </c>
      <c r="E68">
        <v>1.2</v>
      </c>
      <c r="F68">
        <v>0.1</v>
      </c>
      <c r="G68" s="12">
        <v>0.4</v>
      </c>
      <c r="H68">
        <v>1</v>
      </c>
      <c r="I68" s="9" t="s">
        <v>1305</v>
      </c>
      <c r="J68" s="9" t="s">
        <v>1306</v>
      </c>
      <c r="K68" s="9" t="s">
        <v>1306</v>
      </c>
      <c r="L68">
        <v>278137.462772</v>
      </c>
      <c r="M68">
        <v>6471868.9329559999</v>
      </c>
      <c r="N68">
        <v>0</v>
      </c>
      <c r="O68">
        <v>12</v>
      </c>
      <c r="P68">
        <v>45901.769303000001</v>
      </c>
      <c r="Q68" s="9" t="s">
        <v>1572</v>
      </c>
      <c r="R68" s="9" t="s">
        <v>1573</v>
      </c>
      <c r="S68" s="9" t="s">
        <v>1309</v>
      </c>
      <c r="T68" s="9" t="s">
        <v>29</v>
      </c>
      <c r="U68" s="9" t="s">
        <v>1310</v>
      </c>
      <c r="V68" s="9" t="s">
        <v>1310</v>
      </c>
      <c r="W68" s="9" t="s">
        <v>30</v>
      </c>
      <c r="X68" s="9" t="s">
        <v>1574</v>
      </c>
      <c r="Y68" s="9">
        <f t="shared" si="3"/>
        <v>9869</v>
      </c>
      <c r="Z68" t="str">
        <f t="shared" si="4"/>
        <v>https://sig.aminerals.cl/imgdyn/rest/services/CL_MLP_PAO/CL_MLP_PAO_IF_Ortho_Transversal/ImageServer/file?id=.%5CTransversal_Aereo%5C25_02_02%5CCL_MLP_PAO_IF_Ortho_25_02_01_Transversal_TR_5.tif&amp;rasterId=9869</v>
      </c>
    </row>
    <row r="69" spans="1:26" x14ac:dyDescent="0.25">
      <c r="A69">
        <v>68</v>
      </c>
      <c r="B69" s="9" t="s">
        <v>1303</v>
      </c>
      <c r="C69" s="9" t="s">
        <v>1575</v>
      </c>
      <c r="D69">
        <v>0</v>
      </c>
      <c r="E69">
        <v>1.2</v>
      </c>
      <c r="F69">
        <v>0.1</v>
      </c>
      <c r="G69" s="12">
        <v>0.4</v>
      </c>
      <c r="H69">
        <v>1</v>
      </c>
      <c r="I69" s="9" t="s">
        <v>1305</v>
      </c>
      <c r="J69" s="9" t="s">
        <v>1306</v>
      </c>
      <c r="K69" s="9" t="s">
        <v>1306</v>
      </c>
      <c r="L69">
        <v>329199.98859299999</v>
      </c>
      <c r="M69">
        <v>6468740.3086970001</v>
      </c>
      <c r="N69">
        <v>0</v>
      </c>
      <c r="O69">
        <v>12</v>
      </c>
      <c r="P69">
        <v>45901.769305000002</v>
      </c>
      <c r="Q69" s="9" t="s">
        <v>1576</v>
      </c>
      <c r="R69" s="9" t="s">
        <v>1577</v>
      </c>
      <c r="S69" s="9" t="s">
        <v>1309</v>
      </c>
      <c r="T69" s="9" t="s">
        <v>29</v>
      </c>
      <c r="U69" s="9" t="s">
        <v>1310</v>
      </c>
      <c r="V69" s="9" t="s">
        <v>1310</v>
      </c>
      <c r="W69" s="9" t="s">
        <v>30</v>
      </c>
      <c r="X69" s="9" t="s">
        <v>1578</v>
      </c>
      <c r="Y69" s="9">
        <f t="shared" si="3"/>
        <v>9870</v>
      </c>
      <c r="Z69" t="str">
        <f t="shared" si="4"/>
        <v>https://sig.aminerals.cl/imgdyn/rest/services/CL_MLP_PAO/CL_MLP_PAO_IF_Ortho_Transversal/ImageServer/file?id=.%5CTransversal_Aereo%5C25_02_02%5CCL_MLP_PAO_IF_Ortho_25_02_01_Transversal_TR_50.tif&amp;rasterId=9870</v>
      </c>
    </row>
    <row r="70" spans="1:26" x14ac:dyDescent="0.25">
      <c r="A70">
        <v>69</v>
      </c>
      <c r="B70" s="9" t="s">
        <v>1303</v>
      </c>
      <c r="C70" s="9" t="s">
        <v>1579</v>
      </c>
      <c r="D70">
        <v>0</v>
      </c>
      <c r="E70">
        <v>1.2</v>
      </c>
      <c r="F70">
        <v>0.1</v>
      </c>
      <c r="G70" s="12">
        <v>0.4</v>
      </c>
      <c r="H70">
        <v>1</v>
      </c>
      <c r="I70" s="9" t="s">
        <v>1305</v>
      </c>
      <c r="J70" s="9" t="s">
        <v>1306</v>
      </c>
      <c r="K70" s="9" t="s">
        <v>1306</v>
      </c>
      <c r="L70">
        <v>328143.39583300002</v>
      </c>
      <c r="M70">
        <v>6468901.5201979997</v>
      </c>
      <c r="N70">
        <v>0</v>
      </c>
      <c r="O70">
        <v>12</v>
      </c>
      <c r="P70">
        <v>45901.769306000002</v>
      </c>
      <c r="Q70" s="9" t="s">
        <v>1580</v>
      </c>
      <c r="R70" s="9" t="s">
        <v>1581</v>
      </c>
      <c r="S70" s="9" t="s">
        <v>1309</v>
      </c>
      <c r="T70" s="9" t="s">
        <v>29</v>
      </c>
      <c r="U70" s="9" t="s">
        <v>1310</v>
      </c>
      <c r="V70" s="9" t="s">
        <v>1310</v>
      </c>
      <c r="W70" s="9" t="s">
        <v>30</v>
      </c>
      <c r="X70" s="9" t="s">
        <v>1582</v>
      </c>
      <c r="Y70" s="9">
        <f t="shared" si="3"/>
        <v>9871</v>
      </c>
      <c r="Z70" t="str">
        <f t="shared" si="4"/>
        <v>https://sig.aminerals.cl/imgdyn/rest/services/CL_MLP_PAO/CL_MLP_PAO_IF_Ortho_Transversal/ImageServer/file?id=.%5CTransversal_Aereo%5C25_02_02%5CCL_MLP_PAO_IF_Ortho_25_02_01_Transversal_TR_51.tif&amp;rasterId=9871</v>
      </c>
    </row>
    <row r="71" spans="1:26" x14ac:dyDescent="0.25">
      <c r="A71">
        <v>70</v>
      </c>
      <c r="B71" s="9" t="s">
        <v>1303</v>
      </c>
      <c r="C71" s="9" t="s">
        <v>1583</v>
      </c>
      <c r="D71">
        <v>0</v>
      </c>
      <c r="E71">
        <v>1.2</v>
      </c>
      <c r="F71">
        <v>0.1</v>
      </c>
      <c r="G71" s="12">
        <v>0.4</v>
      </c>
      <c r="H71">
        <v>1</v>
      </c>
      <c r="I71" s="9" t="s">
        <v>1305</v>
      </c>
      <c r="J71" s="9" t="s">
        <v>1306</v>
      </c>
      <c r="K71" s="9" t="s">
        <v>1306</v>
      </c>
      <c r="L71">
        <v>327205.25404999999</v>
      </c>
      <c r="M71">
        <v>6468543.1468219999</v>
      </c>
      <c r="N71">
        <v>0</v>
      </c>
      <c r="O71">
        <v>12</v>
      </c>
      <c r="P71">
        <v>45901.769308000003</v>
      </c>
      <c r="Q71" s="9" t="s">
        <v>1584</v>
      </c>
      <c r="R71" s="9" t="s">
        <v>1585</v>
      </c>
      <c r="S71" s="9" t="s">
        <v>1309</v>
      </c>
      <c r="T71" s="9" t="s">
        <v>29</v>
      </c>
      <c r="U71" s="9" t="s">
        <v>1310</v>
      </c>
      <c r="V71" s="9" t="s">
        <v>1310</v>
      </c>
      <c r="W71" s="9" t="s">
        <v>30</v>
      </c>
      <c r="X71" s="9" t="s">
        <v>1586</v>
      </c>
      <c r="Y71" s="9">
        <f t="shared" si="3"/>
        <v>9872</v>
      </c>
      <c r="Z71" t="str">
        <f t="shared" si="4"/>
        <v>https://sig.aminerals.cl/imgdyn/rest/services/CL_MLP_PAO/CL_MLP_PAO_IF_Ortho_Transversal/ImageServer/file?id=.%5CTransversal_Aereo%5C25_02_02%5CCL_MLP_PAO_IF_Ortho_25_02_01_Transversal_TR_52.tif&amp;rasterId=9872</v>
      </c>
    </row>
    <row r="72" spans="1:26" x14ac:dyDescent="0.25">
      <c r="A72">
        <v>71</v>
      </c>
      <c r="B72" s="9" t="s">
        <v>1303</v>
      </c>
      <c r="C72" s="9" t="s">
        <v>1587</v>
      </c>
      <c r="D72">
        <v>0</v>
      </c>
      <c r="E72">
        <v>1.2</v>
      </c>
      <c r="F72">
        <v>0.1</v>
      </c>
      <c r="G72" s="12">
        <v>0.4</v>
      </c>
      <c r="H72">
        <v>1</v>
      </c>
      <c r="I72" s="9" t="s">
        <v>1305</v>
      </c>
      <c r="J72" s="9" t="s">
        <v>1306</v>
      </c>
      <c r="K72" s="9" t="s">
        <v>1306</v>
      </c>
      <c r="L72">
        <v>326213.09298199997</v>
      </c>
      <c r="M72">
        <v>6468383.3691290002</v>
      </c>
      <c r="N72">
        <v>0</v>
      </c>
      <c r="O72">
        <v>12</v>
      </c>
      <c r="P72">
        <v>45901.769309000003</v>
      </c>
      <c r="Q72" s="9" t="s">
        <v>1588</v>
      </c>
      <c r="R72" s="9" t="s">
        <v>1589</v>
      </c>
      <c r="S72" s="9" t="s">
        <v>1309</v>
      </c>
      <c r="T72" s="9" t="s">
        <v>29</v>
      </c>
      <c r="U72" s="9" t="s">
        <v>1310</v>
      </c>
      <c r="V72" s="9" t="s">
        <v>1310</v>
      </c>
      <c r="W72" s="9" t="s">
        <v>30</v>
      </c>
      <c r="X72" s="9" t="s">
        <v>1590</v>
      </c>
      <c r="Y72" s="9">
        <f t="shared" si="3"/>
        <v>9873</v>
      </c>
      <c r="Z72" t="str">
        <f t="shared" si="4"/>
        <v>https://sig.aminerals.cl/imgdyn/rest/services/CL_MLP_PAO/CL_MLP_PAO_IF_Ortho_Transversal/ImageServer/file?id=.%5CTransversal_Aereo%5C25_02_02%5CCL_MLP_PAO_IF_Ortho_25_02_01_Transversal_TR_53.tif&amp;rasterId=9873</v>
      </c>
    </row>
    <row r="73" spans="1:26" x14ac:dyDescent="0.25">
      <c r="A73">
        <v>72</v>
      </c>
      <c r="B73" s="9" t="s">
        <v>1303</v>
      </c>
      <c r="C73" s="9" t="s">
        <v>1591</v>
      </c>
      <c r="D73">
        <v>0</v>
      </c>
      <c r="E73">
        <v>1.2</v>
      </c>
      <c r="F73">
        <v>0.1</v>
      </c>
      <c r="G73" s="12">
        <v>0.4</v>
      </c>
      <c r="H73">
        <v>1</v>
      </c>
      <c r="I73" s="9" t="s">
        <v>1305</v>
      </c>
      <c r="J73" s="9" t="s">
        <v>1306</v>
      </c>
      <c r="K73" s="9" t="s">
        <v>1306</v>
      </c>
      <c r="L73">
        <v>325222.43840099999</v>
      </c>
      <c r="M73">
        <v>6468427.103193</v>
      </c>
      <c r="N73">
        <v>0</v>
      </c>
      <c r="O73">
        <v>12</v>
      </c>
      <c r="P73">
        <v>45901.769310000003</v>
      </c>
      <c r="Q73" s="9" t="s">
        <v>1592</v>
      </c>
      <c r="R73" s="9" t="s">
        <v>1593</v>
      </c>
      <c r="S73" s="9" t="s">
        <v>1309</v>
      </c>
      <c r="T73" s="9" t="s">
        <v>29</v>
      </c>
      <c r="U73" s="9" t="s">
        <v>1310</v>
      </c>
      <c r="V73" s="9" t="s">
        <v>1310</v>
      </c>
      <c r="W73" s="9" t="s">
        <v>30</v>
      </c>
      <c r="X73" s="9" t="s">
        <v>1594</v>
      </c>
      <c r="Y73" s="9">
        <f t="shared" si="3"/>
        <v>9874</v>
      </c>
      <c r="Z73" t="str">
        <f t="shared" si="4"/>
        <v>https://sig.aminerals.cl/imgdyn/rest/services/CL_MLP_PAO/CL_MLP_PAO_IF_Ortho_Transversal/ImageServer/file?id=.%5CTransversal_Aereo%5C25_02_02%5CCL_MLP_PAO_IF_Ortho_25_02_01_Transversal_TR_54.tif&amp;rasterId=9874</v>
      </c>
    </row>
    <row r="74" spans="1:26" x14ac:dyDescent="0.25">
      <c r="A74">
        <v>73</v>
      </c>
      <c r="B74" s="9" t="s">
        <v>1303</v>
      </c>
      <c r="C74" s="9" t="s">
        <v>1595</v>
      </c>
      <c r="D74">
        <v>0</v>
      </c>
      <c r="E74">
        <v>1.2</v>
      </c>
      <c r="F74">
        <v>0.1</v>
      </c>
      <c r="G74" s="12">
        <v>0.4</v>
      </c>
      <c r="H74">
        <v>1</v>
      </c>
      <c r="I74" s="9" t="s">
        <v>1305</v>
      </c>
      <c r="J74" s="9" t="s">
        <v>1306</v>
      </c>
      <c r="K74" s="9" t="s">
        <v>1306</v>
      </c>
      <c r="L74">
        <v>349188.51111899997</v>
      </c>
      <c r="M74">
        <v>6478426.131178</v>
      </c>
      <c r="N74">
        <v>0</v>
      </c>
      <c r="O74">
        <v>12</v>
      </c>
      <c r="P74">
        <v>45901.769311999997</v>
      </c>
      <c r="Q74" s="9" t="s">
        <v>1596</v>
      </c>
      <c r="R74" s="9" t="s">
        <v>1597</v>
      </c>
      <c r="S74" s="9" t="s">
        <v>1309</v>
      </c>
      <c r="T74" s="9" t="s">
        <v>29</v>
      </c>
      <c r="U74" s="9" t="s">
        <v>1310</v>
      </c>
      <c r="V74" s="9" t="s">
        <v>1310</v>
      </c>
      <c r="W74" s="9" t="s">
        <v>30</v>
      </c>
      <c r="X74" s="9" t="s">
        <v>1598</v>
      </c>
      <c r="Y74" s="9">
        <f t="shared" si="3"/>
        <v>9875</v>
      </c>
      <c r="Z74" t="str">
        <f t="shared" si="4"/>
        <v>https://sig.aminerals.cl/imgdyn/rest/services/CL_MLP_PAO/CL_MLP_PAO_IF_Ortho_Transversal/ImageServer/file?id=.%5CTransversal_Aereo%5C25_02_02%5CCL_MLP_PAO_IF_Ortho_25_02_01_Transversal_TR_55.tif&amp;rasterId=9875</v>
      </c>
    </row>
    <row r="75" spans="1:26" x14ac:dyDescent="0.25">
      <c r="A75">
        <v>74</v>
      </c>
      <c r="B75" s="9" t="s">
        <v>1303</v>
      </c>
      <c r="C75" s="9" t="s">
        <v>1599</v>
      </c>
      <c r="D75">
        <v>0</v>
      </c>
      <c r="E75">
        <v>1.2</v>
      </c>
      <c r="F75">
        <v>0.1</v>
      </c>
      <c r="G75" s="12">
        <v>0.4</v>
      </c>
      <c r="H75">
        <v>1</v>
      </c>
      <c r="I75" s="9" t="s">
        <v>1305</v>
      </c>
      <c r="J75" s="9" t="s">
        <v>1306</v>
      </c>
      <c r="K75" s="9" t="s">
        <v>1306</v>
      </c>
      <c r="L75">
        <v>324269.22936900001</v>
      </c>
      <c r="M75">
        <v>6468812.9409959996</v>
      </c>
      <c r="N75">
        <v>0</v>
      </c>
      <c r="O75">
        <v>12</v>
      </c>
      <c r="P75">
        <v>45901.769313999997</v>
      </c>
      <c r="Q75" s="9" t="s">
        <v>1600</v>
      </c>
      <c r="R75" s="9" t="s">
        <v>1601</v>
      </c>
      <c r="S75" s="9" t="s">
        <v>1309</v>
      </c>
      <c r="T75" s="9" t="s">
        <v>29</v>
      </c>
      <c r="U75" s="9" t="s">
        <v>1310</v>
      </c>
      <c r="V75" s="9" t="s">
        <v>1310</v>
      </c>
      <c r="W75" s="9" t="s">
        <v>30</v>
      </c>
      <c r="X75" s="9" t="s">
        <v>1602</v>
      </c>
      <c r="Y75" s="9">
        <f t="shared" si="3"/>
        <v>9876</v>
      </c>
      <c r="Z75" t="str">
        <f t="shared" si="4"/>
        <v>https://sig.aminerals.cl/imgdyn/rest/services/CL_MLP_PAO/CL_MLP_PAO_IF_Ortho_Transversal/ImageServer/file?id=.%5CTransversal_Aereo%5C25_02_02%5CCL_MLP_PAO_IF_Ortho_25_02_01_Transversal_TR_56.tif&amp;rasterId=9876</v>
      </c>
    </row>
    <row r="76" spans="1:26" x14ac:dyDescent="0.25">
      <c r="A76">
        <v>75</v>
      </c>
      <c r="B76" s="9" t="s">
        <v>1303</v>
      </c>
      <c r="C76" s="9" t="s">
        <v>1603</v>
      </c>
      <c r="D76">
        <v>0</v>
      </c>
      <c r="E76">
        <v>1.2</v>
      </c>
      <c r="F76">
        <v>0.1</v>
      </c>
      <c r="G76" s="12">
        <v>0.2</v>
      </c>
      <c r="H76">
        <v>1</v>
      </c>
      <c r="I76" s="9" t="s">
        <v>1305</v>
      </c>
      <c r="J76" s="9" t="s">
        <v>1306</v>
      </c>
      <c r="K76" s="9" t="s">
        <v>1306</v>
      </c>
      <c r="L76">
        <v>324093.65060300002</v>
      </c>
      <c r="M76">
        <v>6469179.2815469997</v>
      </c>
      <c r="N76">
        <v>0</v>
      </c>
      <c r="O76">
        <v>12</v>
      </c>
      <c r="P76">
        <v>45901.769314999998</v>
      </c>
      <c r="Q76" s="9" t="s">
        <v>1604</v>
      </c>
      <c r="R76" s="9" t="s">
        <v>1605</v>
      </c>
      <c r="S76" s="9" t="s">
        <v>1309</v>
      </c>
      <c r="T76" s="9" t="s">
        <v>29</v>
      </c>
      <c r="U76" s="9" t="s">
        <v>1310</v>
      </c>
      <c r="V76" s="9" t="s">
        <v>1310</v>
      </c>
      <c r="W76" s="9" t="s">
        <v>30</v>
      </c>
      <c r="X76" s="9" t="s">
        <v>1606</v>
      </c>
      <c r="Y76" s="9">
        <f t="shared" si="3"/>
        <v>9877</v>
      </c>
      <c r="Z76" t="str">
        <f t="shared" si="4"/>
        <v>https://sig.aminerals.cl/imgdyn/rest/services/CL_MLP_PAO/CL_MLP_PAO_IF_Ortho_Transversal/ImageServer/file?id=.%5CTransversal_Aereo%5C25_02_02%5CCL_MLP_PAO_IF_Ortho_25_02_01_Transversal_TR_57.tif&amp;rasterId=9877</v>
      </c>
    </row>
    <row r="77" spans="1:26" x14ac:dyDescent="0.25">
      <c r="A77">
        <v>76</v>
      </c>
      <c r="B77" s="9" t="s">
        <v>1303</v>
      </c>
      <c r="C77" s="9" t="s">
        <v>1607</v>
      </c>
      <c r="D77">
        <v>0</v>
      </c>
      <c r="E77">
        <v>1.2</v>
      </c>
      <c r="F77">
        <v>0.1</v>
      </c>
      <c r="G77" s="12">
        <v>0.4</v>
      </c>
      <c r="H77">
        <v>1</v>
      </c>
      <c r="I77" s="9" t="s">
        <v>1305</v>
      </c>
      <c r="J77" s="9" t="s">
        <v>1306</v>
      </c>
      <c r="K77" s="9" t="s">
        <v>1306</v>
      </c>
      <c r="L77">
        <v>322896.16140600003</v>
      </c>
      <c r="M77">
        <v>6469828.9639760004</v>
      </c>
      <c r="N77">
        <v>0</v>
      </c>
      <c r="O77">
        <v>12</v>
      </c>
      <c r="P77">
        <v>45901.769315999998</v>
      </c>
      <c r="Q77" s="13" t="s">
        <v>1608</v>
      </c>
      <c r="R77" s="9" t="s">
        <v>1609</v>
      </c>
      <c r="S77" s="9" t="s">
        <v>1309</v>
      </c>
      <c r="T77" s="9" t="s">
        <v>29</v>
      </c>
      <c r="U77" s="9" t="s">
        <v>1310</v>
      </c>
      <c r="V77" s="9" t="s">
        <v>1310</v>
      </c>
      <c r="W77" s="9" t="s">
        <v>30</v>
      </c>
      <c r="X77" s="9" t="s">
        <v>1610</v>
      </c>
      <c r="Y77" s="9">
        <f t="shared" si="3"/>
        <v>9878</v>
      </c>
      <c r="Z77" t="str">
        <f t="shared" si="4"/>
        <v>https://sig.aminerals.cl/imgdyn/rest/services/CL_MLP_PAO/CL_MLP_PAO_IF_Ortho_Transversal/ImageServer/file?id=.%5CTransversal_Aereo%5C25_02_02%5CCL_MLP_PAO_IF_Ortho_25_02_01_Transversal_TR_58.tif&amp;rasterId=9878</v>
      </c>
    </row>
    <row r="78" spans="1:26" x14ac:dyDescent="0.25">
      <c r="A78">
        <v>77</v>
      </c>
      <c r="B78" s="9" t="s">
        <v>1303</v>
      </c>
      <c r="C78" s="9" t="s">
        <v>1611</v>
      </c>
      <c r="D78">
        <v>0</v>
      </c>
      <c r="E78">
        <v>1.2</v>
      </c>
      <c r="F78">
        <v>0.1</v>
      </c>
      <c r="G78" s="12">
        <v>0.4</v>
      </c>
      <c r="H78">
        <v>1</v>
      </c>
      <c r="I78" s="9" t="s">
        <v>1305</v>
      </c>
      <c r="J78" s="9" t="s">
        <v>1306</v>
      </c>
      <c r="K78" s="9" t="s">
        <v>1306</v>
      </c>
      <c r="L78">
        <v>323305.62249400001</v>
      </c>
      <c r="M78">
        <v>6469244.7108760001</v>
      </c>
      <c r="N78">
        <v>0</v>
      </c>
      <c r="O78">
        <v>12</v>
      </c>
      <c r="P78">
        <v>45901.769317999999</v>
      </c>
      <c r="Q78" s="9" t="s">
        <v>1612</v>
      </c>
      <c r="R78" s="9" t="s">
        <v>1613</v>
      </c>
      <c r="S78" s="9" t="s">
        <v>1309</v>
      </c>
      <c r="T78" s="9" t="s">
        <v>29</v>
      </c>
      <c r="U78" s="9" t="s">
        <v>1310</v>
      </c>
      <c r="V78" s="9" t="s">
        <v>1310</v>
      </c>
      <c r="W78" s="9" t="s">
        <v>30</v>
      </c>
      <c r="X78" s="9" t="s">
        <v>1614</v>
      </c>
      <c r="Y78" s="9">
        <f t="shared" si="3"/>
        <v>9879</v>
      </c>
      <c r="Z78" t="str">
        <f t="shared" si="4"/>
        <v>https://sig.aminerals.cl/imgdyn/rest/services/CL_MLP_PAO/CL_MLP_PAO_IF_Ortho_Transversal/ImageServer/file?id=.%5CTransversal_Aereo%5C25_02_02%5CCL_MLP_PAO_IF_Ortho_25_02_01_Transversal_TR_59.tif&amp;rasterId=9879</v>
      </c>
    </row>
    <row r="79" spans="1:26" x14ac:dyDescent="0.25">
      <c r="A79">
        <v>78</v>
      </c>
      <c r="B79" s="9" t="s">
        <v>1303</v>
      </c>
      <c r="C79" s="9" t="s">
        <v>1615</v>
      </c>
      <c r="D79">
        <v>0</v>
      </c>
      <c r="E79">
        <v>1.2</v>
      </c>
      <c r="F79">
        <v>0.1</v>
      </c>
      <c r="G79" s="12">
        <v>0.4</v>
      </c>
      <c r="H79">
        <v>1</v>
      </c>
      <c r="I79" s="9" t="s">
        <v>1305</v>
      </c>
      <c r="J79" s="9" t="s">
        <v>1306</v>
      </c>
      <c r="K79" s="9" t="s">
        <v>1306</v>
      </c>
      <c r="L79">
        <v>277851.73276899999</v>
      </c>
      <c r="M79">
        <v>6471402.0350529999</v>
      </c>
      <c r="N79">
        <v>0</v>
      </c>
      <c r="O79">
        <v>12</v>
      </c>
      <c r="P79">
        <v>45901.769318999999</v>
      </c>
      <c r="Q79" s="9" t="s">
        <v>1616</v>
      </c>
      <c r="R79" s="9" t="s">
        <v>1617</v>
      </c>
      <c r="S79" s="9" t="s">
        <v>1309</v>
      </c>
      <c r="T79" s="9" t="s">
        <v>29</v>
      </c>
      <c r="U79" s="9" t="s">
        <v>1310</v>
      </c>
      <c r="V79" s="9" t="s">
        <v>1310</v>
      </c>
      <c r="W79" s="9" t="s">
        <v>30</v>
      </c>
      <c r="X79" s="9" t="s">
        <v>1618</v>
      </c>
      <c r="Y79" s="9">
        <f t="shared" si="3"/>
        <v>9880</v>
      </c>
      <c r="Z79" t="str">
        <f t="shared" si="4"/>
        <v>https://sig.aminerals.cl/imgdyn/rest/services/CL_MLP_PAO/CL_MLP_PAO_IF_Ortho_Transversal/ImageServer/file?id=.%5CTransversal_Aereo%5C25_02_02%5CCL_MLP_PAO_IF_Ortho_25_02_01_Transversal_TR_6.tif&amp;rasterId=9880</v>
      </c>
    </row>
    <row r="80" spans="1:26" x14ac:dyDescent="0.25">
      <c r="A80">
        <v>79</v>
      </c>
      <c r="B80" s="9" t="s">
        <v>1303</v>
      </c>
      <c r="C80" s="9" t="s">
        <v>1619</v>
      </c>
      <c r="D80">
        <v>0</v>
      </c>
      <c r="E80">
        <v>1.2</v>
      </c>
      <c r="F80">
        <v>0.1</v>
      </c>
      <c r="G80" s="12">
        <v>0.4</v>
      </c>
      <c r="H80">
        <v>1</v>
      </c>
      <c r="I80" s="9" t="s">
        <v>1305</v>
      </c>
      <c r="J80" s="9" t="s">
        <v>1306</v>
      </c>
      <c r="K80" s="9" t="s">
        <v>1306</v>
      </c>
      <c r="L80">
        <v>322323.83242599998</v>
      </c>
      <c r="M80">
        <v>6470268.3227890003</v>
      </c>
      <c r="N80">
        <v>0</v>
      </c>
      <c r="O80">
        <v>12</v>
      </c>
      <c r="P80">
        <v>45901.769319999999</v>
      </c>
      <c r="Q80" s="9" t="s">
        <v>1620</v>
      </c>
      <c r="R80" s="9" t="s">
        <v>1621</v>
      </c>
      <c r="S80" s="9" t="s">
        <v>1309</v>
      </c>
      <c r="T80" s="9" t="s">
        <v>29</v>
      </c>
      <c r="U80" s="9" t="s">
        <v>1310</v>
      </c>
      <c r="V80" s="9" t="s">
        <v>1310</v>
      </c>
      <c r="W80" s="9" t="s">
        <v>30</v>
      </c>
      <c r="X80" s="9" t="s">
        <v>1622</v>
      </c>
      <c r="Y80" s="9">
        <f t="shared" si="3"/>
        <v>9881</v>
      </c>
      <c r="Z80" t="str">
        <f t="shared" si="4"/>
        <v>https://sig.aminerals.cl/imgdyn/rest/services/CL_MLP_PAO/CL_MLP_PAO_IF_Ortho_Transversal/ImageServer/file?id=.%5CTransversal_Aereo%5C25_02_02%5CCL_MLP_PAO_IF_Ortho_25_02_01_Transversal_TR_60.tif&amp;rasterId=9881</v>
      </c>
    </row>
    <row r="81" spans="1:26" x14ac:dyDescent="0.25">
      <c r="A81">
        <v>80</v>
      </c>
      <c r="B81" s="9" t="s">
        <v>1303</v>
      </c>
      <c r="C81" s="9" t="s">
        <v>1623</v>
      </c>
      <c r="D81">
        <v>0</v>
      </c>
      <c r="E81">
        <v>1.2</v>
      </c>
      <c r="F81">
        <v>0.1</v>
      </c>
      <c r="G81" s="12">
        <v>0.4</v>
      </c>
      <c r="H81">
        <v>1</v>
      </c>
      <c r="I81" s="9" t="s">
        <v>1305</v>
      </c>
      <c r="J81" s="9" t="s">
        <v>1306</v>
      </c>
      <c r="K81" s="9" t="s">
        <v>1306</v>
      </c>
      <c r="L81">
        <v>321200.365766</v>
      </c>
      <c r="M81">
        <v>6470140.4788690004</v>
      </c>
      <c r="N81">
        <v>0</v>
      </c>
      <c r="O81">
        <v>12</v>
      </c>
      <c r="P81">
        <v>45901.769322</v>
      </c>
      <c r="Q81" s="9" t="s">
        <v>1624</v>
      </c>
      <c r="R81" s="9" t="s">
        <v>1625</v>
      </c>
      <c r="S81" s="9" t="s">
        <v>1309</v>
      </c>
      <c r="T81" s="9" t="s">
        <v>29</v>
      </c>
      <c r="U81" s="9" t="s">
        <v>1310</v>
      </c>
      <c r="V81" s="9" t="s">
        <v>1310</v>
      </c>
      <c r="W81" s="9" t="s">
        <v>30</v>
      </c>
      <c r="X81" s="9" t="s">
        <v>1626</v>
      </c>
      <c r="Y81" s="9">
        <f t="shared" si="3"/>
        <v>9882</v>
      </c>
      <c r="Z81" t="str">
        <f t="shared" si="4"/>
        <v>https://sig.aminerals.cl/imgdyn/rest/services/CL_MLP_PAO/CL_MLP_PAO_IF_Ortho_Transversal/ImageServer/file?id=.%5CTransversal_Aereo%5C25_02_02%5CCL_MLP_PAO_IF_Ortho_25_02_01_Transversal_TR_61.tif&amp;rasterId=9882</v>
      </c>
    </row>
    <row r="82" spans="1:26" x14ac:dyDescent="0.25">
      <c r="A82">
        <v>81</v>
      </c>
      <c r="B82" s="9" t="s">
        <v>1303</v>
      </c>
      <c r="C82" s="9" t="s">
        <v>1627</v>
      </c>
      <c r="D82">
        <v>0</v>
      </c>
      <c r="E82">
        <v>1.2</v>
      </c>
      <c r="F82">
        <v>0.1</v>
      </c>
      <c r="G82" s="12">
        <v>0.4</v>
      </c>
      <c r="H82">
        <v>1</v>
      </c>
      <c r="I82" s="9" t="s">
        <v>1305</v>
      </c>
      <c r="J82" s="9" t="s">
        <v>1306</v>
      </c>
      <c r="K82" s="9" t="s">
        <v>1306</v>
      </c>
      <c r="L82">
        <v>320237.50026300002</v>
      </c>
      <c r="M82">
        <v>6469740.264641</v>
      </c>
      <c r="N82">
        <v>0</v>
      </c>
      <c r="O82">
        <v>12</v>
      </c>
      <c r="P82">
        <v>45901.769324000001</v>
      </c>
      <c r="Q82" s="9" t="s">
        <v>1628</v>
      </c>
      <c r="R82" s="9" t="s">
        <v>1629</v>
      </c>
      <c r="S82" s="9" t="s">
        <v>1309</v>
      </c>
      <c r="T82" s="9" t="s">
        <v>29</v>
      </c>
      <c r="U82" s="9" t="s">
        <v>1310</v>
      </c>
      <c r="V82" s="9" t="s">
        <v>1310</v>
      </c>
      <c r="W82" s="9" t="s">
        <v>30</v>
      </c>
      <c r="X82" s="9" t="s">
        <v>1630</v>
      </c>
      <c r="Y82" s="9">
        <f t="shared" si="3"/>
        <v>9883</v>
      </c>
      <c r="Z82" t="str">
        <f t="shared" si="4"/>
        <v>https://sig.aminerals.cl/imgdyn/rest/services/CL_MLP_PAO/CL_MLP_PAO_IF_Ortho_Transversal/ImageServer/file?id=.%5CTransversal_Aereo%5C25_02_02%5CCL_MLP_PAO_IF_Ortho_25_02_01_Transversal_TR_62.tif&amp;rasterId=9883</v>
      </c>
    </row>
    <row r="83" spans="1:26" x14ac:dyDescent="0.25">
      <c r="A83">
        <v>82</v>
      </c>
      <c r="B83" s="9" t="s">
        <v>1303</v>
      </c>
      <c r="C83" s="9" t="s">
        <v>1631</v>
      </c>
      <c r="D83">
        <v>0</v>
      </c>
      <c r="E83">
        <v>1.2</v>
      </c>
      <c r="F83">
        <v>0.1</v>
      </c>
      <c r="G83" s="12">
        <v>0.4</v>
      </c>
      <c r="H83">
        <v>1</v>
      </c>
      <c r="I83" s="9" t="s">
        <v>1305</v>
      </c>
      <c r="J83" s="9" t="s">
        <v>1306</v>
      </c>
      <c r="K83" s="9" t="s">
        <v>1306</v>
      </c>
      <c r="L83">
        <v>319646.642505</v>
      </c>
      <c r="M83">
        <v>6469010.1738010002</v>
      </c>
      <c r="N83">
        <v>0</v>
      </c>
      <c r="O83">
        <v>12</v>
      </c>
      <c r="P83">
        <v>45901.769325000001</v>
      </c>
      <c r="Q83" s="9" t="s">
        <v>1632</v>
      </c>
      <c r="R83" s="9" t="s">
        <v>1633</v>
      </c>
      <c r="S83" s="9" t="s">
        <v>1309</v>
      </c>
      <c r="T83" s="9" t="s">
        <v>29</v>
      </c>
      <c r="U83" s="9" t="s">
        <v>1310</v>
      </c>
      <c r="V83" s="9" t="s">
        <v>1310</v>
      </c>
      <c r="W83" s="9" t="s">
        <v>30</v>
      </c>
      <c r="X83" s="9" t="s">
        <v>1634</v>
      </c>
      <c r="Y83" s="9">
        <f t="shared" si="3"/>
        <v>9884</v>
      </c>
      <c r="Z83" t="str">
        <f t="shared" si="4"/>
        <v>https://sig.aminerals.cl/imgdyn/rest/services/CL_MLP_PAO/CL_MLP_PAO_IF_Ortho_Transversal/ImageServer/file?id=.%5CTransversal_Aereo%5C25_02_02%5CCL_MLP_PAO_IF_Ortho_25_02_01_Transversal_TR_63.tif&amp;rasterId=9884</v>
      </c>
    </row>
    <row r="84" spans="1:26" x14ac:dyDescent="0.25">
      <c r="A84">
        <v>83</v>
      </c>
      <c r="B84" s="9" t="s">
        <v>1303</v>
      </c>
      <c r="C84" s="9" t="s">
        <v>1635</v>
      </c>
      <c r="D84">
        <v>0</v>
      </c>
      <c r="E84">
        <v>1.2</v>
      </c>
      <c r="F84">
        <v>0.1</v>
      </c>
      <c r="G84" s="12">
        <v>0.4</v>
      </c>
      <c r="H84">
        <v>1</v>
      </c>
      <c r="I84" s="9" t="s">
        <v>1305</v>
      </c>
      <c r="J84" s="9" t="s">
        <v>1306</v>
      </c>
      <c r="K84" s="9" t="s">
        <v>1306</v>
      </c>
      <c r="L84">
        <v>318964.49404800002</v>
      </c>
      <c r="M84">
        <v>6468500.5634110002</v>
      </c>
      <c r="N84">
        <v>0</v>
      </c>
      <c r="O84">
        <v>12</v>
      </c>
      <c r="P84">
        <v>45901.769326000001</v>
      </c>
      <c r="Q84" s="9" t="s">
        <v>1636</v>
      </c>
      <c r="R84" s="9" t="s">
        <v>1637</v>
      </c>
      <c r="S84" s="9" t="s">
        <v>1309</v>
      </c>
      <c r="T84" s="9" t="s">
        <v>29</v>
      </c>
      <c r="U84" s="9" t="s">
        <v>1310</v>
      </c>
      <c r="V84" s="9" t="s">
        <v>1310</v>
      </c>
      <c r="W84" s="9" t="s">
        <v>30</v>
      </c>
      <c r="X84" s="9" t="s">
        <v>1638</v>
      </c>
      <c r="Y84" s="9">
        <f t="shared" si="3"/>
        <v>9885</v>
      </c>
      <c r="Z84" t="str">
        <f t="shared" si="4"/>
        <v>https://sig.aminerals.cl/imgdyn/rest/services/CL_MLP_PAO/CL_MLP_PAO_IF_Ortho_Transversal/ImageServer/file?id=.%5CTransversal_Aereo%5C25_02_02%5CCL_MLP_PAO_IF_Ortho_25_02_01_Transversal_TR_64.tif&amp;rasterId=9885</v>
      </c>
    </row>
    <row r="85" spans="1:26" x14ac:dyDescent="0.25">
      <c r="A85">
        <v>84</v>
      </c>
      <c r="B85" s="9" t="s">
        <v>1303</v>
      </c>
      <c r="C85" s="9" t="s">
        <v>1639</v>
      </c>
      <c r="D85">
        <v>0</v>
      </c>
      <c r="E85">
        <v>1.2</v>
      </c>
      <c r="F85">
        <v>0.1</v>
      </c>
      <c r="G85" s="12">
        <v>0.4</v>
      </c>
      <c r="H85">
        <v>1</v>
      </c>
      <c r="I85" s="9" t="s">
        <v>1305</v>
      </c>
      <c r="J85" s="9" t="s">
        <v>1306</v>
      </c>
      <c r="K85" s="9" t="s">
        <v>1306</v>
      </c>
      <c r="L85">
        <v>317933.426675</v>
      </c>
      <c r="M85">
        <v>6468685.1188920001</v>
      </c>
      <c r="N85">
        <v>0</v>
      </c>
      <c r="O85">
        <v>12</v>
      </c>
      <c r="P85">
        <v>45901.769327000002</v>
      </c>
      <c r="Q85" s="9" t="s">
        <v>1640</v>
      </c>
      <c r="R85" s="9" t="s">
        <v>1641</v>
      </c>
      <c r="S85" s="9" t="s">
        <v>1309</v>
      </c>
      <c r="T85" s="9" t="s">
        <v>29</v>
      </c>
      <c r="U85" s="9" t="s">
        <v>1310</v>
      </c>
      <c r="V85" s="9" t="s">
        <v>1310</v>
      </c>
      <c r="W85" s="9" t="s">
        <v>30</v>
      </c>
      <c r="X85" s="9" t="s">
        <v>1642</v>
      </c>
      <c r="Y85" s="9">
        <f t="shared" si="3"/>
        <v>9886</v>
      </c>
      <c r="Z85" t="str">
        <f t="shared" si="4"/>
        <v>https://sig.aminerals.cl/imgdyn/rest/services/CL_MLP_PAO/CL_MLP_PAO_IF_Ortho_Transversal/ImageServer/file?id=.%5CTransversal_Aereo%5C25_02_02%5CCL_MLP_PAO_IF_Ortho_25_02_01_Transversal_TR_65.tif&amp;rasterId=9886</v>
      </c>
    </row>
    <row r="86" spans="1:26" x14ac:dyDescent="0.25">
      <c r="A86">
        <v>85</v>
      </c>
      <c r="B86" s="9" t="s">
        <v>1303</v>
      </c>
      <c r="C86" s="9" t="s">
        <v>1643</v>
      </c>
      <c r="D86">
        <v>0</v>
      </c>
      <c r="E86">
        <v>1.2</v>
      </c>
      <c r="F86">
        <v>0.1</v>
      </c>
      <c r="G86" s="12">
        <v>0.4</v>
      </c>
      <c r="H86">
        <v>1</v>
      </c>
      <c r="I86" s="9" t="s">
        <v>1305</v>
      </c>
      <c r="J86" s="9" t="s">
        <v>1306</v>
      </c>
      <c r="K86" s="9" t="s">
        <v>1306</v>
      </c>
      <c r="L86">
        <v>349690.91276600002</v>
      </c>
      <c r="M86">
        <v>6478803.0269099995</v>
      </c>
      <c r="N86">
        <v>0</v>
      </c>
      <c r="O86">
        <v>12</v>
      </c>
      <c r="P86">
        <v>45901.769328000002</v>
      </c>
      <c r="Q86" s="9" t="s">
        <v>1644</v>
      </c>
      <c r="R86" s="9" t="s">
        <v>1645</v>
      </c>
      <c r="S86" s="9" t="s">
        <v>1309</v>
      </c>
      <c r="T86" s="9" t="s">
        <v>29</v>
      </c>
      <c r="U86" s="9" t="s">
        <v>1310</v>
      </c>
      <c r="V86" s="9" t="s">
        <v>1310</v>
      </c>
      <c r="W86" s="9" t="s">
        <v>30</v>
      </c>
      <c r="X86" s="9" t="s">
        <v>1646</v>
      </c>
      <c r="Y86" s="9">
        <f t="shared" si="3"/>
        <v>9887</v>
      </c>
      <c r="Z86" t="str">
        <f t="shared" si="4"/>
        <v>https://sig.aminerals.cl/imgdyn/rest/services/CL_MLP_PAO/CL_MLP_PAO_IF_Ortho_Transversal/ImageServer/file?id=.%5CTransversal_Aereo%5C25_02_02%5CCL_MLP_PAO_IF_Ortho_25_02_01_Transversal_TR_66.tif&amp;rasterId=9887</v>
      </c>
    </row>
    <row r="87" spans="1:26" x14ac:dyDescent="0.25">
      <c r="A87">
        <v>86</v>
      </c>
      <c r="B87" s="9" t="s">
        <v>1303</v>
      </c>
      <c r="C87" s="9" t="s">
        <v>1647</v>
      </c>
      <c r="D87">
        <v>0</v>
      </c>
      <c r="E87">
        <v>1.2</v>
      </c>
      <c r="F87">
        <v>0.1</v>
      </c>
      <c r="G87" s="12">
        <v>0.4</v>
      </c>
      <c r="H87">
        <v>1</v>
      </c>
      <c r="I87" s="9" t="s">
        <v>1305</v>
      </c>
      <c r="J87" s="9" t="s">
        <v>1306</v>
      </c>
      <c r="K87" s="9" t="s">
        <v>1306</v>
      </c>
      <c r="L87">
        <v>316866.45580300002</v>
      </c>
      <c r="M87">
        <v>6468760.6843670001</v>
      </c>
      <c r="N87">
        <v>0</v>
      </c>
      <c r="O87">
        <v>12</v>
      </c>
      <c r="P87">
        <v>45901.769329000002</v>
      </c>
      <c r="Q87" s="9" t="s">
        <v>1648</v>
      </c>
      <c r="R87" s="9" t="s">
        <v>1649</v>
      </c>
      <c r="S87" s="9" t="s">
        <v>1309</v>
      </c>
      <c r="T87" s="9" t="s">
        <v>29</v>
      </c>
      <c r="U87" s="9" t="s">
        <v>1310</v>
      </c>
      <c r="V87" s="9" t="s">
        <v>1310</v>
      </c>
      <c r="W87" s="9" t="s">
        <v>30</v>
      </c>
      <c r="X87" s="9" t="s">
        <v>1650</v>
      </c>
      <c r="Y87" s="9">
        <f t="shared" si="3"/>
        <v>9888</v>
      </c>
      <c r="Z87" t="str">
        <f t="shared" si="4"/>
        <v>https://sig.aminerals.cl/imgdyn/rest/services/CL_MLP_PAO/CL_MLP_PAO_IF_Ortho_Transversal/ImageServer/file?id=.%5CTransversal_Aereo%5C25_02_02%5CCL_MLP_PAO_IF_Ortho_25_02_01_Transversal_TR_67.tif&amp;rasterId=9888</v>
      </c>
    </row>
    <row r="88" spans="1:26" x14ac:dyDescent="0.25">
      <c r="A88">
        <v>87</v>
      </c>
      <c r="B88" s="9" t="s">
        <v>1303</v>
      </c>
      <c r="C88" s="9" t="s">
        <v>1651</v>
      </c>
      <c r="D88">
        <v>0</v>
      </c>
      <c r="E88">
        <v>1.2</v>
      </c>
      <c r="F88">
        <v>0.1</v>
      </c>
      <c r="G88" s="12">
        <v>0.4</v>
      </c>
      <c r="H88">
        <v>1</v>
      </c>
      <c r="I88" s="9" t="s">
        <v>1305</v>
      </c>
      <c r="J88" s="9" t="s">
        <v>1306</v>
      </c>
      <c r="K88" s="9" t="s">
        <v>1306</v>
      </c>
      <c r="L88">
        <v>315968.19440899999</v>
      </c>
      <c r="M88">
        <v>6468836.2569960002</v>
      </c>
      <c r="N88">
        <v>0</v>
      </c>
      <c r="O88">
        <v>12</v>
      </c>
      <c r="P88">
        <v>45901.769330000003</v>
      </c>
      <c r="Q88" s="9" t="s">
        <v>1652</v>
      </c>
      <c r="R88" s="9" t="s">
        <v>1653</v>
      </c>
      <c r="S88" s="9" t="s">
        <v>1309</v>
      </c>
      <c r="T88" s="9" t="s">
        <v>29</v>
      </c>
      <c r="U88" s="9" t="s">
        <v>1310</v>
      </c>
      <c r="V88" s="9" t="s">
        <v>1310</v>
      </c>
      <c r="W88" s="9" t="s">
        <v>30</v>
      </c>
      <c r="X88" s="9" t="s">
        <v>1654</v>
      </c>
      <c r="Y88" s="9">
        <f t="shared" si="3"/>
        <v>9889</v>
      </c>
      <c r="Z88" t="str">
        <f t="shared" si="4"/>
        <v>https://sig.aminerals.cl/imgdyn/rest/services/CL_MLP_PAO/CL_MLP_PAO_IF_Ortho_Transversal/ImageServer/file?id=.%5CTransversal_Aereo%5C25_02_02%5CCL_MLP_PAO_IF_Ortho_25_02_01_Transversal_TR_68.tif&amp;rasterId=9889</v>
      </c>
    </row>
    <row r="89" spans="1:26" x14ac:dyDescent="0.25">
      <c r="A89">
        <v>88</v>
      </c>
      <c r="B89" s="9" t="s">
        <v>1303</v>
      </c>
      <c r="C89" s="9" t="s">
        <v>1655</v>
      </c>
      <c r="D89">
        <v>0</v>
      </c>
      <c r="E89">
        <v>1.2</v>
      </c>
      <c r="F89">
        <v>0.1</v>
      </c>
      <c r="G89" s="12">
        <v>0.4</v>
      </c>
      <c r="H89">
        <v>1</v>
      </c>
      <c r="I89" s="9" t="s">
        <v>1305</v>
      </c>
      <c r="J89" s="9" t="s">
        <v>1306</v>
      </c>
      <c r="K89" s="9" t="s">
        <v>1306</v>
      </c>
      <c r="L89">
        <v>315586.68854499998</v>
      </c>
      <c r="M89">
        <v>6467832.90362</v>
      </c>
      <c r="N89">
        <v>0</v>
      </c>
      <c r="O89">
        <v>12</v>
      </c>
      <c r="P89">
        <v>45901.769332000003</v>
      </c>
      <c r="Q89" s="9" t="s">
        <v>1656</v>
      </c>
      <c r="R89" s="9" t="s">
        <v>1657</v>
      </c>
      <c r="S89" s="9" t="s">
        <v>1309</v>
      </c>
      <c r="T89" s="9" t="s">
        <v>29</v>
      </c>
      <c r="U89" s="9" t="s">
        <v>1310</v>
      </c>
      <c r="V89" s="9" t="s">
        <v>1310</v>
      </c>
      <c r="W89" s="9" t="s">
        <v>30</v>
      </c>
      <c r="X89" s="9" t="s">
        <v>1658</v>
      </c>
      <c r="Y89" s="9">
        <f t="shared" si="3"/>
        <v>9890</v>
      </c>
      <c r="Z89" t="str">
        <f t="shared" si="4"/>
        <v>https://sig.aminerals.cl/imgdyn/rest/services/CL_MLP_PAO/CL_MLP_PAO_IF_Ortho_Transversal/ImageServer/file?id=.%5CTransversal_Aereo%5C25_02_02%5CCL_MLP_PAO_IF_Ortho_25_02_01_Transversal_TR_69.tif&amp;rasterId=9890</v>
      </c>
    </row>
    <row r="90" spans="1:26" x14ac:dyDescent="0.25">
      <c r="A90">
        <v>89</v>
      </c>
      <c r="B90" s="9" t="s">
        <v>1303</v>
      </c>
      <c r="C90" s="9" t="s">
        <v>1659</v>
      </c>
      <c r="D90">
        <v>0</v>
      </c>
      <c r="E90">
        <v>1.2</v>
      </c>
      <c r="F90">
        <v>0.1</v>
      </c>
      <c r="G90" s="12">
        <v>0.4</v>
      </c>
      <c r="H90">
        <v>1</v>
      </c>
      <c r="I90" s="9" t="s">
        <v>1305</v>
      </c>
      <c r="J90" s="9" t="s">
        <v>1306</v>
      </c>
      <c r="K90" s="9" t="s">
        <v>1306</v>
      </c>
      <c r="L90">
        <v>277059.73536599998</v>
      </c>
      <c r="M90">
        <v>6471650.2710210001</v>
      </c>
      <c r="N90">
        <v>0</v>
      </c>
      <c r="O90">
        <v>12</v>
      </c>
      <c r="P90">
        <v>45901.769332999997</v>
      </c>
      <c r="Q90" s="9" t="s">
        <v>1660</v>
      </c>
      <c r="R90" s="9" t="s">
        <v>1661</v>
      </c>
      <c r="S90" s="9" t="s">
        <v>1309</v>
      </c>
      <c r="T90" s="9" t="s">
        <v>29</v>
      </c>
      <c r="U90" s="9" t="s">
        <v>1310</v>
      </c>
      <c r="V90" s="9" t="s">
        <v>1310</v>
      </c>
      <c r="W90" s="9" t="s">
        <v>30</v>
      </c>
      <c r="X90" s="9" t="s">
        <v>1662</v>
      </c>
      <c r="Y90" s="9">
        <f t="shared" si="3"/>
        <v>9891</v>
      </c>
      <c r="Z90" t="str">
        <f t="shared" si="4"/>
        <v>https://sig.aminerals.cl/imgdyn/rest/services/CL_MLP_PAO/CL_MLP_PAO_IF_Ortho_Transversal/ImageServer/file?id=.%5CTransversal_Aereo%5C25_02_02%5CCL_MLP_PAO_IF_Ortho_25_02_01_Transversal_TR_7.tif&amp;rasterId=9891</v>
      </c>
    </row>
    <row r="91" spans="1:26" x14ac:dyDescent="0.25">
      <c r="A91">
        <v>90</v>
      </c>
      <c r="B91" s="9" t="s">
        <v>1303</v>
      </c>
      <c r="C91" s="9" t="s">
        <v>1663</v>
      </c>
      <c r="D91">
        <v>0</v>
      </c>
      <c r="E91">
        <v>1.2</v>
      </c>
      <c r="F91">
        <v>0.1</v>
      </c>
      <c r="G91" s="12">
        <v>0.4</v>
      </c>
      <c r="H91">
        <v>1</v>
      </c>
      <c r="I91" s="9" t="s">
        <v>1305</v>
      </c>
      <c r="J91" s="9" t="s">
        <v>1306</v>
      </c>
      <c r="K91" s="9" t="s">
        <v>1306</v>
      </c>
      <c r="L91">
        <v>314378.612005</v>
      </c>
      <c r="M91">
        <v>6466778.4260189999</v>
      </c>
      <c r="N91">
        <v>0</v>
      </c>
      <c r="O91">
        <v>12</v>
      </c>
      <c r="P91">
        <v>45901.769333999997</v>
      </c>
      <c r="Q91" s="9" t="s">
        <v>1664</v>
      </c>
      <c r="R91" s="9" t="s">
        <v>1665</v>
      </c>
      <c r="S91" s="9" t="s">
        <v>1309</v>
      </c>
      <c r="T91" s="9" t="s">
        <v>29</v>
      </c>
      <c r="U91" s="9" t="s">
        <v>1310</v>
      </c>
      <c r="V91" s="9" t="s">
        <v>1310</v>
      </c>
      <c r="W91" s="9" t="s">
        <v>30</v>
      </c>
      <c r="X91" s="9" t="s">
        <v>1666</v>
      </c>
      <c r="Y91" s="9">
        <f t="shared" si="3"/>
        <v>9892</v>
      </c>
      <c r="Z91" t="str">
        <f t="shared" si="4"/>
        <v>https://sig.aminerals.cl/imgdyn/rest/services/CL_MLP_PAO/CL_MLP_PAO_IF_Ortho_Transversal/ImageServer/file?id=.%5CTransversal_Aereo%5C25_02_02%5CCL_MLP_PAO_IF_Ortho_25_02_01_Transversal_TR_70.tif&amp;rasterId=9892</v>
      </c>
    </row>
    <row r="92" spans="1:26" x14ac:dyDescent="0.25">
      <c r="A92">
        <v>91</v>
      </c>
      <c r="B92" s="9" t="s">
        <v>1303</v>
      </c>
      <c r="C92" s="9" t="s">
        <v>1667</v>
      </c>
      <c r="D92">
        <v>0</v>
      </c>
      <c r="E92">
        <v>1.2</v>
      </c>
      <c r="F92">
        <v>0.1</v>
      </c>
      <c r="G92" s="12">
        <v>0.2</v>
      </c>
      <c r="H92">
        <v>1</v>
      </c>
      <c r="I92" s="9" t="s">
        <v>1305</v>
      </c>
      <c r="J92" s="9" t="s">
        <v>1306</v>
      </c>
      <c r="K92" s="9" t="s">
        <v>1306</v>
      </c>
      <c r="L92">
        <v>315008.77542000002</v>
      </c>
      <c r="M92">
        <v>6467218.6230239999</v>
      </c>
      <c r="N92">
        <v>0</v>
      </c>
      <c r="O92">
        <v>12</v>
      </c>
      <c r="P92">
        <v>45901.769335999998</v>
      </c>
      <c r="Q92" s="9" t="s">
        <v>1668</v>
      </c>
      <c r="R92" s="9" t="s">
        <v>1669</v>
      </c>
      <c r="S92" s="9" t="s">
        <v>1309</v>
      </c>
      <c r="T92" s="9" t="s">
        <v>29</v>
      </c>
      <c r="U92" s="9" t="s">
        <v>1310</v>
      </c>
      <c r="V92" s="9" t="s">
        <v>1310</v>
      </c>
      <c r="W92" s="9" t="s">
        <v>30</v>
      </c>
      <c r="X92" s="9" t="s">
        <v>1670</v>
      </c>
      <c r="Y92" s="9">
        <f t="shared" si="3"/>
        <v>9893</v>
      </c>
      <c r="Z92" t="str">
        <f t="shared" si="4"/>
        <v>https://sig.aminerals.cl/imgdyn/rest/services/CL_MLP_PAO/CL_MLP_PAO_IF_Ortho_Transversal/ImageServer/file?id=.%5CTransversal_Aereo%5C25_02_02%5CCL_MLP_PAO_IF_Ortho_25_02_01_Transversal_TR_71.tif&amp;rasterId=9893</v>
      </c>
    </row>
    <row r="93" spans="1:26" x14ac:dyDescent="0.25">
      <c r="A93">
        <v>92</v>
      </c>
      <c r="B93" s="9" t="s">
        <v>1303</v>
      </c>
      <c r="C93" s="9" t="s">
        <v>1671</v>
      </c>
      <c r="D93">
        <v>0</v>
      </c>
      <c r="E93">
        <v>1.2</v>
      </c>
      <c r="F93">
        <v>0.1</v>
      </c>
      <c r="G93" s="12">
        <v>0.2</v>
      </c>
      <c r="H93">
        <v>1</v>
      </c>
      <c r="I93" s="9" t="s">
        <v>1305</v>
      </c>
      <c r="J93" s="9" t="s">
        <v>1306</v>
      </c>
      <c r="K93" s="9" t="s">
        <v>1306</v>
      </c>
      <c r="L93">
        <v>314250.26485099999</v>
      </c>
      <c r="M93">
        <v>6465967.5075700004</v>
      </c>
      <c r="N93">
        <v>0</v>
      </c>
      <c r="O93">
        <v>12</v>
      </c>
      <c r="P93">
        <v>45901.769336999998</v>
      </c>
      <c r="Q93" s="9" t="s">
        <v>1672</v>
      </c>
      <c r="R93" s="9" t="s">
        <v>1673</v>
      </c>
      <c r="S93" s="9" t="s">
        <v>1309</v>
      </c>
      <c r="T93" s="9" t="s">
        <v>29</v>
      </c>
      <c r="U93" s="9" t="s">
        <v>1310</v>
      </c>
      <c r="V93" s="9" t="s">
        <v>1310</v>
      </c>
      <c r="W93" s="9" t="s">
        <v>30</v>
      </c>
      <c r="X93" s="9" t="s">
        <v>1674</v>
      </c>
      <c r="Y93" s="9">
        <f t="shared" si="3"/>
        <v>9894</v>
      </c>
      <c r="Z93" t="str">
        <f t="shared" si="4"/>
        <v>https://sig.aminerals.cl/imgdyn/rest/services/CL_MLP_PAO/CL_MLP_PAO_IF_Ortho_Transversal/ImageServer/file?id=.%5CTransversal_Aereo%5C25_02_02%5CCL_MLP_PAO_IF_Ortho_25_02_01_Transversal_TR_72.tif&amp;rasterId=9894</v>
      </c>
    </row>
    <row r="94" spans="1:26" x14ac:dyDescent="0.25">
      <c r="A94">
        <v>93</v>
      </c>
      <c r="B94" s="9" t="s">
        <v>1303</v>
      </c>
      <c r="C94" s="9" t="s">
        <v>1675</v>
      </c>
      <c r="D94">
        <v>0</v>
      </c>
      <c r="E94">
        <v>1.2</v>
      </c>
      <c r="F94">
        <v>0.1</v>
      </c>
      <c r="G94" s="12">
        <v>0.4</v>
      </c>
      <c r="H94">
        <v>1</v>
      </c>
      <c r="I94" s="9" t="s">
        <v>1305</v>
      </c>
      <c r="J94" s="9" t="s">
        <v>1306</v>
      </c>
      <c r="K94" s="9" t="s">
        <v>1306</v>
      </c>
      <c r="L94">
        <v>313503.24457500002</v>
      </c>
      <c r="M94">
        <v>6465367.1234250003</v>
      </c>
      <c r="N94">
        <v>0</v>
      </c>
      <c r="O94">
        <v>12</v>
      </c>
      <c r="P94">
        <v>45901.769337999998</v>
      </c>
      <c r="Q94" s="9" t="s">
        <v>1676</v>
      </c>
      <c r="R94" s="9" t="s">
        <v>1677</v>
      </c>
      <c r="S94" s="9" t="s">
        <v>1309</v>
      </c>
      <c r="T94" s="9" t="s">
        <v>29</v>
      </c>
      <c r="U94" s="9" t="s">
        <v>1310</v>
      </c>
      <c r="V94" s="9" t="s">
        <v>1310</v>
      </c>
      <c r="W94" s="9" t="s">
        <v>30</v>
      </c>
      <c r="X94" s="9" t="s">
        <v>1678</v>
      </c>
      <c r="Y94" s="9">
        <f t="shared" si="3"/>
        <v>9895</v>
      </c>
      <c r="Z94" t="str">
        <f t="shared" si="4"/>
        <v>https://sig.aminerals.cl/imgdyn/rest/services/CL_MLP_PAO/CL_MLP_PAO_IF_Ortho_Transversal/ImageServer/file?id=.%5CTransversal_Aereo%5C25_02_02%5CCL_MLP_PAO_IF_Ortho_25_02_01_Transversal_TR_73.tif&amp;rasterId=9895</v>
      </c>
    </row>
    <row r="95" spans="1:26" x14ac:dyDescent="0.25">
      <c r="A95">
        <v>94</v>
      </c>
      <c r="B95" s="9" t="s">
        <v>1303</v>
      </c>
      <c r="C95" s="9" t="s">
        <v>1679</v>
      </c>
      <c r="D95">
        <v>0</v>
      </c>
      <c r="E95">
        <v>1.2</v>
      </c>
      <c r="F95">
        <v>0.1</v>
      </c>
      <c r="G95" s="12">
        <v>0.4</v>
      </c>
      <c r="H95">
        <v>1</v>
      </c>
      <c r="I95" s="9" t="s">
        <v>1305</v>
      </c>
      <c r="J95" s="9" t="s">
        <v>1306</v>
      </c>
      <c r="K95" s="9" t="s">
        <v>1306</v>
      </c>
      <c r="L95">
        <v>312500.14759200002</v>
      </c>
      <c r="M95">
        <v>6465026.3381510004</v>
      </c>
      <c r="N95">
        <v>0</v>
      </c>
      <c r="O95">
        <v>12</v>
      </c>
      <c r="P95">
        <v>45901.769339999999</v>
      </c>
      <c r="Q95" s="9" t="s">
        <v>1680</v>
      </c>
      <c r="R95" s="9" t="s">
        <v>1681</v>
      </c>
      <c r="S95" s="9" t="s">
        <v>1309</v>
      </c>
      <c r="T95" s="9" t="s">
        <v>29</v>
      </c>
      <c r="U95" s="9" t="s">
        <v>1310</v>
      </c>
      <c r="V95" s="9" t="s">
        <v>1310</v>
      </c>
      <c r="W95" s="9" t="s">
        <v>30</v>
      </c>
      <c r="X95" s="9" t="s">
        <v>1682</v>
      </c>
      <c r="Y95" s="9">
        <f t="shared" si="3"/>
        <v>9896</v>
      </c>
      <c r="Z95" t="str">
        <f t="shared" si="4"/>
        <v>https://sig.aminerals.cl/imgdyn/rest/services/CL_MLP_PAO/CL_MLP_PAO_IF_Ortho_Transversal/ImageServer/file?id=.%5CTransversal_Aereo%5C25_02_02%5CCL_MLP_PAO_IF_Ortho_25_02_01_Transversal_TR_74.tif&amp;rasterId=9896</v>
      </c>
    </row>
    <row r="96" spans="1:26" x14ac:dyDescent="0.25">
      <c r="A96">
        <v>95</v>
      </c>
      <c r="B96" s="9" t="s">
        <v>1303</v>
      </c>
      <c r="C96" s="9" t="s">
        <v>1683</v>
      </c>
      <c r="D96">
        <v>0</v>
      </c>
      <c r="E96">
        <v>1.2</v>
      </c>
      <c r="F96">
        <v>0.1</v>
      </c>
      <c r="G96" s="12">
        <v>0.4</v>
      </c>
      <c r="H96">
        <v>1</v>
      </c>
      <c r="I96" s="9" t="s">
        <v>1305</v>
      </c>
      <c r="J96" s="9" t="s">
        <v>1306</v>
      </c>
      <c r="K96" s="9" t="s">
        <v>1306</v>
      </c>
      <c r="L96">
        <v>311500.15195999999</v>
      </c>
      <c r="M96">
        <v>6464687.627111</v>
      </c>
      <c r="N96">
        <v>0</v>
      </c>
      <c r="O96">
        <v>12</v>
      </c>
      <c r="P96">
        <v>45901.769340999999</v>
      </c>
      <c r="Q96" s="9" t="s">
        <v>1684</v>
      </c>
      <c r="R96" s="9" t="s">
        <v>1685</v>
      </c>
      <c r="S96" s="9" t="s">
        <v>1309</v>
      </c>
      <c r="T96" s="9" t="s">
        <v>29</v>
      </c>
      <c r="U96" s="9" t="s">
        <v>1310</v>
      </c>
      <c r="V96" s="9" t="s">
        <v>1310</v>
      </c>
      <c r="W96" s="9" t="s">
        <v>30</v>
      </c>
      <c r="X96" s="9" t="s">
        <v>1686</v>
      </c>
      <c r="Y96" s="9">
        <f t="shared" si="3"/>
        <v>9897</v>
      </c>
      <c r="Z96" t="str">
        <f t="shared" si="4"/>
        <v>https://sig.aminerals.cl/imgdyn/rest/services/CL_MLP_PAO/CL_MLP_PAO_IF_Ortho_Transversal/ImageServer/file?id=.%5CTransversal_Aereo%5C25_02_02%5CCL_MLP_PAO_IF_Ortho_25_02_01_Transversal_TR_75.tif&amp;rasterId=9897</v>
      </c>
    </row>
    <row r="97" spans="1:26" x14ac:dyDescent="0.25">
      <c r="A97">
        <v>96</v>
      </c>
      <c r="B97" s="9" t="s">
        <v>1303</v>
      </c>
      <c r="C97" s="9" t="s">
        <v>1687</v>
      </c>
      <c r="D97">
        <v>0</v>
      </c>
      <c r="E97">
        <v>0.4</v>
      </c>
      <c r="F97">
        <v>0.1</v>
      </c>
      <c r="G97" s="12">
        <v>0.2</v>
      </c>
      <c r="H97">
        <v>1</v>
      </c>
      <c r="I97" s="9" t="s">
        <v>1305</v>
      </c>
      <c r="J97" s="9" t="s">
        <v>1306</v>
      </c>
      <c r="K97" s="9" t="s">
        <v>1306</v>
      </c>
      <c r="L97">
        <v>312132.97461400001</v>
      </c>
      <c r="M97">
        <v>6462923.5826519998</v>
      </c>
      <c r="N97">
        <v>0</v>
      </c>
      <c r="O97">
        <v>12</v>
      </c>
      <c r="P97">
        <v>45901.769343</v>
      </c>
      <c r="Q97" s="9" t="s">
        <v>1688</v>
      </c>
      <c r="R97" s="9" t="s">
        <v>1689</v>
      </c>
      <c r="S97" s="9" t="s">
        <v>1309</v>
      </c>
      <c r="T97" s="9" t="s">
        <v>29</v>
      </c>
      <c r="U97" s="9" t="s">
        <v>1310</v>
      </c>
      <c r="V97" s="9" t="s">
        <v>1310</v>
      </c>
      <c r="W97" s="9" t="s">
        <v>30</v>
      </c>
      <c r="X97" s="9" t="s">
        <v>1690</v>
      </c>
      <c r="Y97" s="9">
        <f t="shared" si="3"/>
        <v>9898</v>
      </c>
      <c r="Z97" t="str">
        <f t="shared" si="4"/>
        <v>https://sig.aminerals.cl/imgdyn/rest/services/CL_MLP_PAO/CL_MLP_PAO_IF_Ortho_Transversal/ImageServer/file?id=.%5CTransversal_Aereo%5C25_02_02%5CCL_MLP_PAO_IF_Ortho_25_02_01_Transversal_TR_76.tif&amp;rasterId=9898</v>
      </c>
    </row>
    <row r="98" spans="1:26" x14ac:dyDescent="0.25">
      <c r="A98">
        <v>97</v>
      </c>
      <c r="B98" s="9" t="s">
        <v>1303</v>
      </c>
      <c r="C98" s="9" t="s">
        <v>1691</v>
      </c>
      <c r="D98">
        <v>0</v>
      </c>
      <c r="E98">
        <v>0.4</v>
      </c>
      <c r="F98">
        <v>0.1</v>
      </c>
      <c r="G98" s="12">
        <v>0.2</v>
      </c>
      <c r="H98">
        <v>1</v>
      </c>
      <c r="I98" s="9" t="s">
        <v>1305</v>
      </c>
      <c r="J98" s="9" t="s">
        <v>1306</v>
      </c>
      <c r="K98" s="9" t="s">
        <v>1306</v>
      </c>
      <c r="L98">
        <v>350821.885626</v>
      </c>
      <c r="M98">
        <v>6478012.1097090002</v>
      </c>
      <c r="N98">
        <v>0</v>
      </c>
      <c r="O98">
        <v>12</v>
      </c>
      <c r="P98">
        <v>45901.769344</v>
      </c>
      <c r="Q98" s="9" t="s">
        <v>1692</v>
      </c>
      <c r="R98" s="9" t="s">
        <v>1693</v>
      </c>
      <c r="S98" s="9" t="s">
        <v>1309</v>
      </c>
      <c r="T98" s="9" t="s">
        <v>29</v>
      </c>
      <c r="U98" s="9" t="s">
        <v>1310</v>
      </c>
      <c r="V98" s="9" t="s">
        <v>1310</v>
      </c>
      <c r="W98" s="9" t="s">
        <v>30</v>
      </c>
      <c r="X98" s="9" t="s">
        <v>1694</v>
      </c>
      <c r="Y98" s="9">
        <f t="shared" ref="Y98:Y122" si="5">VLOOKUP(C98,$A$418:$B$538,2,FALSE())</f>
        <v>9899</v>
      </c>
      <c r="Z98" t="str">
        <f t="shared" si="4"/>
        <v>https://sig.aminerals.cl/imgdyn/rest/services/CL_MLP_PAO/CL_MLP_PAO_IF_Ortho_Transversal/ImageServer/file?id=.%5CTransversal_Aereo%5C25_02_02%5CCL_MLP_PAO_IF_Ortho_25_02_01_Transversal_TR_77.tif&amp;rasterId=9899</v>
      </c>
    </row>
    <row r="99" spans="1:26" x14ac:dyDescent="0.25">
      <c r="A99">
        <v>98</v>
      </c>
      <c r="B99" s="9" t="s">
        <v>1303</v>
      </c>
      <c r="C99" s="9" t="s">
        <v>1695</v>
      </c>
      <c r="D99">
        <v>0</v>
      </c>
      <c r="E99">
        <v>1.2</v>
      </c>
      <c r="F99">
        <v>0.1</v>
      </c>
      <c r="G99" s="12">
        <v>0.4</v>
      </c>
      <c r="H99">
        <v>1</v>
      </c>
      <c r="I99" s="9" t="s">
        <v>1305</v>
      </c>
      <c r="J99" s="9" t="s">
        <v>1306</v>
      </c>
      <c r="K99" s="9" t="s">
        <v>1306</v>
      </c>
      <c r="L99">
        <v>310545.34913799999</v>
      </c>
      <c r="M99">
        <v>6464392.6195109999</v>
      </c>
      <c r="N99">
        <v>0</v>
      </c>
      <c r="O99">
        <v>12</v>
      </c>
      <c r="P99">
        <v>45901.769346000001</v>
      </c>
      <c r="Q99" s="9" t="s">
        <v>1696</v>
      </c>
      <c r="R99" s="9" t="s">
        <v>1697</v>
      </c>
      <c r="S99" s="9" t="s">
        <v>1309</v>
      </c>
      <c r="T99" s="9" t="s">
        <v>29</v>
      </c>
      <c r="U99" s="9" t="s">
        <v>1310</v>
      </c>
      <c r="V99" s="9" t="s">
        <v>1310</v>
      </c>
      <c r="W99" s="9" t="s">
        <v>30</v>
      </c>
      <c r="X99" s="9" t="s">
        <v>1698</v>
      </c>
      <c r="Y99" s="9">
        <f t="shared" si="5"/>
        <v>9900</v>
      </c>
      <c r="Z99" t="str">
        <f t="shared" si="4"/>
        <v>https://sig.aminerals.cl/imgdyn/rest/services/CL_MLP_PAO/CL_MLP_PAO_IF_Ortho_Transversal/ImageServer/file?id=.%5CTransversal_Aereo%5C25_02_02%5CCL_MLP_PAO_IF_Ortho_25_02_01_Transversal_TR_78.tif&amp;rasterId=9900</v>
      </c>
    </row>
    <row r="100" spans="1:26" x14ac:dyDescent="0.25">
      <c r="A100">
        <v>99</v>
      </c>
      <c r="B100" s="9" t="s">
        <v>1303</v>
      </c>
      <c r="C100" s="9" t="s">
        <v>1699</v>
      </c>
      <c r="D100">
        <v>0</v>
      </c>
      <c r="E100">
        <v>1.2</v>
      </c>
      <c r="F100">
        <v>0.1</v>
      </c>
      <c r="G100" s="12">
        <v>0.4</v>
      </c>
      <c r="H100">
        <v>1</v>
      </c>
      <c r="I100" s="9" t="s">
        <v>1305</v>
      </c>
      <c r="J100" s="9" t="s">
        <v>1306</v>
      </c>
      <c r="K100" s="9" t="s">
        <v>1306</v>
      </c>
      <c r="L100">
        <v>310398.11404199997</v>
      </c>
      <c r="M100">
        <v>6463795.9503730005</v>
      </c>
      <c r="N100">
        <v>0</v>
      </c>
      <c r="O100">
        <v>12</v>
      </c>
      <c r="P100">
        <v>45901.769347000001</v>
      </c>
      <c r="Q100" s="9" t="s">
        <v>1700</v>
      </c>
      <c r="R100" s="9" t="s">
        <v>1701</v>
      </c>
      <c r="S100" s="9" t="s">
        <v>1309</v>
      </c>
      <c r="T100" s="9" t="s">
        <v>29</v>
      </c>
      <c r="U100" s="9" t="s">
        <v>1310</v>
      </c>
      <c r="V100" s="9" t="s">
        <v>1310</v>
      </c>
      <c r="W100" s="9" t="s">
        <v>30</v>
      </c>
      <c r="X100" s="9" t="s">
        <v>1702</v>
      </c>
      <c r="Y100" s="9">
        <f t="shared" si="5"/>
        <v>9901</v>
      </c>
      <c r="Z100" t="str">
        <f t="shared" si="4"/>
        <v>https://sig.aminerals.cl/imgdyn/rest/services/CL_MLP_PAO/CL_MLP_PAO_IF_Ortho_Transversal/ImageServer/file?id=.%5CTransversal_Aereo%5C25_02_02%5CCL_MLP_PAO_IF_Ortho_25_02_01_Transversal_TR_79.tif&amp;rasterId=9901</v>
      </c>
    </row>
    <row r="101" spans="1:26" x14ac:dyDescent="0.25">
      <c r="A101">
        <v>100</v>
      </c>
      <c r="B101" s="9" t="s">
        <v>1303</v>
      </c>
      <c r="C101" s="9" t="s">
        <v>1703</v>
      </c>
      <c r="D101">
        <v>0</v>
      </c>
      <c r="E101">
        <v>1.2</v>
      </c>
      <c r="F101">
        <v>0.1</v>
      </c>
      <c r="G101" s="12">
        <v>0.4</v>
      </c>
      <c r="H101">
        <v>1</v>
      </c>
      <c r="I101" s="9" t="s">
        <v>1305</v>
      </c>
      <c r="J101" s="9" t="s">
        <v>1306</v>
      </c>
      <c r="K101" s="9" t="s">
        <v>1306</v>
      </c>
      <c r="L101">
        <v>275935.114527</v>
      </c>
      <c r="M101">
        <v>6471829.1286979998</v>
      </c>
      <c r="N101">
        <v>0</v>
      </c>
      <c r="O101">
        <v>12</v>
      </c>
      <c r="P101">
        <v>45901.769349000002</v>
      </c>
      <c r="Q101" s="9" t="s">
        <v>1704</v>
      </c>
      <c r="R101" s="9" t="s">
        <v>1705</v>
      </c>
      <c r="S101" s="9" t="s">
        <v>1309</v>
      </c>
      <c r="T101" s="9" t="s">
        <v>29</v>
      </c>
      <c r="U101" s="9" t="s">
        <v>1310</v>
      </c>
      <c r="V101" s="9" t="s">
        <v>1310</v>
      </c>
      <c r="W101" s="9" t="s">
        <v>30</v>
      </c>
      <c r="X101" s="9" t="s">
        <v>1706</v>
      </c>
      <c r="Y101" s="9">
        <f t="shared" si="5"/>
        <v>9902</v>
      </c>
      <c r="Z101" t="str">
        <f t="shared" si="4"/>
        <v>https://sig.aminerals.cl/imgdyn/rest/services/CL_MLP_PAO/CL_MLP_PAO_IF_Ortho_Transversal/ImageServer/file?id=.%5CTransversal_Aereo%5C25_02_02%5CCL_MLP_PAO_IF_Ortho_25_02_01_Transversal_TR_8.tif&amp;rasterId=9902</v>
      </c>
    </row>
    <row r="102" spans="1:26" x14ac:dyDescent="0.25">
      <c r="A102">
        <v>101</v>
      </c>
      <c r="B102" s="9" t="s">
        <v>1303</v>
      </c>
      <c r="C102" s="9" t="s">
        <v>1707</v>
      </c>
      <c r="D102">
        <v>0</v>
      </c>
      <c r="E102">
        <v>1.2</v>
      </c>
      <c r="F102">
        <v>0.1</v>
      </c>
      <c r="G102" s="12">
        <v>0.4</v>
      </c>
      <c r="H102">
        <v>1</v>
      </c>
      <c r="I102" s="9" t="s">
        <v>1305</v>
      </c>
      <c r="J102" s="9" t="s">
        <v>1306</v>
      </c>
      <c r="K102" s="9" t="s">
        <v>1306</v>
      </c>
      <c r="L102">
        <v>310452.138607</v>
      </c>
      <c r="M102">
        <v>6462966.4342179997</v>
      </c>
      <c r="N102">
        <v>0</v>
      </c>
      <c r="O102">
        <v>12</v>
      </c>
      <c r="P102">
        <v>45901.769350000002</v>
      </c>
      <c r="Q102" s="9" t="s">
        <v>1708</v>
      </c>
      <c r="R102" s="9" t="s">
        <v>1709</v>
      </c>
      <c r="S102" s="9" t="s">
        <v>1309</v>
      </c>
      <c r="T102" s="9" t="s">
        <v>29</v>
      </c>
      <c r="U102" s="9" t="s">
        <v>1310</v>
      </c>
      <c r="V102" s="9" t="s">
        <v>1310</v>
      </c>
      <c r="W102" s="9" t="s">
        <v>30</v>
      </c>
      <c r="X102" s="9" t="s">
        <v>1710</v>
      </c>
      <c r="Y102" s="9">
        <f t="shared" si="5"/>
        <v>9903</v>
      </c>
      <c r="Z102" t="str">
        <f t="shared" si="4"/>
        <v>https://sig.aminerals.cl/imgdyn/rest/services/CL_MLP_PAO/CL_MLP_PAO_IF_Ortho_Transversal/ImageServer/file?id=.%5CTransversal_Aereo%5C25_02_02%5CCL_MLP_PAO_IF_Ortho_25_02_01_Transversal_TR_80.tif&amp;rasterId=9903</v>
      </c>
    </row>
    <row r="103" spans="1:26" x14ac:dyDescent="0.25">
      <c r="A103">
        <v>102</v>
      </c>
      <c r="B103" s="9" t="s">
        <v>1303</v>
      </c>
      <c r="C103" s="9" t="s">
        <v>1711</v>
      </c>
      <c r="D103">
        <v>0</v>
      </c>
      <c r="E103">
        <v>1.2</v>
      </c>
      <c r="F103">
        <v>0.1</v>
      </c>
      <c r="G103" s="12">
        <v>0.4</v>
      </c>
      <c r="H103">
        <v>1</v>
      </c>
      <c r="I103" s="9" t="s">
        <v>1305</v>
      </c>
      <c r="J103" s="9" t="s">
        <v>1306</v>
      </c>
      <c r="K103" s="9" t="s">
        <v>1306</v>
      </c>
      <c r="L103">
        <v>309694.05900100002</v>
      </c>
      <c r="M103">
        <v>6463714.9232890001</v>
      </c>
      <c r="N103">
        <v>0</v>
      </c>
      <c r="O103">
        <v>12</v>
      </c>
      <c r="P103">
        <v>45901.769352000003</v>
      </c>
      <c r="Q103" s="9" t="s">
        <v>1712</v>
      </c>
      <c r="R103" s="9" t="s">
        <v>1713</v>
      </c>
      <c r="S103" s="9" t="s">
        <v>1309</v>
      </c>
      <c r="T103" s="9" t="s">
        <v>29</v>
      </c>
      <c r="U103" s="9" t="s">
        <v>1310</v>
      </c>
      <c r="V103" s="9" t="s">
        <v>1310</v>
      </c>
      <c r="W103" s="9" t="s">
        <v>30</v>
      </c>
      <c r="X103" s="9" t="s">
        <v>1714</v>
      </c>
      <c r="Y103" s="9">
        <f t="shared" si="5"/>
        <v>9904</v>
      </c>
      <c r="Z103" t="str">
        <f t="shared" si="4"/>
        <v>https://sig.aminerals.cl/imgdyn/rest/services/CL_MLP_PAO/CL_MLP_PAO_IF_Ortho_Transversal/ImageServer/file?id=.%5CTransversal_Aereo%5C25_02_02%5CCL_MLP_PAO_IF_Ortho_25_02_01_Transversal_TR_81.tif&amp;rasterId=9904</v>
      </c>
    </row>
    <row r="104" spans="1:26" x14ac:dyDescent="0.25">
      <c r="A104">
        <v>103</v>
      </c>
      <c r="B104" s="9" t="s">
        <v>1303</v>
      </c>
      <c r="C104" s="9" t="s">
        <v>1715</v>
      </c>
      <c r="D104">
        <v>0</v>
      </c>
      <c r="E104">
        <v>1.2</v>
      </c>
      <c r="F104">
        <v>0.1</v>
      </c>
      <c r="G104" s="12">
        <v>0.4</v>
      </c>
      <c r="H104">
        <v>1</v>
      </c>
      <c r="I104" s="9" t="s">
        <v>1305</v>
      </c>
      <c r="J104" s="9" t="s">
        <v>1306</v>
      </c>
      <c r="K104" s="9" t="s">
        <v>1306</v>
      </c>
      <c r="L104">
        <v>309199.83369100001</v>
      </c>
      <c r="M104">
        <v>6463070.5658489997</v>
      </c>
      <c r="N104">
        <v>0</v>
      </c>
      <c r="O104">
        <v>12</v>
      </c>
      <c r="P104">
        <v>45901.769353000003</v>
      </c>
      <c r="Q104" s="9" t="s">
        <v>1716</v>
      </c>
      <c r="R104" s="9" t="s">
        <v>1717</v>
      </c>
      <c r="S104" s="9" t="s">
        <v>1309</v>
      </c>
      <c r="T104" s="9" t="s">
        <v>29</v>
      </c>
      <c r="U104" s="9" t="s">
        <v>1310</v>
      </c>
      <c r="V104" s="9" t="s">
        <v>1310</v>
      </c>
      <c r="W104" s="9" t="s">
        <v>30</v>
      </c>
      <c r="X104" s="9" t="s">
        <v>1718</v>
      </c>
      <c r="Y104" s="9">
        <f t="shared" si="5"/>
        <v>9905</v>
      </c>
      <c r="Z104" t="str">
        <f t="shared" si="4"/>
        <v>https://sig.aminerals.cl/imgdyn/rest/services/CL_MLP_PAO/CL_MLP_PAO_IF_Ortho_Transversal/ImageServer/file?id=.%5CTransversal_Aereo%5C25_02_02%5CCL_MLP_PAO_IF_Ortho_25_02_01_Transversal_TR_82.tif&amp;rasterId=9905</v>
      </c>
    </row>
    <row r="105" spans="1:26" x14ac:dyDescent="0.25">
      <c r="A105">
        <v>104</v>
      </c>
      <c r="B105" s="9" t="s">
        <v>1303</v>
      </c>
      <c r="C105" s="9" t="s">
        <v>1719</v>
      </c>
      <c r="D105">
        <v>0</v>
      </c>
      <c r="E105">
        <v>1.2</v>
      </c>
      <c r="F105">
        <v>0.1</v>
      </c>
      <c r="G105" s="12">
        <v>0.4</v>
      </c>
      <c r="H105">
        <v>1</v>
      </c>
      <c r="I105" s="9" t="s">
        <v>1305</v>
      </c>
      <c r="J105" s="9" t="s">
        <v>1306</v>
      </c>
      <c r="K105" s="9" t="s">
        <v>1306</v>
      </c>
      <c r="L105">
        <v>308582.217343</v>
      </c>
      <c r="M105">
        <v>6463099.5863429997</v>
      </c>
      <c r="N105">
        <v>0</v>
      </c>
      <c r="O105">
        <v>12</v>
      </c>
      <c r="P105">
        <v>45901.769354999997</v>
      </c>
      <c r="Q105" s="9" t="s">
        <v>1720</v>
      </c>
      <c r="R105" s="9" t="s">
        <v>1721</v>
      </c>
      <c r="S105" s="9" t="s">
        <v>1309</v>
      </c>
      <c r="T105" s="9" t="s">
        <v>29</v>
      </c>
      <c r="U105" s="9" t="s">
        <v>1310</v>
      </c>
      <c r="V105" s="9" t="s">
        <v>1310</v>
      </c>
      <c r="W105" s="9" t="s">
        <v>30</v>
      </c>
      <c r="X105" s="9" t="s">
        <v>1722</v>
      </c>
      <c r="Y105" s="9">
        <f t="shared" si="5"/>
        <v>9906</v>
      </c>
      <c r="Z105" t="str">
        <f t="shared" si="4"/>
        <v>https://sig.aminerals.cl/imgdyn/rest/services/CL_MLP_PAO/CL_MLP_PAO_IF_Ortho_Transversal/ImageServer/file?id=.%5CTransversal_Aereo%5C25_02_02%5CCL_MLP_PAO_IF_Ortho_25_02_01_Transversal_TR_83.tif&amp;rasterId=9906</v>
      </c>
    </row>
    <row r="106" spans="1:26" x14ac:dyDescent="0.25">
      <c r="A106">
        <v>105</v>
      </c>
      <c r="B106" s="9" t="s">
        <v>1303</v>
      </c>
      <c r="C106" s="9" t="s">
        <v>1723</v>
      </c>
      <c r="D106">
        <v>0</v>
      </c>
      <c r="E106">
        <v>1.2</v>
      </c>
      <c r="F106">
        <v>0.1</v>
      </c>
      <c r="G106" s="12">
        <v>0.2</v>
      </c>
      <c r="H106">
        <v>1</v>
      </c>
      <c r="I106" s="9" t="s">
        <v>1305</v>
      </c>
      <c r="J106" s="9" t="s">
        <v>1306</v>
      </c>
      <c r="K106" s="9" t="s">
        <v>1306</v>
      </c>
      <c r="L106">
        <v>307161.83991600003</v>
      </c>
      <c r="M106">
        <v>6463665.4343659999</v>
      </c>
      <c r="N106">
        <v>0</v>
      </c>
      <c r="O106">
        <v>12</v>
      </c>
      <c r="P106">
        <v>45901.769356999997</v>
      </c>
      <c r="Q106" s="9" t="s">
        <v>1724</v>
      </c>
      <c r="R106" s="9" t="s">
        <v>1725</v>
      </c>
      <c r="S106" s="9" t="s">
        <v>1309</v>
      </c>
      <c r="T106" s="9" t="s">
        <v>29</v>
      </c>
      <c r="U106" s="9" t="s">
        <v>1310</v>
      </c>
      <c r="V106" s="9" t="s">
        <v>1310</v>
      </c>
      <c r="W106" s="9" t="s">
        <v>30</v>
      </c>
      <c r="X106" s="9" t="s">
        <v>1726</v>
      </c>
      <c r="Y106" s="9">
        <f t="shared" si="5"/>
        <v>9907</v>
      </c>
      <c r="Z106" t="str">
        <f t="shared" si="4"/>
        <v>https://sig.aminerals.cl/imgdyn/rest/services/CL_MLP_PAO/CL_MLP_PAO_IF_Ortho_Transversal/ImageServer/file?id=.%5CTransversal_Aereo%5C25_02_02%5CCL_MLP_PAO_IF_Ortho_25_02_01_Transversal_TR_84.tif&amp;rasterId=9907</v>
      </c>
    </row>
    <row r="107" spans="1:26" x14ac:dyDescent="0.25">
      <c r="A107">
        <v>106</v>
      </c>
      <c r="B107" s="9" t="s">
        <v>1303</v>
      </c>
      <c r="C107" s="9" t="s">
        <v>1727</v>
      </c>
      <c r="D107">
        <v>0</v>
      </c>
      <c r="E107">
        <v>1.2</v>
      </c>
      <c r="F107">
        <v>0.1</v>
      </c>
      <c r="G107" s="12">
        <v>0.4</v>
      </c>
      <c r="H107">
        <v>1</v>
      </c>
      <c r="I107" s="9" t="s">
        <v>1305</v>
      </c>
      <c r="J107" s="9" t="s">
        <v>1306</v>
      </c>
      <c r="K107" s="9" t="s">
        <v>1306</v>
      </c>
      <c r="L107">
        <v>307440.95468299999</v>
      </c>
      <c r="M107">
        <v>6463046.1755520003</v>
      </c>
      <c r="N107">
        <v>0</v>
      </c>
      <c r="O107">
        <v>12</v>
      </c>
      <c r="P107">
        <v>45901.769357999998</v>
      </c>
      <c r="Q107" s="9" t="s">
        <v>1728</v>
      </c>
      <c r="R107" s="9" t="s">
        <v>1729</v>
      </c>
      <c r="S107" s="9" t="s">
        <v>1309</v>
      </c>
      <c r="T107" s="9" t="s">
        <v>29</v>
      </c>
      <c r="U107" s="9" t="s">
        <v>1310</v>
      </c>
      <c r="V107" s="9" t="s">
        <v>1310</v>
      </c>
      <c r="W107" s="9" t="s">
        <v>30</v>
      </c>
      <c r="X107" s="9" t="s">
        <v>1730</v>
      </c>
      <c r="Y107" s="9">
        <f t="shared" si="5"/>
        <v>9908</v>
      </c>
      <c r="Z107" t="str">
        <f t="shared" si="4"/>
        <v>https://sig.aminerals.cl/imgdyn/rest/services/CL_MLP_PAO/CL_MLP_PAO_IF_Ortho_Transversal/ImageServer/file?id=.%5CTransversal_Aereo%5C25_02_02%5CCL_MLP_PAO_IF_Ortho_25_02_01_Transversal_TR_85.tif&amp;rasterId=9908</v>
      </c>
    </row>
    <row r="108" spans="1:26" x14ac:dyDescent="0.25">
      <c r="A108">
        <v>107</v>
      </c>
      <c r="B108" s="9" t="s">
        <v>1303</v>
      </c>
      <c r="C108" s="9" t="s">
        <v>1731</v>
      </c>
      <c r="D108">
        <v>0</v>
      </c>
      <c r="E108">
        <v>1.2</v>
      </c>
      <c r="F108">
        <v>0.1</v>
      </c>
      <c r="G108" s="12">
        <v>0.2</v>
      </c>
      <c r="H108">
        <v>1</v>
      </c>
      <c r="I108" s="9" t="s">
        <v>1305</v>
      </c>
      <c r="J108" s="9" t="s">
        <v>1306</v>
      </c>
      <c r="K108" s="9" t="s">
        <v>1306</v>
      </c>
      <c r="L108">
        <v>306453.95193699998</v>
      </c>
      <c r="M108">
        <v>6463807.9364090003</v>
      </c>
      <c r="N108">
        <v>0</v>
      </c>
      <c r="O108">
        <v>12</v>
      </c>
      <c r="P108">
        <v>45901.769359999998</v>
      </c>
      <c r="Q108" s="9" t="s">
        <v>1732</v>
      </c>
      <c r="R108" s="9" t="s">
        <v>1733</v>
      </c>
      <c r="S108" s="9" t="s">
        <v>1309</v>
      </c>
      <c r="T108" s="9" t="s">
        <v>29</v>
      </c>
      <c r="U108" s="9" t="s">
        <v>1310</v>
      </c>
      <c r="V108" s="9" t="s">
        <v>1310</v>
      </c>
      <c r="W108" s="9" t="s">
        <v>30</v>
      </c>
      <c r="X108" s="9" t="s">
        <v>1734</v>
      </c>
      <c r="Y108" s="9">
        <f t="shared" si="5"/>
        <v>9909</v>
      </c>
      <c r="Z108" t="str">
        <f t="shared" si="4"/>
        <v>https://sig.aminerals.cl/imgdyn/rest/services/CL_MLP_PAO/CL_MLP_PAO_IF_Ortho_Transversal/ImageServer/file?id=.%5CTransversal_Aereo%5C25_02_02%5CCL_MLP_PAO_IF_Ortho_25_02_01_Transversal_TR_86.tif&amp;rasterId=9909</v>
      </c>
    </row>
    <row r="109" spans="1:26" x14ac:dyDescent="0.25">
      <c r="A109">
        <v>108</v>
      </c>
      <c r="B109" s="9" t="s">
        <v>1303</v>
      </c>
      <c r="C109" s="9" t="s">
        <v>1735</v>
      </c>
      <c r="D109">
        <v>0</v>
      </c>
      <c r="E109">
        <v>1.2</v>
      </c>
      <c r="F109">
        <v>0.1</v>
      </c>
      <c r="G109" s="12">
        <v>0.4</v>
      </c>
      <c r="H109">
        <v>1</v>
      </c>
      <c r="I109" s="9" t="s">
        <v>1305</v>
      </c>
      <c r="J109" s="9" t="s">
        <v>1306</v>
      </c>
      <c r="K109" s="9" t="s">
        <v>1306</v>
      </c>
      <c r="L109">
        <v>306620.17427999998</v>
      </c>
      <c r="M109">
        <v>6463428.1720449999</v>
      </c>
      <c r="N109">
        <v>0</v>
      </c>
      <c r="O109">
        <v>12</v>
      </c>
      <c r="P109">
        <v>45901.769360999999</v>
      </c>
      <c r="Q109" s="9" t="s">
        <v>1736</v>
      </c>
      <c r="R109" s="9" t="s">
        <v>1737</v>
      </c>
      <c r="S109" s="9" t="s">
        <v>1309</v>
      </c>
      <c r="T109" s="9" t="s">
        <v>29</v>
      </c>
      <c r="U109" s="9" t="s">
        <v>1310</v>
      </c>
      <c r="V109" s="9" t="s">
        <v>1310</v>
      </c>
      <c r="W109" s="9" t="s">
        <v>30</v>
      </c>
      <c r="X109" s="9" t="s">
        <v>1738</v>
      </c>
      <c r="Y109" s="9">
        <f t="shared" si="5"/>
        <v>9910</v>
      </c>
      <c r="Z109" t="str">
        <f t="shared" si="4"/>
        <v>https://sig.aminerals.cl/imgdyn/rest/services/CL_MLP_PAO/CL_MLP_PAO_IF_Ortho_Transversal/ImageServer/file?id=.%5CTransversal_Aereo%5C25_02_02%5CCL_MLP_PAO_IF_Ortho_25_02_01_Transversal_TR_87.tif&amp;rasterId=9910</v>
      </c>
    </row>
    <row r="110" spans="1:26" x14ac:dyDescent="0.25">
      <c r="A110">
        <v>109</v>
      </c>
      <c r="B110" s="9" t="s">
        <v>1303</v>
      </c>
      <c r="C110" s="9" t="s">
        <v>1739</v>
      </c>
      <c r="D110">
        <v>0</v>
      </c>
      <c r="E110">
        <v>1.2</v>
      </c>
      <c r="F110">
        <v>0.1</v>
      </c>
      <c r="G110" s="12">
        <v>0.4</v>
      </c>
      <c r="H110">
        <v>1</v>
      </c>
      <c r="I110" s="9" t="s">
        <v>1305</v>
      </c>
      <c r="J110" s="9" t="s">
        <v>1306</v>
      </c>
      <c r="K110" s="9" t="s">
        <v>1306</v>
      </c>
      <c r="L110">
        <v>347499.84774499998</v>
      </c>
      <c r="M110">
        <v>6477287.755477</v>
      </c>
      <c r="N110">
        <v>0</v>
      </c>
      <c r="O110">
        <v>12</v>
      </c>
      <c r="P110">
        <v>45901.769362999999</v>
      </c>
      <c r="Q110" s="9" t="s">
        <v>1740</v>
      </c>
      <c r="R110" s="9" t="s">
        <v>1741</v>
      </c>
      <c r="S110" s="9" t="s">
        <v>1309</v>
      </c>
      <c r="T110" s="9" t="s">
        <v>29</v>
      </c>
      <c r="U110" s="9" t="s">
        <v>1310</v>
      </c>
      <c r="V110" s="9" t="s">
        <v>1310</v>
      </c>
      <c r="W110" s="9" t="s">
        <v>30</v>
      </c>
      <c r="X110" s="9" t="s">
        <v>1742</v>
      </c>
      <c r="Y110" s="9">
        <f t="shared" si="5"/>
        <v>9911</v>
      </c>
      <c r="Z110" t="str">
        <f t="shared" si="4"/>
        <v>https://sig.aminerals.cl/imgdyn/rest/services/CL_MLP_PAO/CL_MLP_PAO_IF_Ortho_Transversal/ImageServer/file?id=.%5CTransversal_Aereo%5C25_02_02%5CCL_MLP_PAO_IF_Ortho_25_02_01_Transversal_TR_88.tif&amp;rasterId=9911</v>
      </c>
    </row>
    <row r="111" spans="1:26" x14ac:dyDescent="0.25">
      <c r="A111">
        <v>110</v>
      </c>
      <c r="B111" s="9" t="s">
        <v>1303</v>
      </c>
      <c r="C111" s="9" t="s">
        <v>1743</v>
      </c>
      <c r="D111">
        <v>0</v>
      </c>
      <c r="E111">
        <v>0.4</v>
      </c>
      <c r="F111">
        <v>0.1</v>
      </c>
      <c r="G111" s="12">
        <v>0.2</v>
      </c>
      <c r="H111">
        <v>1</v>
      </c>
      <c r="I111" s="9" t="s">
        <v>1305</v>
      </c>
      <c r="J111" s="9" t="s">
        <v>1306</v>
      </c>
      <c r="K111" s="9" t="s">
        <v>1306</v>
      </c>
      <c r="L111">
        <v>306179.720226</v>
      </c>
      <c r="M111">
        <v>6462116.3245670004</v>
      </c>
      <c r="N111">
        <v>0</v>
      </c>
      <c r="O111">
        <v>12</v>
      </c>
      <c r="P111">
        <v>45901.769364</v>
      </c>
      <c r="Q111" s="9" t="s">
        <v>1744</v>
      </c>
      <c r="R111" s="9" t="s">
        <v>1745</v>
      </c>
      <c r="S111" s="9" t="s">
        <v>1309</v>
      </c>
      <c r="T111" s="9" t="s">
        <v>29</v>
      </c>
      <c r="U111" s="9" t="s">
        <v>1310</v>
      </c>
      <c r="V111" s="9" t="s">
        <v>1310</v>
      </c>
      <c r="W111" s="9" t="s">
        <v>30</v>
      </c>
      <c r="X111" s="9" t="s">
        <v>1746</v>
      </c>
      <c r="Y111" s="9">
        <f t="shared" si="5"/>
        <v>9912</v>
      </c>
      <c r="Z111" t="str">
        <f t="shared" si="4"/>
        <v>https://sig.aminerals.cl/imgdyn/rest/services/CL_MLP_PAO/CL_MLP_PAO_IF_Ortho_Transversal/ImageServer/file?id=.%5CTransversal_Aereo%5C25_02_02%5CCL_MLP_PAO_IF_Ortho_25_02_01_Transversal_TR_89.tif&amp;rasterId=9912</v>
      </c>
    </row>
    <row r="112" spans="1:26" x14ac:dyDescent="0.25">
      <c r="A112">
        <v>111</v>
      </c>
      <c r="B112" s="9" t="s">
        <v>1303</v>
      </c>
      <c r="C112" s="9" t="s">
        <v>1747</v>
      </c>
      <c r="D112">
        <v>0</v>
      </c>
      <c r="E112">
        <v>1.2</v>
      </c>
      <c r="F112">
        <v>0.1</v>
      </c>
      <c r="G112" s="12">
        <v>0.4</v>
      </c>
      <c r="H112">
        <v>1</v>
      </c>
      <c r="I112" s="9" t="s">
        <v>1305</v>
      </c>
      <c r="J112" s="9" t="s">
        <v>1306</v>
      </c>
      <c r="K112" s="9" t="s">
        <v>1306</v>
      </c>
      <c r="L112">
        <v>274952.62910700002</v>
      </c>
      <c r="M112">
        <v>6471856.78309</v>
      </c>
      <c r="N112">
        <v>0</v>
      </c>
      <c r="O112">
        <v>12</v>
      </c>
      <c r="P112">
        <v>45901.769365</v>
      </c>
      <c r="Q112" s="9" t="s">
        <v>1748</v>
      </c>
      <c r="R112" s="9" t="s">
        <v>1749</v>
      </c>
      <c r="S112" s="9" t="s">
        <v>1309</v>
      </c>
      <c r="T112" s="9" t="s">
        <v>29</v>
      </c>
      <c r="U112" s="9" t="s">
        <v>1310</v>
      </c>
      <c r="V112" s="9" t="s">
        <v>1310</v>
      </c>
      <c r="W112" s="9" t="s">
        <v>30</v>
      </c>
      <c r="X112" s="9" t="s">
        <v>1750</v>
      </c>
      <c r="Y112" s="9">
        <f t="shared" si="5"/>
        <v>9913</v>
      </c>
      <c r="Z112" t="str">
        <f t="shared" si="4"/>
        <v>https://sig.aminerals.cl/imgdyn/rest/services/CL_MLP_PAO/CL_MLP_PAO_IF_Ortho_Transversal/ImageServer/file?id=.%5CTransversal_Aereo%5C25_02_02%5CCL_MLP_PAO_IF_Ortho_25_02_01_Transversal_TR_9.tif&amp;rasterId=9913</v>
      </c>
    </row>
    <row r="113" spans="1:26" x14ac:dyDescent="0.25">
      <c r="A113">
        <v>112</v>
      </c>
      <c r="B113" s="9" t="s">
        <v>1303</v>
      </c>
      <c r="C113" s="9" t="s">
        <v>1751</v>
      </c>
      <c r="D113">
        <v>0</v>
      </c>
      <c r="E113">
        <v>1.2</v>
      </c>
      <c r="F113">
        <v>0.1</v>
      </c>
      <c r="G113" s="12">
        <v>0.4</v>
      </c>
      <c r="H113">
        <v>1</v>
      </c>
      <c r="I113" s="9" t="s">
        <v>1305</v>
      </c>
      <c r="J113" s="9" t="s">
        <v>1306</v>
      </c>
      <c r="K113" s="9" t="s">
        <v>1306</v>
      </c>
      <c r="L113">
        <v>305441.00918699999</v>
      </c>
      <c r="M113">
        <v>6463848.3038389999</v>
      </c>
      <c r="N113">
        <v>0</v>
      </c>
      <c r="O113">
        <v>12</v>
      </c>
      <c r="P113">
        <v>45901.769367000001</v>
      </c>
      <c r="Q113" s="9" t="s">
        <v>1752</v>
      </c>
      <c r="R113" s="9" t="s">
        <v>1753</v>
      </c>
      <c r="S113" s="9" t="s">
        <v>1309</v>
      </c>
      <c r="T113" s="9" t="s">
        <v>29</v>
      </c>
      <c r="U113" s="9" t="s">
        <v>1310</v>
      </c>
      <c r="V113" s="9" t="s">
        <v>1310</v>
      </c>
      <c r="W113" s="9" t="s">
        <v>30</v>
      </c>
      <c r="X113" s="9" t="s">
        <v>1754</v>
      </c>
      <c r="Y113" s="9">
        <f t="shared" si="5"/>
        <v>9914</v>
      </c>
      <c r="Z113" t="str">
        <f t="shared" si="4"/>
        <v>https://sig.aminerals.cl/imgdyn/rest/services/CL_MLP_PAO/CL_MLP_PAO_IF_Ortho_Transversal/ImageServer/file?id=.%5CTransversal_Aereo%5C25_02_02%5CCL_MLP_PAO_IF_Ortho_25_02_01_Transversal_TR_90.tif&amp;rasterId=9914</v>
      </c>
    </row>
    <row r="114" spans="1:26" x14ac:dyDescent="0.25">
      <c r="A114">
        <v>113</v>
      </c>
      <c r="B114" s="9" t="s">
        <v>1303</v>
      </c>
      <c r="C114" s="9" t="s">
        <v>1755</v>
      </c>
      <c r="D114">
        <v>0</v>
      </c>
      <c r="E114">
        <v>1.2</v>
      </c>
      <c r="F114">
        <v>0.1</v>
      </c>
      <c r="G114" s="12">
        <v>0.2</v>
      </c>
      <c r="H114">
        <v>1</v>
      </c>
      <c r="I114" s="9" t="s">
        <v>1305</v>
      </c>
      <c r="J114" s="9" t="s">
        <v>1306</v>
      </c>
      <c r="K114" s="9" t="s">
        <v>1306</v>
      </c>
      <c r="L114">
        <v>305758.720776</v>
      </c>
      <c r="M114">
        <v>6462873.9981190003</v>
      </c>
      <c r="N114">
        <v>0</v>
      </c>
      <c r="O114">
        <v>12</v>
      </c>
      <c r="P114">
        <v>45901.769368000001</v>
      </c>
      <c r="Q114" s="9" t="s">
        <v>1756</v>
      </c>
      <c r="R114" s="9" t="s">
        <v>1757</v>
      </c>
      <c r="S114" s="9" t="s">
        <v>1309</v>
      </c>
      <c r="T114" s="9" t="s">
        <v>29</v>
      </c>
      <c r="U114" s="9" t="s">
        <v>1310</v>
      </c>
      <c r="V114" s="9" t="s">
        <v>1310</v>
      </c>
      <c r="W114" s="9" t="s">
        <v>30</v>
      </c>
      <c r="X114" s="9" t="s">
        <v>1758</v>
      </c>
      <c r="Y114" s="9">
        <f t="shared" si="5"/>
        <v>9915</v>
      </c>
      <c r="Z114" t="str">
        <f t="shared" si="4"/>
        <v>https://sig.aminerals.cl/imgdyn/rest/services/CL_MLP_PAO/CL_MLP_PAO_IF_Ortho_Transversal/ImageServer/file?id=.%5CTransversal_Aereo%5C25_02_02%5CCL_MLP_PAO_IF_Ortho_25_02_01_Transversal_TR_91.tif&amp;rasterId=9915</v>
      </c>
    </row>
    <row r="115" spans="1:26" x14ac:dyDescent="0.25">
      <c r="A115">
        <v>114</v>
      </c>
      <c r="B115" s="9" t="s">
        <v>1303</v>
      </c>
      <c r="C115" s="9" t="s">
        <v>1759</v>
      </c>
      <c r="D115">
        <v>0</v>
      </c>
      <c r="E115">
        <v>1.2</v>
      </c>
      <c r="F115">
        <v>0.1</v>
      </c>
      <c r="G115" s="12">
        <v>0.4</v>
      </c>
      <c r="H115">
        <v>1</v>
      </c>
      <c r="I115" s="9" t="s">
        <v>1305</v>
      </c>
      <c r="J115" s="9" t="s">
        <v>1306</v>
      </c>
      <c r="K115" s="9" t="s">
        <v>1306</v>
      </c>
      <c r="L115">
        <v>304595.706871</v>
      </c>
      <c r="M115">
        <v>6463554.570506</v>
      </c>
      <c r="N115">
        <v>0</v>
      </c>
      <c r="O115">
        <v>12</v>
      </c>
      <c r="P115">
        <v>45901.769370000002</v>
      </c>
      <c r="Q115" s="9" t="s">
        <v>1760</v>
      </c>
      <c r="R115" s="9" t="s">
        <v>1761</v>
      </c>
      <c r="S115" s="9" t="s">
        <v>1309</v>
      </c>
      <c r="T115" s="9" t="s">
        <v>29</v>
      </c>
      <c r="U115" s="9" t="s">
        <v>1310</v>
      </c>
      <c r="V115" s="9" t="s">
        <v>1310</v>
      </c>
      <c r="W115" s="9" t="s">
        <v>30</v>
      </c>
      <c r="X115" s="9" t="s">
        <v>1762</v>
      </c>
      <c r="Y115" s="9">
        <f t="shared" si="5"/>
        <v>9916</v>
      </c>
      <c r="Z115" t="str">
        <f t="shared" si="4"/>
        <v>https://sig.aminerals.cl/imgdyn/rest/services/CL_MLP_PAO/CL_MLP_PAO_IF_Ortho_Transversal/ImageServer/file?id=.%5CTransversal_Aereo%5C25_02_02%5CCL_MLP_PAO_IF_Ortho_25_02_01_Transversal_TR_92.tif&amp;rasterId=9916</v>
      </c>
    </row>
    <row r="116" spans="1:26" x14ac:dyDescent="0.25">
      <c r="A116">
        <v>115</v>
      </c>
      <c r="B116" s="9" t="s">
        <v>1303</v>
      </c>
      <c r="C116" s="9" t="s">
        <v>1763</v>
      </c>
      <c r="D116">
        <v>0</v>
      </c>
      <c r="E116">
        <v>1.2</v>
      </c>
      <c r="F116">
        <v>0.1</v>
      </c>
      <c r="G116" s="12">
        <v>0.4</v>
      </c>
      <c r="H116">
        <v>1</v>
      </c>
      <c r="I116" s="9" t="s">
        <v>1305</v>
      </c>
      <c r="J116" s="9" t="s">
        <v>1306</v>
      </c>
      <c r="K116" s="9" t="s">
        <v>1306</v>
      </c>
      <c r="L116">
        <v>303571.80824599997</v>
      </c>
      <c r="M116">
        <v>6462902.8966889996</v>
      </c>
      <c r="N116">
        <v>0</v>
      </c>
      <c r="O116">
        <v>12</v>
      </c>
      <c r="P116">
        <v>45901.769371000002</v>
      </c>
      <c r="Q116" s="9" t="s">
        <v>1764</v>
      </c>
      <c r="R116" s="9" t="s">
        <v>1765</v>
      </c>
      <c r="S116" s="9" t="s">
        <v>1309</v>
      </c>
      <c r="T116" s="9" t="s">
        <v>29</v>
      </c>
      <c r="U116" s="9" t="s">
        <v>1310</v>
      </c>
      <c r="V116" s="9" t="s">
        <v>1310</v>
      </c>
      <c r="W116" s="9" t="s">
        <v>30</v>
      </c>
      <c r="X116" s="9" t="s">
        <v>1766</v>
      </c>
      <c r="Y116" s="9">
        <f t="shared" si="5"/>
        <v>9917</v>
      </c>
      <c r="Z116" t="str">
        <f t="shared" si="4"/>
        <v>https://sig.aminerals.cl/imgdyn/rest/services/CL_MLP_PAO/CL_MLP_PAO_IF_Ortho_Transversal/ImageServer/file?id=.%5CTransversal_Aereo%5C25_02_02%5CCL_MLP_PAO_IF_Ortho_25_02_01_Transversal_TR_93.tif&amp;rasterId=9917</v>
      </c>
    </row>
    <row r="117" spans="1:26" x14ac:dyDescent="0.25">
      <c r="A117">
        <v>116</v>
      </c>
      <c r="B117" s="9" t="s">
        <v>1303</v>
      </c>
      <c r="C117" s="9" t="s">
        <v>1767</v>
      </c>
      <c r="D117">
        <v>0</v>
      </c>
      <c r="E117">
        <v>1.2</v>
      </c>
      <c r="F117">
        <v>0.1</v>
      </c>
      <c r="G117" s="12">
        <v>0.4</v>
      </c>
      <c r="H117">
        <v>1</v>
      </c>
      <c r="I117" s="9" t="s">
        <v>1305</v>
      </c>
      <c r="J117" s="9" t="s">
        <v>1306</v>
      </c>
      <c r="K117" s="9" t="s">
        <v>1306</v>
      </c>
      <c r="L117">
        <v>302804.09461299999</v>
      </c>
      <c r="M117">
        <v>6462038.3603919996</v>
      </c>
      <c r="N117">
        <v>0</v>
      </c>
      <c r="O117">
        <v>12</v>
      </c>
      <c r="P117">
        <v>45901.769373000003</v>
      </c>
      <c r="Q117" s="9" t="s">
        <v>1768</v>
      </c>
      <c r="R117" s="9" t="s">
        <v>1769</v>
      </c>
      <c r="S117" s="9" t="s">
        <v>1309</v>
      </c>
      <c r="T117" s="9" t="s">
        <v>29</v>
      </c>
      <c r="U117" s="9" t="s">
        <v>1310</v>
      </c>
      <c r="V117" s="9" t="s">
        <v>1310</v>
      </c>
      <c r="W117" s="9" t="s">
        <v>30</v>
      </c>
      <c r="X117" s="9" t="s">
        <v>1770</v>
      </c>
      <c r="Y117" s="9">
        <f t="shared" si="5"/>
        <v>9918</v>
      </c>
      <c r="Z117" t="str">
        <f t="shared" si="4"/>
        <v>https://sig.aminerals.cl/imgdyn/rest/services/CL_MLP_PAO/CL_MLP_PAO_IF_Ortho_Transversal/ImageServer/file?id=.%5CTransversal_Aereo%5C25_02_02%5CCL_MLP_PAO_IF_Ortho_25_02_01_Transversal_TR_94.tif&amp;rasterId=9918</v>
      </c>
    </row>
    <row r="118" spans="1:26" x14ac:dyDescent="0.25">
      <c r="A118">
        <v>117</v>
      </c>
      <c r="B118" s="9" t="s">
        <v>1303</v>
      </c>
      <c r="C118" s="9" t="s">
        <v>1771</v>
      </c>
      <c r="D118">
        <v>0</v>
      </c>
      <c r="E118">
        <v>1.2</v>
      </c>
      <c r="F118">
        <v>0.1</v>
      </c>
      <c r="G118" s="12">
        <v>0.4</v>
      </c>
      <c r="H118">
        <v>1</v>
      </c>
      <c r="I118" s="9" t="s">
        <v>1305</v>
      </c>
      <c r="J118" s="9" t="s">
        <v>1306</v>
      </c>
      <c r="K118" s="9" t="s">
        <v>1306</v>
      </c>
      <c r="L118">
        <v>301872.03399299999</v>
      </c>
      <c r="M118">
        <v>6461696.0595070003</v>
      </c>
      <c r="N118">
        <v>0</v>
      </c>
      <c r="O118">
        <v>12</v>
      </c>
      <c r="P118">
        <v>45901.769374000003</v>
      </c>
      <c r="Q118" s="9" t="s">
        <v>1772</v>
      </c>
      <c r="R118" s="9" t="s">
        <v>1773</v>
      </c>
      <c r="S118" s="9" t="s">
        <v>1309</v>
      </c>
      <c r="T118" s="9" t="s">
        <v>29</v>
      </c>
      <c r="U118" s="9" t="s">
        <v>1310</v>
      </c>
      <c r="V118" s="9" t="s">
        <v>1310</v>
      </c>
      <c r="W118" s="9" t="s">
        <v>30</v>
      </c>
      <c r="X118" s="9" t="s">
        <v>1774</v>
      </c>
      <c r="Y118" s="9">
        <f t="shared" si="5"/>
        <v>9919</v>
      </c>
      <c r="Z118" t="str">
        <f t="shared" si="4"/>
        <v>https://sig.aminerals.cl/imgdyn/rest/services/CL_MLP_PAO/CL_MLP_PAO_IF_Ortho_Transversal/ImageServer/file?id=.%5CTransversal_Aereo%5C25_02_02%5CCL_MLP_PAO_IF_Ortho_25_02_01_Transversal_TR_95.tif&amp;rasterId=9919</v>
      </c>
    </row>
    <row r="119" spans="1:26" x14ac:dyDescent="0.25">
      <c r="A119">
        <v>118</v>
      </c>
      <c r="B119" s="9" t="s">
        <v>1303</v>
      </c>
      <c r="C119" s="9" t="s">
        <v>1775</v>
      </c>
      <c r="D119">
        <v>0</v>
      </c>
      <c r="E119">
        <v>1.2</v>
      </c>
      <c r="F119">
        <v>0.1</v>
      </c>
      <c r="G119" s="12">
        <v>0.2</v>
      </c>
      <c r="H119">
        <v>1</v>
      </c>
      <c r="I119" s="9" t="s">
        <v>1305</v>
      </c>
      <c r="J119" s="9" t="s">
        <v>1306</v>
      </c>
      <c r="K119" s="9" t="s">
        <v>1306</v>
      </c>
      <c r="L119">
        <v>300895.31692700001</v>
      </c>
      <c r="M119">
        <v>6461700.7474520002</v>
      </c>
      <c r="N119">
        <v>0</v>
      </c>
      <c r="O119">
        <v>12</v>
      </c>
      <c r="P119">
        <v>45901.769375000003</v>
      </c>
      <c r="Q119" s="9" t="s">
        <v>1776</v>
      </c>
      <c r="R119" s="9" t="s">
        <v>1777</v>
      </c>
      <c r="S119" s="9" t="s">
        <v>1309</v>
      </c>
      <c r="T119" s="9" t="s">
        <v>29</v>
      </c>
      <c r="U119" s="9" t="s">
        <v>1310</v>
      </c>
      <c r="V119" s="9" t="s">
        <v>1310</v>
      </c>
      <c r="W119" s="9" t="s">
        <v>30</v>
      </c>
      <c r="X119" s="9" t="s">
        <v>1778</v>
      </c>
      <c r="Y119" s="9">
        <f t="shared" si="5"/>
        <v>9920</v>
      </c>
      <c r="Z119" t="str">
        <f t="shared" si="4"/>
        <v>https://sig.aminerals.cl/imgdyn/rest/services/CL_MLP_PAO/CL_MLP_PAO_IF_Ortho_Transversal/ImageServer/file?id=.%5CTransversal_Aereo%5C25_02_02%5CCL_MLP_PAO_IF_Ortho_25_02_01_Transversal_TR_96.tif&amp;rasterId=9920</v>
      </c>
    </row>
    <row r="120" spans="1:26" x14ac:dyDescent="0.25">
      <c r="A120">
        <v>119</v>
      </c>
      <c r="B120" s="9" t="s">
        <v>1303</v>
      </c>
      <c r="C120" s="9" t="s">
        <v>1779</v>
      </c>
      <c r="D120">
        <v>0</v>
      </c>
      <c r="E120">
        <v>0.4</v>
      </c>
      <c r="F120">
        <v>0.1</v>
      </c>
      <c r="G120" s="12">
        <v>0.2</v>
      </c>
      <c r="H120">
        <v>1</v>
      </c>
      <c r="I120" s="9" t="s">
        <v>1305</v>
      </c>
      <c r="J120" s="9" t="s">
        <v>1306</v>
      </c>
      <c r="K120" s="9" t="s">
        <v>1306</v>
      </c>
      <c r="L120">
        <v>299872.77462600003</v>
      </c>
      <c r="M120">
        <v>6461722.9764820002</v>
      </c>
      <c r="N120">
        <v>0</v>
      </c>
      <c r="O120">
        <v>12</v>
      </c>
      <c r="P120">
        <v>45901.769376999997</v>
      </c>
      <c r="Q120" s="9" t="s">
        <v>1780</v>
      </c>
      <c r="R120" s="9" t="s">
        <v>1781</v>
      </c>
      <c r="S120" s="9" t="s">
        <v>1309</v>
      </c>
      <c r="T120" s="9" t="s">
        <v>29</v>
      </c>
      <c r="U120" s="9" t="s">
        <v>1310</v>
      </c>
      <c r="V120" s="9" t="s">
        <v>1310</v>
      </c>
      <c r="W120" s="9" t="s">
        <v>30</v>
      </c>
      <c r="X120" s="9" t="s">
        <v>1782</v>
      </c>
      <c r="Y120" s="9">
        <f t="shared" si="5"/>
        <v>9921</v>
      </c>
      <c r="Z120" t="str">
        <f t="shared" si="4"/>
        <v>https://sig.aminerals.cl/imgdyn/rest/services/CL_MLP_PAO/CL_MLP_PAO_IF_Ortho_Transversal/ImageServer/file?id=.%5CTransversal_Aereo%5C25_02_02%5CCL_MLP_PAO_IF_Ortho_25_02_01_Transversal_TR_97.tif&amp;rasterId=9921</v>
      </c>
    </row>
    <row r="121" spans="1:26" x14ac:dyDescent="0.25">
      <c r="A121">
        <v>120</v>
      </c>
      <c r="B121" s="9" t="s">
        <v>1303</v>
      </c>
      <c r="C121" s="9" t="s">
        <v>1783</v>
      </c>
      <c r="D121">
        <v>0</v>
      </c>
      <c r="E121">
        <v>0.4</v>
      </c>
      <c r="F121">
        <v>0.1</v>
      </c>
      <c r="G121" s="12">
        <v>0.2</v>
      </c>
      <c r="H121">
        <v>1</v>
      </c>
      <c r="I121" s="9" t="s">
        <v>1305</v>
      </c>
      <c r="J121" s="9" t="s">
        <v>1306</v>
      </c>
      <c r="K121" s="9" t="s">
        <v>1306</v>
      </c>
      <c r="L121">
        <v>298904.85977400001</v>
      </c>
      <c r="M121">
        <v>6461772.8469409999</v>
      </c>
      <c r="N121">
        <v>0</v>
      </c>
      <c r="O121">
        <v>12</v>
      </c>
      <c r="P121">
        <v>45901.769378999998</v>
      </c>
      <c r="Q121" s="9" t="s">
        <v>1784</v>
      </c>
      <c r="R121" s="9" t="s">
        <v>1785</v>
      </c>
      <c r="S121" s="9" t="s">
        <v>1309</v>
      </c>
      <c r="T121" s="9" t="s">
        <v>29</v>
      </c>
      <c r="U121" s="9" t="s">
        <v>1310</v>
      </c>
      <c r="V121" s="9" t="s">
        <v>1310</v>
      </c>
      <c r="W121" s="9" t="s">
        <v>30</v>
      </c>
      <c r="X121" s="9" t="s">
        <v>1786</v>
      </c>
      <c r="Y121" s="9">
        <f t="shared" si="5"/>
        <v>9922</v>
      </c>
      <c r="Z121" t="str">
        <f t="shared" si="4"/>
        <v>https://sig.aminerals.cl/imgdyn/rest/services/CL_MLP_PAO/CL_MLP_PAO_IF_Ortho_Transversal/ImageServer/file?id=.%5CTransversal_Aereo%5C25_02_02%5CCL_MLP_PAO_IF_Ortho_25_02_01_Transversal_TR_98.tif&amp;rasterId=9922</v>
      </c>
    </row>
    <row r="122" spans="1:26" x14ac:dyDescent="0.25">
      <c r="A122">
        <v>121</v>
      </c>
      <c r="B122" s="9" t="s">
        <v>1303</v>
      </c>
      <c r="C122" s="9" t="s">
        <v>1787</v>
      </c>
      <c r="D122">
        <v>0</v>
      </c>
      <c r="E122">
        <v>1.2</v>
      </c>
      <c r="F122">
        <v>0.1</v>
      </c>
      <c r="G122" s="12">
        <v>0.4</v>
      </c>
      <c r="H122">
        <v>1</v>
      </c>
      <c r="I122" s="9" t="s">
        <v>1305</v>
      </c>
      <c r="J122" s="9" t="s">
        <v>1306</v>
      </c>
      <c r="K122" s="9" t="s">
        <v>1306</v>
      </c>
      <c r="L122">
        <v>348202.407183</v>
      </c>
      <c r="M122">
        <v>6477560.8252640003</v>
      </c>
      <c r="N122">
        <v>0</v>
      </c>
      <c r="O122">
        <v>12</v>
      </c>
      <c r="P122">
        <v>45901.769379999998</v>
      </c>
      <c r="Q122" s="9" t="s">
        <v>1788</v>
      </c>
      <c r="R122" s="9" t="s">
        <v>1789</v>
      </c>
      <c r="S122" s="9" t="s">
        <v>1309</v>
      </c>
      <c r="T122" s="9" t="s">
        <v>29</v>
      </c>
      <c r="U122" s="9" t="s">
        <v>1310</v>
      </c>
      <c r="V122" s="9" t="s">
        <v>1310</v>
      </c>
      <c r="W122" s="9" t="s">
        <v>30</v>
      </c>
      <c r="X122" s="9" t="s">
        <v>1790</v>
      </c>
      <c r="Y122" s="9">
        <f t="shared" si="5"/>
        <v>9923</v>
      </c>
      <c r="Z122" t="str">
        <f t="shared" si="4"/>
        <v>https://sig.aminerals.cl/imgdyn/rest/services/CL_MLP_PAO/CL_MLP_PAO_IF_Ortho_Transversal/ImageServer/file?id=.%5CTransversal_Aereo%5C25_02_02%5CCL_MLP_PAO_IF_Ortho_25_02_01_Transversal_TR_99.tif&amp;rasterId=9923</v>
      </c>
    </row>
    <row r="123" spans="1:26" x14ac:dyDescent="0.25">
      <c r="A123">
        <v>122</v>
      </c>
      <c r="B123" s="9" t="s">
        <v>1303</v>
      </c>
      <c r="C123" s="9" t="s">
        <v>865</v>
      </c>
      <c r="D123">
        <v>0</v>
      </c>
      <c r="E123">
        <v>4.9540000000000001E-2</v>
      </c>
      <c r="F123">
        <v>0.02</v>
      </c>
      <c r="G123" s="12">
        <v>0.02</v>
      </c>
      <c r="H123">
        <v>1</v>
      </c>
      <c r="I123" s="9" t="s">
        <v>1305</v>
      </c>
      <c r="J123" s="9" t="s">
        <v>1306</v>
      </c>
      <c r="K123" s="9" t="s">
        <v>1306</v>
      </c>
      <c r="L123">
        <v>347345.81945000001</v>
      </c>
      <c r="M123">
        <v>6476261.8685499998</v>
      </c>
      <c r="N123">
        <v>0</v>
      </c>
      <c r="O123">
        <v>21</v>
      </c>
      <c r="P123">
        <v>45901.946971999998</v>
      </c>
      <c r="Q123" s="9" t="s">
        <v>1791</v>
      </c>
      <c r="R123" s="9" t="s">
        <v>55</v>
      </c>
      <c r="S123" s="9" t="s">
        <v>28</v>
      </c>
      <c r="T123" s="9" t="s">
        <v>29</v>
      </c>
      <c r="U123" s="12">
        <v>45728</v>
      </c>
      <c r="V123" s="12">
        <v>45894</v>
      </c>
      <c r="W123" s="9" t="s">
        <v>30</v>
      </c>
      <c r="X123" s="9" t="s">
        <v>1792</v>
      </c>
      <c r="Y123" s="9">
        <f t="shared" ref="Y123:Y154" si="6">VLOOKUP(C123,$A$226:$B$414,2,FALSE())</f>
        <v>10536</v>
      </c>
      <c r="Z123" t="str">
        <f t="shared" si="4"/>
        <v>https://sig.aminerals.cl/imgdyn/rest/services/CL_MLP_PAO/CL_MLP_PAO_IF_Ortho_ALL/ImageServer/file?id=.%5CChacay_Drone%5C25_03_12%5CCL_MLP_PAO_IF_Ortho_25_03_12_SRA2.tif&amp;rasterId=10536</v>
      </c>
    </row>
    <row r="124" spans="1:26" x14ac:dyDescent="0.25">
      <c r="A124">
        <v>123</v>
      </c>
      <c r="B124" s="9" t="s">
        <v>1303</v>
      </c>
      <c r="C124" s="9" t="s">
        <v>1793</v>
      </c>
      <c r="D124">
        <v>0</v>
      </c>
      <c r="E124">
        <v>4.9540000000000001E-2</v>
      </c>
      <c r="F124">
        <v>1.7000000000000001E-2</v>
      </c>
      <c r="G124" s="12">
        <v>0.13600000000000001</v>
      </c>
      <c r="H124">
        <v>1</v>
      </c>
      <c r="I124" s="9" t="s">
        <v>1305</v>
      </c>
      <c r="J124" s="9" t="s">
        <v>1306</v>
      </c>
      <c r="K124" s="9" t="s">
        <v>1306</v>
      </c>
      <c r="L124">
        <v>341945.51400000002</v>
      </c>
      <c r="M124">
        <v>6470061.7050000001</v>
      </c>
      <c r="N124">
        <v>0</v>
      </c>
      <c r="O124">
        <v>21</v>
      </c>
      <c r="P124">
        <v>45894.570151</v>
      </c>
      <c r="Q124" s="9" t="s">
        <v>1794</v>
      </c>
      <c r="R124" s="9" t="s">
        <v>39</v>
      </c>
      <c r="S124" s="9" t="s">
        <v>28</v>
      </c>
      <c r="T124" s="9" t="s">
        <v>29</v>
      </c>
      <c r="U124" s="12">
        <v>45714</v>
      </c>
      <c r="V124" s="12">
        <v>45894</v>
      </c>
      <c r="W124" s="9" t="s">
        <v>30</v>
      </c>
      <c r="X124" s="9" t="s">
        <v>1795</v>
      </c>
      <c r="Y124" s="9">
        <f t="shared" si="6"/>
        <v>10537</v>
      </c>
      <c r="Z124" t="str">
        <f t="shared" si="4"/>
        <v>https://sig.aminerals.cl/imgdyn/rest/services/CL_MLP_PAO/CL_MLP_PAO_IF_Ortho_ALL/ImageServer/file?id=.%5CChacay_El_Mauro_Drone%5C25_02_26%5CCL_MLP_PAO_IF_Ortho_25_02_26_Area1_Cuncumen-D835.tiff&amp;rasterId=10537</v>
      </c>
    </row>
    <row r="125" spans="1:26" x14ac:dyDescent="0.25">
      <c r="A125">
        <v>124</v>
      </c>
      <c r="B125" s="9" t="s">
        <v>1303</v>
      </c>
      <c r="C125" s="9" t="s">
        <v>1796</v>
      </c>
      <c r="D125">
        <v>0</v>
      </c>
      <c r="E125">
        <v>0.52800000000000002</v>
      </c>
      <c r="F125">
        <v>1.4999999999999999E-2</v>
      </c>
      <c r="G125" s="12">
        <v>0.12</v>
      </c>
      <c r="H125">
        <v>1</v>
      </c>
      <c r="I125" s="9" t="s">
        <v>1305</v>
      </c>
      <c r="J125" s="9" t="s">
        <v>1306</v>
      </c>
      <c r="K125" s="9" t="s">
        <v>1306</v>
      </c>
      <c r="L125">
        <v>343149.45</v>
      </c>
      <c r="M125">
        <v>6469932.2699999996</v>
      </c>
      <c r="N125">
        <v>0</v>
      </c>
      <c r="O125">
        <v>21</v>
      </c>
      <c r="P125">
        <v>45894.570266000002</v>
      </c>
      <c r="Q125" s="9" t="s">
        <v>1797</v>
      </c>
      <c r="R125" s="9" t="s">
        <v>43</v>
      </c>
      <c r="S125" s="9" t="s">
        <v>28</v>
      </c>
      <c r="T125" s="9" t="s">
        <v>29</v>
      </c>
      <c r="U125" s="12">
        <v>45714</v>
      </c>
      <c r="V125" s="12">
        <v>45894</v>
      </c>
      <c r="W125" s="9" t="s">
        <v>30</v>
      </c>
      <c r="X125" s="9" t="s">
        <v>1798</v>
      </c>
      <c r="Y125" s="9">
        <f t="shared" si="6"/>
        <v>10538</v>
      </c>
      <c r="Z125" t="str">
        <f t="shared" si="4"/>
        <v>https://sig.aminerals.cl/imgdyn/rest/services/CL_MLP_PAO/CL_MLP_PAO_IF_Ortho_ALL/ImageServer/file?id=.%5CChacay_El_Mauro_Drone%5C25_02_26%5CCL_MLP_PAO_IF_Ortho_25_02_26_Area2_Cuncumen-D835.tiff&amp;rasterId=10538</v>
      </c>
    </row>
    <row r="126" spans="1:26" x14ac:dyDescent="0.25">
      <c r="A126">
        <v>125</v>
      </c>
      <c r="B126" s="9" t="s">
        <v>1303</v>
      </c>
      <c r="C126" s="9" t="s">
        <v>862</v>
      </c>
      <c r="D126">
        <v>0</v>
      </c>
      <c r="E126">
        <v>0.52800000000000002</v>
      </c>
      <c r="F126">
        <v>0.05</v>
      </c>
      <c r="G126" s="12">
        <v>0.2</v>
      </c>
      <c r="H126">
        <v>1</v>
      </c>
      <c r="I126" s="9" t="s">
        <v>1305</v>
      </c>
      <c r="J126" s="9" t="s">
        <v>1306</v>
      </c>
      <c r="K126" s="9" t="s">
        <v>1306</v>
      </c>
      <c r="L126">
        <v>342545.61410000001</v>
      </c>
      <c r="M126">
        <v>6470016.8386000004</v>
      </c>
      <c r="N126">
        <v>0</v>
      </c>
      <c r="O126">
        <v>21</v>
      </c>
      <c r="P126">
        <v>45901.946974999999</v>
      </c>
      <c r="Q126" s="9" t="s">
        <v>1799</v>
      </c>
      <c r="R126" s="9" t="s">
        <v>46</v>
      </c>
      <c r="S126" s="9" t="s">
        <v>28</v>
      </c>
      <c r="T126" s="9" t="s">
        <v>29</v>
      </c>
      <c r="U126" s="12">
        <v>45714</v>
      </c>
      <c r="V126" s="12">
        <v>45894</v>
      </c>
      <c r="W126" s="9" t="s">
        <v>30</v>
      </c>
      <c r="X126" s="9" t="s">
        <v>1800</v>
      </c>
      <c r="Y126" s="9">
        <f t="shared" si="6"/>
        <v>10539</v>
      </c>
      <c r="Z126" t="str">
        <f t="shared" si="4"/>
        <v>https://sig.aminerals.cl/imgdyn/rest/services/CL_MLP_PAO/CL_MLP_PAO_IF_Ortho_ALL/ImageServer/file?id=.%5CChacay_El_Mauro_Drone%5C25_02_26%5CCL_MLP_PAO_IF_Ortho_25_02_26_RutaD835.tiff&amp;rasterId=10539</v>
      </c>
    </row>
    <row r="127" spans="1:26" x14ac:dyDescent="0.25">
      <c r="A127">
        <v>126</v>
      </c>
      <c r="B127" s="9" t="s">
        <v>1303</v>
      </c>
      <c r="C127" s="9" t="s">
        <v>872</v>
      </c>
      <c r="D127">
        <v>0</v>
      </c>
      <c r="E127">
        <v>0.52800000000000002</v>
      </c>
      <c r="F127">
        <v>1.8499999999999999E-2</v>
      </c>
      <c r="G127" s="12">
        <v>0.29599999999999999</v>
      </c>
      <c r="H127">
        <v>1</v>
      </c>
      <c r="I127" s="9" t="s">
        <v>1305</v>
      </c>
      <c r="J127" s="9" t="s">
        <v>1306</v>
      </c>
      <c r="K127" s="9" t="s">
        <v>1306</v>
      </c>
      <c r="L127">
        <v>312064.734</v>
      </c>
      <c r="M127">
        <v>6462856.6924999999</v>
      </c>
      <c r="N127">
        <v>0</v>
      </c>
      <c r="O127">
        <v>21</v>
      </c>
      <c r="P127">
        <v>45894.570659999998</v>
      </c>
      <c r="Q127" s="9" t="s">
        <v>1801</v>
      </c>
      <c r="R127" s="9" t="s">
        <v>77</v>
      </c>
      <c r="S127" s="9" t="s">
        <v>28</v>
      </c>
      <c r="T127" s="9" t="s">
        <v>29</v>
      </c>
      <c r="U127" s="12">
        <v>45749</v>
      </c>
      <c r="V127" s="12">
        <v>45894</v>
      </c>
      <c r="W127" s="9" t="s">
        <v>30</v>
      </c>
      <c r="X127" s="9" t="s">
        <v>1802</v>
      </c>
      <c r="Y127" s="9">
        <f t="shared" si="6"/>
        <v>10540</v>
      </c>
      <c r="Z127" t="str">
        <f t="shared" si="4"/>
        <v>https://sig.aminerals.cl/imgdyn/rest/services/CL_MLP_PAO/CL_MLP_PAO_IF_Ortho_ALL/ImageServer/file?id=.%5CChacay_El_Mauro_Drone%5C25_04_02%5CCL_MLP_PAO_IF_Ortho_25_04_02_DME-13.tiff&amp;rasterId=10540</v>
      </c>
    </row>
    <row r="128" spans="1:26" x14ac:dyDescent="0.25">
      <c r="A128">
        <v>127</v>
      </c>
      <c r="B128" s="9" t="s">
        <v>1303</v>
      </c>
      <c r="C128" s="9" t="s">
        <v>873</v>
      </c>
      <c r="D128">
        <v>0</v>
      </c>
      <c r="E128">
        <v>0.52800000000000002</v>
      </c>
      <c r="F128">
        <v>1.9E-2</v>
      </c>
      <c r="G128" s="12">
        <v>0.152</v>
      </c>
      <c r="H128">
        <v>1</v>
      </c>
      <c r="I128" s="9" t="s">
        <v>1305</v>
      </c>
      <c r="J128" s="9" t="s">
        <v>1306</v>
      </c>
      <c r="K128" s="9" t="s">
        <v>1306</v>
      </c>
      <c r="L128">
        <v>310774.50699999998</v>
      </c>
      <c r="M128">
        <v>6463952.1330000004</v>
      </c>
      <c r="N128">
        <v>0</v>
      </c>
      <c r="O128">
        <v>21</v>
      </c>
      <c r="P128">
        <v>45894.570949000001</v>
      </c>
      <c r="Q128" s="9" t="s">
        <v>1803</v>
      </c>
      <c r="R128" s="9" t="s">
        <v>80</v>
      </c>
      <c r="S128" s="9" t="s">
        <v>28</v>
      </c>
      <c r="T128" s="9" t="s">
        <v>29</v>
      </c>
      <c r="U128" s="12">
        <v>45749</v>
      </c>
      <c r="V128" s="12">
        <v>45894</v>
      </c>
      <c r="W128" s="9" t="s">
        <v>30</v>
      </c>
      <c r="X128" s="9" t="s">
        <v>1804</v>
      </c>
      <c r="Y128" s="9">
        <f t="shared" si="6"/>
        <v>10541</v>
      </c>
      <c r="Z128" t="str">
        <f t="shared" si="4"/>
        <v>https://sig.aminerals.cl/imgdyn/rest/services/CL_MLP_PAO/CL_MLP_PAO_IF_Ortho_ALL/ImageServer/file?id=.%5CChacay_El_Mauro_Drone%5C25_04_02%5CCL_MLP_PAO_IF_Ortho_25_04_02_Patio-Acopio-17.tiff&amp;rasterId=10541</v>
      </c>
    </row>
    <row r="129" spans="1:26" x14ac:dyDescent="0.25">
      <c r="A129">
        <v>128</v>
      </c>
      <c r="B129" s="9" t="s">
        <v>1303</v>
      </c>
      <c r="C129" s="9" t="s">
        <v>874</v>
      </c>
      <c r="D129">
        <v>0</v>
      </c>
      <c r="E129">
        <v>0.52800000000000002</v>
      </c>
      <c r="F129">
        <v>1.9E-2</v>
      </c>
      <c r="G129" s="12">
        <v>0.30399999999999999</v>
      </c>
      <c r="H129">
        <v>1</v>
      </c>
      <c r="I129" s="9" t="s">
        <v>1305</v>
      </c>
      <c r="J129" s="9" t="s">
        <v>1306</v>
      </c>
      <c r="K129" s="9" t="s">
        <v>1306</v>
      </c>
      <c r="L129">
        <v>311378.06099999999</v>
      </c>
      <c r="M129">
        <v>6463427.1440000003</v>
      </c>
      <c r="N129">
        <v>0</v>
      </c>
      <c r="O129">
        <v>21</v>
      </c>
      <c r="P129">
        <v>45894.573066999998</v>
      </c>
      <c r="Q129" s="9" t="s">
        <v>1805</v>
      </c>
      <c r="R129" s="9" t="s">
        <v>83</v>
      </c>
      <c r="S129" s="9" t="s">
        <v>28</v>
      </c>
      <c r="T129" s="9" t="s">
        <v>29</v>
      </c>
      <c r="U129" s="12">
        <v>45749</v>
      </c>
      <c r="V129" s="12">
        <v>45894</v>
      </c>
      <c r="W129" s="9" t="s">
        <v>30</v>
      </c>
      <c r="X129" s="9" t="s">
        <v>1806</v>
      </c>
      <c r="Y129" s="9">
        <f t="shared" si="6"/>
        <v>10542</v>
      </c>
      <c r="Z129" t="str">
        <f t="shared" si="4"/>
        <v>https://sig.aminerals.cl/imgdyn/rest/services/CL_MLP_PAO/CL_MLP_PAO_IF_Ortho_ALL/ImageServer/file?id=.%5CChacay_El_Mauro_Drone%5C25_04_02%5CCL_MLP_PAO_IF_Ortho_25_04_02_Ruta-SE-a-DME-13.tiff&amp;rasterId=10542</v>
      </c>
    </row>
    <row r="130" spans="1:26" x14ac:dyDescent="0.25">
      <c r="A130">
        <v>129</v>
      </c>
      <c r="B130" s="9" t="s">
        <v>1303</v>
      </c>
      <c r="C130" s="9" t="s">
        <v>1807</v>
      </c>
      <c r="D130">
        <v>0</v>
      </c>
      <c r="E130">
        <v>0.52800000000000002</v>
      </c>
      <c r="F130">
        <v>0.02</v>
      </c>
      <c r="G130" s="12">
        <v>0.16</v>
      </c>
      <c r="H130">
        <v>1</v>
      </c>
      <c r="I130" s="9" t="s">
        <v>1305</v>
      </c>
      <c r="J130" s="9" t="s">
        <v>1306</v>
      </c>
      <c r="K130" s="9" t="s">
        <v>1306</v>
      </c>
      <c r="L130">
        <v>318005.48</v>
      </c>
      <c r="M130">
        <v>6468774.3377</v>
      </c>
      <c r="N130">
        <v>0</v>
      </c>
      <c r="O130">
        <v>21</v>
      </c>
      <c r="P130">
        <v>45901.946978</v>
      </c>
      <c r="Q130" s="9" t="s">
        <v>1808</v>
      </c>
      <c r="R130" s="9" t="s">
        <v>94</v>
      </c>
      <c r="S130" s="9" t="s">
        <v>28</v>
      </c>
      <c r="T130" s="9" t="s">
        <v>29</v>
      </c>
      <c r="U130" s="12">
        <v>45756</v>
      </c>
      <c r="V130" s="12">
        <v>45894</v>
      </c>
      <c r="W130" s="9" t="s">
        <v>30</v>
      </c>
      <c r="X130" s="9" t="s">
        <v>1809</v>
      </c>
      <c r="Y130" s="9">
        <f t="shared" si="6"/>
        <v>10543</v>
      </c>
      <c r="Z130" t="str">
        <f t="shared" ref="Z130:Z193" si="7">CONCATENATE(X130,"&amp;rasterId=",Y130)</f>
        <v>https://sig.aminerals.cl/imgdyn/rest/services/CL_MLP_PAO/CL_MLP_PAO_IF_Ortho_ALL/ImageServer/file?id=.%5CChacay_El_Mauro_Drone%5C25_04_09%5CCL_MLP_PAO_IF_Ortho_25_04_09_Ruta-D-847_01.tiff&amp;rasterId=10543</v>
      </c>
    </row>
    <row r="131" spans="1:26" x14ac:dyDescent="0.25">
      <c r="A131">
        <v>130</v>
      </c>
      <c r="B131" s="9" t="s">
        <v>1303</v>
      </c>
      <c r="C131" s="9" t="s">
        <v>1810</v>
      </c>
      <c r="D131">
        <v>0</v>
      </c>
      <c r="E131">
        <v>0.52800000000000002</v>
      </c>
      <c r="F131">
        <v>1.9998999999999999E-2</v>
      </c>
      <c r="G131" s="12">
        <v>0.15999599537036999</v>
      </c>
      <c r="H131">
        <v>1</v>
      </c>
      <c r="I131" s="9" t="s">
        <v>1305</v>
      </c>
      <c r="J131" s="9" t="s">
        <v>1306</v>
      </c>
      <c r="K131" s="9" t="s">
        <v>1306</v>
      </c>
      <c r="L131">
        <v>317753.65580000001</v>
      </c>
      <c r="M131">
        <v>6468775.9891499998</v>
      </c>
      <c r="N131">
        <v>0</v>
      </c>
      <c r="O131">
        <v>21</v>
      </c>
      <c r="P131">
        <v>45901.946981000001</v>
      </c>
      <c r="Q131" s="9" t="s">
        <v>1811</v>
      </c>
      <c r="R131" s="9" t="s">
        <v>97</v>
      </c>
      <c r="S131" s="9" t="s">
        <v>28</v>
      </c>
      <c r="T131" s="9" t="s">
        <v>29</v>
      </c>
      <c r="U131" s="12">
        <v>45756</v>
      </c>
      <c r="V131" s="12">
        <v>45894</v>
      </c>
      <c r="W131" s="9" t="s">
        <v>30</v>
      </c>
      <c r="X131" s="9" t="s">
        <v>1812</v>
      </c>
      <c r="Y131" s="9">
        <f t="shared" si="6"/>
        <v>10544</v>
      </c>
      <c r="Z131" t="str">
        <f t="shared" si="7"/>
        <v>https://sig.aminerals.cl/imgdyn/rest/services/CL_MLP_PAO/CL_MLP_PAO_IF_Ortho_ALL/ImageServer/file?id=.%5CChacay_El_Mauro_Drone%5C25_04_09%5CCL_MLP_PAO_IF_Ortho_25_04_09_Ruta-D-847_02.tiff&amp;rasterId=10544</v>
      </c>
    </row>
    <row r="132" spans="1:26" x14ac:dyDescent="0.25">
      <c r="A132">
        <v>131</v>
      </c>
      <c r="B132" s="9" t="s">
        <v>1303</v>
      </c>
      <c r="C132" s="9" t="s">
        <v>1813</v>
      </c>
      <c r="D132">
        <v>0</v>
      </c>
      <c r="E132">
        <v>0.52800000000000002</v>
      </c>
      <c r="F132">
        <v>1.9998999999999999E-2</v>
      </c>
      <c r="G132" s="12">
        <v>0.159995</v>
      </c>
      <c r="H132">
        <v>1</v>
      </c>
      <c r="I132" s="9" t="s">
        <v>1305</v>
      </c>
      <c r="J132" s="9" t="s">
        <v>1306</v>
      </c>
      <c r="K132" s="9" t="s">
        <v>1306</v>
      </c>
      <c r="L132">
        <v>317550.50305</v>
      </c>
      <c r="M132">
        <v>6468767.5337500004</v>
      </c>
      <c r="N132">
        <v>0</v>
      </c>
      <c r="O132">
        <v>21</v>
      </c>
      <c r="P132">
        <v>45901.946982000001</v>
      </c>
      <c r="Q132" s="9" t="s">
        <v>1814</v>
      </c>
      <c r="R132" s="9" t="s">
        <v>100</v>
      </c>
      <c r="S132" s="9" t="s">
        <v>28</v>
      </c>
      <c r="T132" s="9" t="s">
        <v>29</v>
      </c>
      <c r="U132" s="12">
        <v>45756</v>
      </c>
      <c r="V132" s="12">
        <v>45894</v>
      </c>
      <c r="W132" s="9" t="s">
        <v>30</v>
      </c>
      <c r="X132" s="9" t="s">
        <v>1815</v>
      </c>
      <c r="Y132" s="9">
        <f t="shared" si="6"/>
        <v>10545</v>
      </c>
      <c r="Z132" t="str">
        <f t="shared" si="7"/>
        <v>https://sig.aminerals.cl/imgdyn/rest/services/CL_MLP_PAO/CL_MLP_PAO_IF_Ortho_ALL/ImageServer/file?id=.%5CChacay_El_Mauro_Drone%5C25_04_09%5CCL_MLP_PAO_IF_Ortho_25_04_09_Ruta-D-847_03.tiff&amp;rasterId=10545</v>
      </c>
    </row>
    <row r="133" spans="1:26" x14ac:dyDescent="0.25">
      <c r="A133">
        <v>132</v>
      </c>
      <c r="B133" s="9" t="s">
        <v>1303</v>
      </c>
      <c r="C133" s="9" t="s">
        <v>883</v>
      </c>
      <c r="D133">
        <v>0</v>
      </c>
      <c r="E133">
        <v>0.52800000000000002</v>
      </c>
      <c r="F133">
        <v>1.4999999999999999E-2</v>
      </c>
      <c r="G133" s="12">
        <v>0.24</v>
      </c>
      <c r="H133">
        <v>1</v>
      </c>
      <c r="I133" s="9" t="s">
        <v>1305</v>
      </c>
      <c r="J133" s="9" t="s">
        <v>1306</v>
      </c>
      <c r="K133" s="9" t="s">
        <v>1306</v>
      </c>
      <c r="L133">
        <v>322805.49</v>
      </c>
      <c r="M133">
        <v>6470093.3250000002</v>
      </c>
      <c r="N133">
        <v>0</v>
      </c>
      <c r="O133">
        <v>21</v>
      </c>
      <c r="P133">
        <v>45894.572928000001</v>
      </c>
      <c r="Q133" s="9" t="s">
        <v>1816</v>
      </c>
      <c r="R133" s="9" t="s">
        <v>182</v>
      </c>
      <c r="S133" s="9" t="s">
        <v>28</v>
      </c>
      <c r="T133" s="9" t="s">
        <v>29</v>
      </c>
      <c r="U133" s="12">
        <v>45792</v>
      </c>
      <c r="V133" s="12">
        <v>45894</v>
      </c>
      <c r="W133" s="9" t="s">
        <v>30</v>
      </c>
      <c r="X133" s="9" t="s">
        <v>1817</v>
      </c>
      <c r="Y133" s="9">
        <f t="shared" si="6"/>
        <v>10546</v>
      </c>
      <c r="Z133" t="str">
        <f t="shared" si="7"/>
        <v>https://sig.aminerals.cl/imgdyn/rest/services/CL_MLP_PAO/CL_MLP_PAO_IF_Ortho_ALL/ImageServer/file?id=.%5CChacay_El_Mauro_Drone%5C25_05_15%5CCL_MLP_PAO_IF_Ortho_25_05_15_DME9_PA12_IIFF8.tiff&amp;rasterId=10546</v>
      </c>
    </row>
    <row r="134" spans="1:26" x14ac:dyDescent="0.25">
      <c r="A134">
        <v>133</v>
      </c>
      <c r="B134" s="9" t="s">
        <v>1303</v>
      </c>
      <c r="C134" s="9" t="s">
        <v>884</v>
      </c>
      <c r="D134">
        <v>0</v>
      </c>
      <c r="E134">
        <v>0.52800000000000002</v>
      </c>
      <c r="F134">
        <v>1.4500000000000001E-2</v>
      </c>
      <c r="G134" s="12">
        <v>0.23200000000000001</v>
      </c>
      <c r="H134">
        <v>1</v>
      </c>
      <c r="I134" s="9" t="s">
        <v>1305</v>
      </c>
      <c r="J134" s="9" t="s">
        <v>1306</v>
      </c>
      <c r="K134" s="9" t="s">
        <v>1306</v>
      </c>
      <c r="L134">
        <v>327967.93099999998</v>
      </c>
      <c r="M134">
        <v>6468902.835</v>
      </c>
      <c r="N134">
        <v>0</v>
      </c>
      <c r="O134">
        <v>21</v>
      </c>
      <c r="P134">
        <v>45894.572974000002</v>
      </c>
      <c r="Q134" s="9" t="s">
        <v>1818</v>
      </c>
      <c r="R134" s="9" t="s">
        <v>185</v>
      </c>
      <c r="S134" s="9" t="s">
        <v>28</v>
      </c>
      <c r="T134" s="9" t="s">
        <v>29</v>
      </c>
      <c r="U134" s="12">
        <v>45792</v>
      </c>
      <c r="V134" s="12">
        <v>45894</v>
      </c>
      <c r="W134" s="9" t="s">
        <v>30</v>
      </c>
      <c r="X134" s="9" t="s">
        <v>1819</v>
      </c>
      <c r="Y134" s="9">
        <f t="shared" si="6"/>
        <v>10547</v>
      </c>
      <c r="Z134" t="str">
        <f t="shared" si="7"/>
        <v>https://sig.aminerals.cl/imgdyn/rest/services/CL_MLP_PAO/CL_MLP_PAO_IF_Ortho_ALL/ImageServer/file?id=.%5CChacay_El_Mauro_Drone%5C25_05_15%5CCL_MLP_PAO_IF_Ortho_25_05_15_ED1_IIFF7_DME8.tiff&amp;rasterId=10547</v>
      </c>
    </row>
    <row r="135" spans="1:26" x14ac:dyDescent="0.25">
      <c r="A135">
        <v>134</v>
      </c>
      <c r="B135" s="9" t="s">
        <v>1303</v>
      </c>
      <c r="C135" s="9" t="s">
        <v>885</v>
      </c>
      <c r="D135">
        <v>0</v>
      </c>
      <c r="E135">
        <v>1.5840000000000001</v>
      </c>
      <c r="F135">
        <v>1.4500000000000001E-2</v>
      </c>
      <c r="G135" s="12">
        <v>0.23200000000000001</v>
      </c>
      <c r="H135">
        <v>1</v>
      </c>
      <c r="I135" s="9" t="s">
        <v>1305</v>
      </c>
      <c r="J135" s="9" t="s">
        <v>1306</v>
      </c>
      <c r="K135" s="9" t="s">
        <v>1306</v>
      </c>
      <c r="L135">
        <v>323257.02600000001</v>
      </c>
      <c r="M135">
        <v>6469355.5685000001</v>
      </c>
      <c r="N135">
        <v>0</v>
      </c>
      <c r="O135">
        <v>21</v>
      </c>
      <c r="P135">
        <v>45894.573668999998</v>
      </c>
      <c r="Q135" s="9" t="s">
        <v>1820</v>
      </c>
      <c r="R135" s="9" t="s">
        <v>188</v>
      </c>
      <c r="S135" s="9" t="s">
        <v>28</v>
      </c>
      <c r="T135" s="9" t="s">
        <v>29</v>
      </c>
      <c r="U135" s="12">
        <v>45792</v>
      </c>
      <c r="V135" s="12">
        <v>45894</v>
      </c>
      <c r="W135" s="9" t="s">
        <v>30</v>
      </c>
      <c r="X135" s="9" t="s">
        <v>1821</v>
      </c>
      <c r="Y135" s="9">
        <f t="shared" si="6"/>
        <v>10548</v>
      </c>
      <c r="Z135" t="str">
        <f t="shared" si="7"/>
        <v>https://sig.aminerals.cl/imgdyn/rest/services/CL_MLP_PAO/CL_MLP_PAO_IF_Ortho_ALL/ImageServer/file?id=.%5CChacay_El_Mauro_Drone%5C25_05_15%5CCL_MLP_PAO_IF_Ortho_25_05_15_EM2_PA11_01.tiff&amp;rasterId=10548</v>
      </c>
    </row>
    <row r="136" spans="1:26" x14ac:dyDescent="0.25">
      <c r="A136">
        <v>135</v>
      </c>
      <c r="B136" s="9" t="s">
        <v>1303</v>
      </c>
      <c r="C136" s="9" t="s">
        <v>889</v>
      </c>
      <c r="D136">
        <v>0</v>
      </c>
      <c r="E136">
        <v>0.52800000000000002</v>
      </c>
      <c r="F136">
        <v>1.9E-2</v>
      </c>
      <c r="G136" s="12">
        <v>0.30399999999999999</v>
      </c>
      <c r="H136">
        <v>1</v>
      </c>
      <c r="I136" s="9" t="s">
        <v>1305</v>
      </c>
      <c r="J136" s="9" t="s">
        <v>1306</v>
      </c>
      <c r="K136" s="9" t="s">
        <v>1306</v>
      </c>
      <c r="L136">
        <v>313992.53700000001</v>
      </c>
      <c r="M136">
        <v>6465937.3480000002</v>
      </c>
      <c r="N136">
        <v>0</v>
      </c>
      <c r="O136">
        <v>21</v>
      </c>
      <c r="P136">
        <v>45894.574479000003</v>
      </c>
      <c r="Q136" s="9" t="s">
        <v>1822</v>
      </c>
      <c r="R136" s="9" t="s">
        <v>200</v>
      </c>
      <c r="S136" s="9" t="s">
        <v>28</v>
      </c>
      <c r="T136" s="9" t="s">
        <v>29</v>
      </c>
      <c r="U136" s="12">
        <v>45812</v>
      </c>
      <c r="V136" s="12">
        <v>45894</v>
      </c>
      <c r="W136" s="9" t="s">
        <v>30</v>
      </c>
      <c r="X136" s="9" t="s">
        <v>1823</v>
      </c>
      <c r="Y136" s="9">
        <f t="shared" si="6"/>
        <v>10549</v>
      </c>
      <c r="Z136" t="str">
        <f t="shared" si="7"/>
        <v>https://sig.aminerals.cl/imgdyn/rest/services/CL_MLP_PAO/CL_MLP_PAO_IF_Ortho_ALL/ImageServer/file?id=.%5CChacay_El_Mauro_Drone%5C25_06_04%5CCL_MLP_PAO_IF_Ortho_25_06_04_CaminoAcceso03_LasAnimas.tiff&amp;rasterId=10549</v>
      </c>
    </row>
    <row r="137" spans="1:26" x14ac:dyDescent="0.25">
      <c r="A137">
        <v>136</v>
      </c>
      <c r="B137" s="9" t="s">
        <v>1303</v>
      </c>
      <c r="C137" s="9" t="s">
        <v>890</v>
      </c>
      <c r="D137">
        <v>0</v>
      </c>
      <c r="E137">
        <v>0.52800000000000002</v>
      </c>
      <c r="F137">
        <v>1.4500000000000001E-2</v>
      </c>
      <c r="G137" s="12">
        <v>0.23200000000000001</v>
      </c>
      <c r="H137">
        <v>1</v>
      </c>
      <c r="I137" s="9" t="s">
        <v>1305</v>
      </c>
      <c r="J137" s="9" t="s">
        <v>1306</v>
      </c>
      <c r="K137" s="9" t="s">
        <v>1306</v>
      </c>
      <c r="L137">
        <v>314080.48349999997</v>
      </c>
      <c r="M137">
        <v>6465717.6780000003</v>
      </c>
      <c r="N137">
        <v>0</v>
      </c>
      <c r="O137">
        <v>21</v>
      </c>
      <c r="P137">
        <v>45894.574005000002</v>
      </c>
      <c r="Q137" s="9" t="s">
        <v>1824</v>
      </c>
      <c r="R137" s="9" t="s">
        <v>203</v>
      </c>
      <c r="S137" s="9" t="s">
        <v>28</v>
      </c>
      <c r="T137" s="9" t="s">
        <v>29</v>
      </c>
      <c r="U137" s="12">
        <v>45812</v>
      </c>
      <c r="V137" s="12">
        <v>45894</v>
      </c>
      <c r="W137" s="9" t="s">
        <v>30</v>
      </c>
      <c r="X137" s="9" t="s">
        <v>1825</v>
      </c>
      <c r="Y137" s="9">
        <f t="shared" si="6"/>
        <v>10550</v>
      </c>
      <c r="Z137" t="str">
        <f t="shared" si="7"/>
        <v>https://sig.aminerals.cl/imgdyn/rest/services/CL_MLP_PAO/CL_MLP_PAO_IF_Ortho_ALL/ImageServer/file?id=.%5CChacay_El_Mauro_Drone%5C25_06_04%5CCL_MLP_PAO_IF_Ortho_25_06_04_EM3.tiff&amp;rasterId=10550</v>
      </c>
    </row>
    <row r="138" spans="1:26" x14ac:dyDescent="0.25">
      <c r="A138">
        <v>137</v>
      </c>
      <c r="B138" s="9" t="s">
        <v>1303</v>
      </c>
      <c r="C138" s="9" t="s">
        <v>897</v>
      </c>
      <c r="D138">
        <v>0</v>
      </c>
      <c r="E138">
        <v>1.5840000000000001</v>
      </c>
      <c r="F138">
        <v>2.1999999999999999E-2</v>
      </c>
      <c r="G138" s="12">
        <v>0.35199999999999998</v>
      </c>
      <c r="H138">
        <v>1</v>
      </c>
      <c r="I138" s="9" t="s">
        <v>1305</v>
      </c>
      <c r="J138" s="9" t="s">
        <v>1306</v>
      </c>
      <c r="K138" s="9" t="s">
        <v>1306</v>
      </c>
      <c r="L138">
        <v>310313.82799999998</v>
      </c>
      <c r="M138">
        <v>6463803.5659999996</v>
      </c>
      <c r="N138">
        <v>0</v>
      </c>
      <c r="O138">
        <v>21</v>
      </c>
      <c r="P138">
        <v>45894.574907000002</v>
      </c>
      <c r="Q138" s="9" t="s">
        <v>1826</v>
      </c>
      <c r="R138" s="9" t="s">
        <v>222</v>
      </c>
      <c r="S138" s="9" t="s">
        <v>28</v>
      </c>
      <c r="T138" s="9" t="s">
        <v>29</v>
      </c>
      <c r="U138" s="12">
        <v>45819</v>
      </c>
      <c r="V138" s="12">
        <v>45894</v>
      </c>
      <c r="W138" s="9" t="s">
        <v>30</v>
      </c>
      <c r="X138" s="9" t="s">
        <v>1827</v>
      </c>
      <c r="Y138" s="9">
        <f t="shared" si="6"/>
        <v>10551</v>
      </c>
      <c r="Z138" t="str">
        <f t="shared" si="7"/>
        <v>https://sig.aminerals.cl/imgdyn/rest/services/CL_MLP_PAO/CL_MLP_PAO_IF_Ortho_ALL/ImageServer/file?id=.%5CChacay_El_Mauro_Drone%5C25_06_11%5CCL_MLP_PAO_IF_Ortho_25_06_11_Subestacion_El_Mauro.tiff&amp;rasterId=10551</v>
      </c>
    </row>
    <row r="139" spans="1:26" x14ac:dyDescent="0.25">
      <c r="A139">
        <v>138</v>
      </c>
      <c r="B139" s="9" t="s">
        <v>1303</v>
      </c>
      <c r="C139" s="9" t="s">
        <v>901</v>
      </c>
      <c r="D139">
        <v>0</v>
      </c>
      <c r="E139">
        <v>1.5840000000000001</v>
      </c>
      <c r="F139">
        <v>1.6500000000000001E-2</v>
      </c>
      <c r="G139" s="12">
        <v>0.26400000000000001</v>
      </c>
      <c r="H139">
        <v>1</v>
      </c>
      <c r="I139" s="9" t="s">
        <v>1305</v>
      </c>
      <c r="J139" s="9" t="s">
        <v>1306</v>
      </c>
      <c r="K139" s="9" t="s">
        <v>1306</v>
      </c>
      <c r="L139">
        <v>325040.859</v>
      </c>
      <c r="M139">
        <v>6468495.3629999999</v>
      </c>
      <c r="N139">
        <v>0</v>
      </c>
      <c r="O139">
        <v>21</v>
      </c>
      <c r="P139">
        <v>45901.946987000003</v>
      </c>
      <c r="Q139" s="9" t="s">
        <v>1828</v>
      </c>
      <c r="R139" s="9" t="s">
        <v>234</v>
      </c>
      <c r="S139" s="9" t="s">
        <v>28</v>
      </c>
      <c r="T139" s="9" t="s">
        <v>29</v>
      </c>
      <c r="U139" s="12">
        <v>45826</v>
      </c>
      <c r="V139" s="12">
        <v>45894</v>
      </c>
      <c r="W139" s="9" t="s">
        <v>30</v>
      </c>
      <c r="X139" s="9" t="s">
        <v>1829</v>
      </c>
      <c r="Y139" s="9">
        <f t="shared" si="6"/>
        <v>10552</v>
      </c>
      <c r="Z139" t="str">
        <f t="shared" si="7"/>
        <v>https://sig.aminerals.cl/imgdyn/rest/services/CL_MLP_PAO/CL_MLP_PAO_IF_Ortho_ALL/ImageServer/file?id=.%5CChacay_El_Mauro_Drone%5C25_06_18%5CCL_MLP_PAO_IF_Ortho_25_06_18_NSTC-Km_39_a_40p4f.tiff&amp;rasterId=10552</v>
      </c>
    </row>
    <row r="140" spans="1:26" x14ac:dyDescent="0.25">
      <c r="A140">
        <v>139</v>
      </c>
      <c r="B140" s="9" t="s">
        <v>1303</v>
      </c>
      <c r="C140" s="9" t="s">
        <v>898</v>
      </c>
      <c r="D140">
        <v>0</v>
      </c>
      <c r="E140">
        <v>0.52800000000000002</v>
      </c>
      <c r="F140">
        <v>2.1499999999999998E-2</v>
      </c>
      <c r="G140" s="12">
        <v>0.17199999999999999</v>
      </c>
      <c r="H140">
        <v>1</v>
      </c>
      <c r="I140" s="9" t="s">
        <v>1305</v>
      </c>
      <c r="J140" s="9" t="s">
        <v>1306</v>
      </c>
      <c r="K140" s="9" t="s">
        <v>1306</v>
      </c>
      <c r="L140">
        <v>327218.62650000001</v>
      </c>
      <c r="M140">
        <v>6468520.3794999998</v>
      </c>
      <c r="N140">
        <v>0</v>
      </c>
      <c r="O140">
        <v>21</v>
      </c>
      <c r="P140">
        <v>45894.575126999996</v>
      </c>
      <c r="Q140" s="9" t="s">
        <v>1830</v>
      </c>
      <c r="R140" s="9" t="s">
        <v>225</v>
      </c>
      <c r="S140" s="9" t="s">
        <v>28</v>
      </c>
      <c r="T140" s="9" t="s">
        <v>29</v>
      </c>
      <c r="U140" s="12">
        <v>45826</v>
      </c>
      <c r="V140" s="12">
        <v>45894</v>
      </c>
      <c r="W140" s="9" t="s">
        <v>30</v>
      </c>
      <c r="X140" s="9" t="s">
        <v>1831</v>
      </c>
      <c r="Y140" s="9">
        <f t="shared" si="6"/>
        <v>10553</v>
      </c>
      <c r="Z140" t="str">
        <f t="shared" si="7"/>
        <v>https://sig.aminerals.cl/imgdyn/rest/services/CL_MLP_PAO/CL_MLP_PAO_IF_Ortho_ALL/ImageServer/file?id=.%5CChacay_El_Mauro_Drone%5C25_06_18%5CCL_MLP_PAO_IF_Ortho_25_06_18_NSTC_Km_36p5_a_37p7.tiff&amp;rasterId=10553</v>
      </c>
    </row>
    <row r="141" spans="1:26" x14ac:dyDescent="0.25">
      <c r="A141">
        <v>140</v>
      </c>
      <c r="B141" s="9" t="s">
        <v>1303</v>
      </c>
      <c r="C141" s="9" t="s">
        <v>899</v>
      </c>
      <c r="D141">
        <v>0</v>
      </c>
      <c r="E141">
        <v>0.52800000000000002</v>
      </c>
      <c r="F141">
        <v>1.2500000000000001E-2</v>
      </c>
      <c r="G141" s="12">
        <v>0.2</v>
      </c>
      <c r="H141">
        <v>1</v>
      </c>
      <c r="I141" s="9" t="s">
        <v>1305</v>
      </c>
      <c r="J141" s="9" t="s">
        <v>1306</v>
      </c>
      <c r="K141" s="9" t="s">
        <v>1306</v>
      </c>
      <c r="L141">
        <v>326126.84999999998</v>
      </c>
      <c r="M141">
        <v>6468374.8624999998</v>
      </c>
      <c r="N141">
        <v>0</v>
      </c>
      <c r="O141">
        <v>21</v>
      </c>
      <c r="P141">
        <v>45894.577361000003</v>
      </c>
      <c r="Q141" s="9" t="s">
        <v>1832</v>
      </c>
      <c r="R141" s="9" t="s">
        <v>228</v>
      </c>
      <c r="S141" s="9" t="s">
        <v>28</v>
      </c>
      <c r="T141" s="9" t="s">
        <v>29</v>
      </c>
      <c r="U141" s="12">
        <v>45826</v>
      </c>
      <c r="V141" s="12">
        <v>45894</v>
      </c>
      <c r="W141" s="9" t="s">
        <v>30</v>
      </c>
      <c r="X141" s="9" t="s">
        <v>1833</v>
      </c>
      <c r="Y141" s="9">
        <f t="shared" si="6"/>
        <v>10554</v>
      </c>
      <c r="Z141" t="str">
        <f t="shared" si="7"/>
        <v>https://sig.aminerals.cl/imgdyn/rest/services/CL_MLP_PAO/CL_MLP_PAO_IF_Ortho_ALL/ImageServer/file?id=.%5CChacay_El_Mauro_Drone%5C25_06_18%5CCL_MLP_PAO_IF_Ortho_25_06_18_NSTC_Km_37p7_a_39.tiff&amp;rasterId=10554</v>
      </c>
    </row>
    <row r="142" spans="1:26" x14ac:dyDescent="0.25">
      <c r="A142">
        <v>141</v>
      </c>
      <c r="B142" s="9" t="s">
        <v>1303</v>
      </c>
      <c r="C142" s="9" t="s">
        <v>900</v>
      </c>
      <c r="D142">
        <v>0</v>
      </c>
      <c r="E142">
        <v>1.5840000000000001</v>
      </c>
      <c r="F142">
        <v>1.6500000000000001E-2</v>
      </c>
      <c r="G142" s="12">
        <v>0.52800000000000002</v>
      </c>
      <c r="H142">
        <v>1</v>
      </c>
      <c r="I142" s="9" t="s">
        <v>1305</v>
      </c>
      <c r="J142" s="9" t="s">
        <v>1306</v>
      </c>
      <c r="K142" s="9" t="s">
        <v>1306</v>
      </c>
      <c r="L142">
        <v>324044.82</v>
      </c>
      <c r="M142">
        <v>6469110.5324999997</v>
      </c>
      <c r="N142">
        <v>0</v>
      </c>
      <c r="O142">
        <v>21</v>
      </c>
      <c r="P142">
        <v>45894.578449000001</v>
      </c>
      <c r="Q142" s="9" t="s">
        <v>1834</v>
      </c>
      <c r="R142" s="9" t="s">
        <v>231</v>
      </c>
      <c r="S142" s="9" t="s">
        <v>28</v>
      </c>
      <c r="T142" s="9" t="s">
        <v>29</v>
      </c>
      <c r="U142" s="12">
        <v>45826</v>
      </c>
      <c r="V142" s="12">
        <v>45894</v>
      </c>
      <c r="W142" s="9" t="s">
        <v>30</v>
      </c>
      <c r="X142" s="9" t="s">
        <v>1835</v>
      </c>
      <c r="Y142" s="9">
        <f t="shared" si="6"/>
        <v>10555</v>
      </c>
      <c r="Z142" t="str">
        <f t="shared" si="7"/>
        <v>https://sig.aminerals.cl/imgdyn/rest/services/CL_MLP_PAO/CL_MLP_PAO_IF_Ortho_ALL/ImageServer/file?id=.%5CChacay_El_Mauro_Drone%5C25_06_18%5CCL_MLP_PAO_IF_Ortho_25_06_18_NSTC_Km_40p4_a_PA10.tiff&amp;rasterId=10555</v>
      </c>
    </row>
    <row r="143" spans="1:26" x14ac:dyDescent="0.25">
      <c r="A143">
        <v>142</v>
      </c>
      <c r="B143" s="9" t="s">
        <v>1303</v>
      </c>
      <c r="C143" s="9" t="s">
        <v>907</v>
      </c>
      <c r="D143">
        <v>0</v>
      </c>
      <c r="E143">
        <v>0.52800000000000002</v>
      </c>
      <c r="F143">
        <v>1.6E-2</v>
      </c>
      <c r="G143" s="12">
        <v>0.25600000000000001</v>
      </c>
      <c r="H143">
        <v>1</v>
      </c>
      <c r="I143" s="9" t="s">
        <v>1305</v>
      </c>
      <c r="J143" s="9" t="s">
        <v>1306</v>
      </c>
      <c r="K143" s="9" t="s">
        <v>1306</v>
      </c>
      <c r="L143">
        <v>322812.49599999998</v>
      </c>
      <c r="M143">
        <v>6470046.176</v>
      </c>
      <c r="N143">
        <v>0</v>
      </c>
      <c r="O143">
        <v>21</v>
      </c>
      <c r="P143">
        <v>45894.577674</v>
      </c>
      <c r="Q143" s="9" t="s">
        <v>1836</v>
      </c>
      <c r="R143" s="9" t="s">
        <v>252</v>
      </c>
      <c r="S143" s="9" t="s">
        <v>28</v>
      </c>
      <c r="T143" s="9" t="s">
        <v>29</v>
      </c>
      <c r="U143" s="12">
        <v>45840</v>
      </c>
      <c r="V143" s="12">
        <v>45894</v>
      </c>
      <c r="W143" s="9" t="s">
        <v>30</v>
      </c>
      <c r="X143" s="9" t="s">
        <v>1837</v>
      </c>
      <c r="Y143" s="9">
        <f t="shared" si="6"/>
        <v>10556</v>
      </c>
      <c r="Z143" t="str">
        <f t="shared" si="7"/>
        <v>https://sig.aminerals.cl/imgdyn/rest/services/CL_MLP_PAO/CL_MLP_PAO_IF_Ortho_ALL/ImageServer/file?id=.%5CChacay_El_Mauro_Drone%5C25_07_02%5CCL_MLP_PAO_IF_Ortho_25_07_02_DME9_PA12_IIFF8_2.tiff&amp;rasterId=10556</v>
      </c>
    </row>
    <row r="144" spans="1:26" x14ac:dyDescent="0.25">
      <c r="A144">
        <v>143</v>
      </c>
      <c r="B144" s="9" t="s">
        <v>1303</v>
      </c>
      <c r="C144" s="9" t="s">
        <v>908</v>
      </c>
      <c r="D144">
        <v>0</v>
      </c>
      <c r="E144">
        <v>1.5840000000000001</v>
      </c>
      <c r="F144">
        <v>1.6E-2</v>
      </c>
      <c r="G144" s="12">
        <v>0.25600000000000001</v>
      </c>
      <c r="H144">
        <v>1</v>
      </c>
      <c r="I144" s="9" t="s">
        <v>1305</v>
      </c>
      <c r="J144" s="9" t="s">
        <v>1306</v>
      </c>
      <c r="K144" s="9" t="s">
        <v>1306</v>
      </c>
      <c r="L144">
        <v>323258.864</v>
      </c>
      <c r="M144">
        <v>6469367.3119999999</v>
      </c>
      <c r="N144">
        <v>0</v>
      </c>
      <c r="O144">
        <v>21</v>
      </c>
      <c r="P144">
        <v>45894.578368000002</v>
      </c>
      <c r="Q144" s="9" t="s">
        <v>1838</v>
      </c>
      <c r="R144" s="9" t="s">
        <v>255</v>
      </c>
      <c r="S144" s="9" t="s">
        <v>28</v>
      </c>
      <c r="T144" s="9" t="s">
        <v>29</v>
      </c>
      <c r="U144" s="12">
        <v>45840</v>
      </c>
      <c r="V144" s="12">
        <v>45894</v>
      </c>
      <c r="W144" s="9" t="s">
        <v>30</v>
      </c>
      <c r="X144" s="9" t="s">
        <v>1839</v>
      </c>
      <c r="Y144" s="9">
        <f t="shared" si="6"/>
        <v>10557</v>
      </c>
      <c r="Z144" t="str">
        <f t="shared" si="7"/>
        <v>https://sig.aminerals.cl/imgdyn/rest/services/CL_MLP_PAO/CL_MLP_PAO_IF_Ortho_ALL/ImageServer/file?id=.%5CChacay_El_Mauro_Drone%5C25_07_02%5CCL_MLP_PAO_IF_Ortho_25_07_02_EM2_PA10_PA11_2.tiff&amp;rasterId=10557</v>
      </c>
    </row>
    <row r="145" spans="1:26" x14ac:dyDescent="0.25">
      <c r="A145">
        <v>144</v>
      </c>
      <c r="B145" s="9" t="s">
        <v>1303</v>
      </c>
      <c r="C145" s="9" t="s">
        <v>909</v>
      </c>
      <c r="D145">
        <v>0</v>
      </c>
      <c r="E145">
        <v>1.5840000000000001</v>
      </c>
      <c r="F145">
        <v>0.02</v>
      </c>
      <c r="G145" s="12">
        <v>0.16</v>
      </c>
      <c r="H145">
        <v>1</v>
      </c>
      <c r="I145" s="9" t="s">
        <v>1305</v>
      </c>
      <c r="J145" s="9" t="s">
        <v>1306</v>
      </c>
      <c r="K145" s="9" t="s">
        <v>1306</v>
      </c>
      <c r="L145">
        <v>345433.78</v>
      </c>
      <c r="M145">
        <v>6471166.2000000002</v>
      </c>
      <c r="N145">
        <v>0</v>
      </c>
      <c r="O145">
        <v>21</v>
      </c>
      <c r="P145">
        <v>45894.578113000003</v>
      </c>
      <c r="Q145" s="9" t="s">
        <v>1840</v>
      </c>
      <c r="R145" s="9" t="s">
        <v>258</v>
      </c>
      <c r="S145" s="9" t="s">
        <v>28</v>
      </c>
      <c r="T145" s="9" t="s">
        <v>29</v>
      </c>
      <c r="U145" s="12">
        <v>45841</v>
      </c>
      <c r="V145" s="12">
        <v>45894</v>
      </c>
      <c r="W145" s="9" t="s">
        <v>30</v>
      </c>
      <c r="X145" s="9" t="s">
        <v>1841</v>
      </c>
      <c r="Y145" s="9">
        <f t="shared" si="6"/>
        <v>10558</v>
      </c>
      <c r="Z145" t="str">
        <f t="shared" si="7"/>
        <v>https://sig.aminerals.cl/imgdyn/rest/services/CL_MLP_PAO/CL_MLP_PAO_IF_Ortho_ALL/ImageServer/file?id=.%5CChacay_El_Mauro_Drone%5C25_07_03%5CCL_MLP_PAO_IF_Ortho_25_07_03_EV1.tiff&amp;rasterId=10558</v>
      </c>
    </row>
    <row r="146" spans="1:26" x14ac:dyDescent="0.25">
      <c r="A146">
        <v>145</v>
      </c>
      <c r="B146" s="9" t="s">
        <v>1303</v>
      </c>
      <c r="C146" s="9" t="s">
        <v>910</v>
      </c>
      <c r="D146">
        <v>0</v>
      </c>
      <c r="E146">
        <v>1.5840000000000001</v>
      </c>
      <c r="F146">
        <v>2.35E-2</v>
      </c>
      <c r="G146" s="12">
        <v>0.376</v>
      </c>
      <c r="H146">
        <v>1</v>
      </c>
      <c r="I146" s="9" t="s">
        <v>1305</v>
      </c>
      <c r="J146" s="9" t="s">
        <v>1306</v>
      </c>
      <c r="K146" s="9" t="s">
        <v>1306</v>
      </c>
      <c r="L146">
        <v>344889.90100000001</v>
      </c>
      <c r="M146">
        <v>6470851.1244999999</v>
      </c>
      <c r="N146">
        <v>0</v>
      </c>
      <c r="O146">
        <v>21</v>
      </c>
      <c r="P146">
        <v>45894.578529999999</v>
      </c>
      <c r="Q146" s="9" t="s">
        <v>1842</v>
      </c>
      <c r="R146" s="9" t="s">
        <v>261</v>
      </c>
      <c r="S146" s="9" t="s">
        <v>28</v>
      </c>
      <c r="T146" s="9" t="s">
        <v>29</v>
      </c>
      <c r="U146" s="12">
        <v>45841</v>
      </c>
      <c r="V146" s="12">
        <v>45894</v>
      </c>
      <c r="W146" s="9" t="s">
        <v>30</v>
      </c>
      <c r="X146" s="9" t="s">
        <v>1843</v>
      </c>
      <c r="Y146" s="9">
        <f t="shared" si="6"/>
        <v>10559</v>
      </c>
      <c r="Z146" t="str">
        <f t="shared" si="7"/>
        <v>https://sig.aminerals.cl/imgdyn/rest/services/CL_MLP_PAO/CL_MLP_PAO_IF_Ortho_ALL/ImageServer/file?id=.%5CChacay_El_Mauro_Drone%5C25_07_03%5CCL_MLP_PAO_IF_Ortho_25_07_03_IIFF4_PA4.tiff&amp;rasterId=10559</v>
      </c>
    </row>
    <row r="147" spans="1:26" x14ac:dyDescent="0.25">
      <c r="A147">
        <v>146</v>
      </c>
      <c r="B147" s="9" t="s">
        <v>1303</v>
      </c>
      <c r="C147" s="9" t="s">
        <v>911</v>
      </c>
      <c r="D147">
        <v>0</v>
      </c>
      <c r="E147">
        <v>1.5840000000000001</v>
      </c>
      <c r="F147">
        <v>2.5000000000000001E-2</v>
      </c>
      <c r="G147" s="12">
        <v>0.2</v>
      </c>
      <c r="H147">
        <v>1</v>
      </c>
      <c r="I147" s="9" t="s">
        <v>1305</v>
      </c>
      <c r="J147" s="9" t="s">
        <v>1306</v>
      </c>
      <c r="K147" s="9" t="s">
        <v>1306</v>
      </c>
      <c r="L147">
        <v>344106.05</v>
      </c>
      <c r="M147">
        <v>6470383.4749999996</v>
      </c>
      <c r="N147">
        <v>0</v>
      </c>
      <c r="O147">
        <v>21</v>
      </c>
      <c r="P147">
        <v>45894.578796000002</v>
      </c>
      <c r="Q147" s="9" t="s">
        <v>1844</v>
      </c>
      <c r="R147" s="9" t="s">
        <v>264</v>
      </c>
      <c r="S147" s="9" t="s">
        <v>28</v>
      </c>
      <c r="T147" s="9" t="s">
        <v>29</v>
      </c>
      <c r="U147" s="12">
        <v>45841</v>
      </c>
      <c r="V147" s="12">
        <v>45894</v>
      </c>
      <c r="W147" s="9" t="s">
        <v>30</v>
      </c>
      <c r="X147" s="9" t="s">
        <v>1845</v>
      </c>
      <c r="Y147" s="9">
        <f t="shared" si="6"/>
        <v>10560</v>
      </c>
      <c r="Z147" t="str">
        <f t="shared" si="7"/>
        <v>https://sig.aminerals.cl/imgdyn/rest/services/CL_MLP_PAO/CL_MLP_PAO_IF_Ortho_ALL/ImageServer/file?id=.%5CChacay_El_Mauro_Drone%5C25_07_03%5CCL_MLP_PAO_IF_Ortho_25_07_03_NSTC_Km_16p1_a_DME4.tiff&amp;rasterId=10560</v>
      </c>
    </row>
    <row r="148" spans="1:26" x14ac:dyDescent="0.25">
      <c r="A148">
        <v>147</v>
      </c>
      <c r="B148" s="9" t="s">
        <v>1303</v>
      </c>
      <c r="C148" s="9" t="s">
        <v>875</v>
      </c>
      <c r="D148">
        <v>0</v>
      </c>
      <c r="E148">
        <v>0.52800000000000002</v>
      </c>
      <c r="F148">
        <v>1.7500000000000002E-2</v>
      </c>
      <c r="G148" s="12">
        <v>0.28000000000000003</v>
      </c>
      <c r="H148">
        <v>1</v>
      </c>
      <c r="I148" s="9" t="s">
        <v>1305</v>
      </c>
      <c r="J148" s="9" t="s">
        <v>1306</v>
      </c>
      <c r="K148" s="9" t="s">
        <v>1306</v>
      </c>
      <c r="L148">
        <v>309796.91749999998</v>
      </c>
      <c r="M148">
        <v>6459607.5250000004</v>
      </c>
      <c r="N148">
        <v>0</v>
      </c>
      <c r="O148">
        <v>21</v>
      </c>
      <c r="P148">
        <v>45894.581492999998</v>
      </c>
      <c r="Q148" s="9" t="s">
        <v>1846</v>
      </c>
      <c r="R148" s="9" t="s">
        <v>86</v>
      </c>
      <c r="S148" s="9" t="s">
        <v>28</v>
      </c>
      <c r="T148" s="9" t="s">
        <v>29</v>
      </c>
      <c r="U148" s="12">
        <v>45750</v>
      </c>
      <c r="V148" s="12">
        <v>45894</v>
      </c>
      <c r="W148" s="9" t="s">
        <v>30</v>
      </c>
      <c r="X148" s="9" t="s">
        <v>1847</v>
      </c>
      <c r="Y148" s="9">
        <f t="shared" si="6"/>
        <v>10561</v>
      </c>
      <c r="Z148" t="str">
        <f t="shared" si="7"/>
        <v>https://sig.aminerals.cl/imgdyn/rest/services/CL_MLP_PAO/CL_MLP_PAO_IF_Ortho_ALL/ImageServer/file?id=.%5CEl_Mauro_Drone%5C25_04_03%5CCL_MLP_PAO_IF_Ortho_25_04_03_Area-patio-19b-y-armado.tiff&amp;rasterId=10561</v>
      </c>
    </row>
    <row r="149" spans="1:26" x14ac:dyDescent="0.25">
      <c r="A149">
        <v>148</v>
      </c>
      <c r="B149" s="9" t="s">
        <v>1303</v>
      </c>
      <c r="C149" s="9" t="s">
        <v>876</v>
      </c>
      <c r="D149">
        <v>0</v>
      </c>
      <c r="E149">
        <v>1.5840000000000001</v>
      </c>
      <c r="F149">
        <v>2.1000000000000001E-2</v>
      </c>
      <c r="G149" s="12">
        <v>0.33600000000000002</v>
      </c>
      <c r="H149">
        <v>1</v>
      </c>
      <c r="I149" s="9" t="s">
        <v>1305</v>
      </c>
      <c r="J149" s="9" t="s">
        <v>1306</v>
      </c>
      <c r="K149" s="9" t="s">
        <v>1306</v>
      </c>
      <c r="L149">
        <v>310325.35800000001</v>
      </c>
      <c r="M149">
        <v>6463803.8430000003</v>
      </c>
      <c r="N149">
        <v>0</v>
      </c>
      <c r="O149">
        <v>21</v>
      </c>
      <c r="P149">
        <v>45894.580508999999</v>
      </c>
      <c r="Q149" s="9" t="s">
        <v>1848</v>
      </c>
      <c r="R149" s="9" t="s">
        <v>90</v>
      </c>
      <c r="S149" s="9" t="s">
        <v>28</v>
      </c>
      <c r="T149" s="9" t="s">
        <v>29</v>
      </c>
      <c r="U149" s="12">
        <v>45750</v>
      </c>
      <c r="V149" s="12">
        <v>45894</v>
      </c>
      <c r="W149" s="9" t="s">
        <v>30</v>
      </c>
      <c r="X149" s="9" t="s">
        <v>1849</v>
      </c>
      <c r="Y149" s="9">
        <f t="shared" si="6"/>
        <v>10562</v>
      </c>
      <c r="Z149" t="str">
        <f t="shared" si="7"/>
        <v>https://sig.aminerals.cl/imgdyn/rest/services/CL_MLP_PAO/CL_MLP_PAO_IF_Ortho_ALL/ImageServer/file?id=.%5CEl_Mauro_Drone%5C25_04_03%5CCL_MLP_PAO_IF_Ortho_25_04_03_Subestacion-El-Mauro.tiff&amp;rasterId=10562</v>
      </c>
    </row>
    <row r="150" spans="1:26" x14ac:dyDescent="0.25">
      <c r="A150">
        <v>149</v>
      </c>
      <c r="B150" s="9" t="s">
        <v>1303</v>
      </c>
      <c r="C150" s="9" t="s">
        <v>887</v>
      </c>
      <c r="D150">
        <v>0</v>
      </c>
      <c r="E150">
        <v>0.52800000000000002</v>
      </c>
      <c r="F150">
        <v>1.2500000000000001E-2</v>
      </c>
      <c r="G150" s="12">
        <v>0.2</v>
      </c>
      <c r="H150">
        <v>1</v>
      </c>
      <c r="I150" s="9" t="s">
        <v>1305</v>
      </c>
      <c r="J150" s="9" t="s">
        <v>1306</v>
      </c>
      <c r="K150" s="9" t="s">
        <v>1306</v>
      </c>
      <c r="L150">
        <v>305913.8125</v>
      </c>
      <c r="M150">
        <v>6463736.7000000002</v>
      </c>
      <c r="N150">
        <v>0</v>
      </c>
      <c r="O150">
        <v>21</v>
      </c>
      <c r="P150">
        <v>45894.579572000002</v>
      </c>
      <c r="Q150" s="9" t="s">
        <v>1850</v>
      </c>
      <c r="R150" s="9" t="s">
        <v>194</v>
      </c>
      <c r="S150" s="9" t="s">
        <v>28</v>
      </c>
      <c r="T150" s="9" t="s">
        <v>29</v>
      </c>
      <c r="U150" s="12">
        <v>45810</v>
      </c>
      <c r="V150" s="12">
        <v>45894</v>
      </c>
      <c r="W150" s="9" t="s">
        <v>30</v>
      </c>
      <c r="X150" s="9" t="s">
        <v>1851</v>
      </c>
      <c r="Y150" s="9">
        <f t="shared" si="6"/>
        <v>10563</v>
      </c>
      <c r="Z150" t="str">
        <f t="shared" si="7"/>
        <v>https://sig.aminerals.cl/imgdyn/rest/services/CL_MLP_PAO/CL_MLP_PAO_IF_Ortho_ALL/ImageServer/file?id=.%5CEl_Mauro_Drone%5C25_06_02%5CCL_MLP_PAO_IF_Ortho_25_06_02_ByPassDrenes_Estacion_Drenes_El_Mauro.tiff&amp;rasterId=10563</v>
      </c>
    </row>
    <row r="151" spans="1:26" x14ac:dyDescent="0.25">
      <c r="A151">
        <v>150</v>
      </c>
      <c r="B151" s="9" t="s">
        <v>1303</v>
      </c>
      <c r="C151" s="9" t="s">
        <v>888</v>
      </c>
      <c r="D151">
        <v>0</v>
      </c>
      <c r="E151">
        <v>0.52800000000000002</v>
      </c>
      <c r="F151">
        <v>1.7000000000000001E-2</v>
      </c>
      <c r="G151" s="12">
        <v>0.13600000000000001</v>
      </c>
      <c r="H151">
        <v>1</v>
      </c>
      <c r="I151" s="9" t="s">
        <v>1305</v>
      </c>
      <c r="J151" s="9" t="s">
        <v>1306</v>
      </c>
      <c r="K151" s="9" t="s">
        <v>1306</v>
      </c>
      <c r="L151">
        <v>305786.34399999998</v>
      </c>
      <c r="M151">
        <v>6463412.9709999999</v>
      </c>
      <c r="N151">
        <v>0</v>
      </c>
      <c r="O151">
        <v>21</v>
      </c>
      <c r="P151">
        <v>45894.579258999998</v>
      </c>
      <c r="Q151" s="9" t="s">
        <v>1852</v>
      </c>
      <c r="R151" s="9" t="s">
        <v>197</v>
      </c>
      <c r="S151" s="9" t="s">
        <v>28</v>
      </c>
      <c r="T151" s="9" t="s">
        <v>29</v>
      </c>
      <c r="U151" s="12">
        <v>45810</v>
      </c>
      <c r="V151" s="12">
        <v>45894</v>
      </c>
      <c r="W151" s="9" t="s">
        <v>30</v>
      </c>
      <c r="X151" s="9" t="s">
        <v>1853</v>
      </c>
      <c r="Y151" s="9">
        <f t="shared" si="6"/>
        <v>10564</v>
      </c>
      <c r="Z151" t="str">
        <f t="shared" si="7"/>
        <v>https://sig.aminerals.cl/imgdyn/rest/services/CL_MLP_PAO/CL_MLP_PAO_IF_Ortho_ALL/ImageServer/file?id=.%5CEl_Mauro_Drone%5C25_06_02%5CCL_MLP_PAO_IF_Ortho_25_06_02_Estacion_Drenes_El_Mauro.tiff&amp;rasterId=10564</v>
      </c>
    </row>
    <row r="152" spans="1:26" x14ac:dyDescent="0.25">
      <c r="A152">
        <v>151</v>
      </c>
      <c r="B152" s="9" t="s">
        <v>1303</v>
      </c>
      <c r="C152" s="9" t="s">
        <v>891</v>
      </c>
      <c r="D152">
        <v>0</v>
      </c>
      <c r="E152">
        <v>1.5840000000000001</v>
      </c>
      <c r="F152">
        <v>1.4500000000000001E-2</v>
      </c>
      <c r="G152" s="12">
        <v>0.23200000000000001</v>
      </c>
      <c r="H152">
        <v>1</v>
      </c>
      <c r="I152" s="9" t="s">
        <v>1305</v>
      </c>
      <c r="J152" s="9" t="s">
        <v>1306</v>
      </c>
      <c r="K152" s="9" t="s">
        <v>1306</v>
      </c>
      <c r="L152">
        <v>303859.09999999998</v>
      </c>
      <c r="M152">
        <v>6463088.074</v>
      </c>
      <c r="N152">
        <v>0</v>
      </c>
      <c r="O152">
        <v>21</v>
      </c>
      <c r="P152">
        <v>45894.580880000001</v>
      </c>
      <c r="Q152" s="9" t="s">
        <v>1854</v>
      </c>
      <c r="R152" s="9" t="s">
        <v>206</v>
      </c>
      <c r="S152" s="9" t="s">
        <v>28</v>
      </c>
      <c r="T152" s="9" t="s">
        <v>29</v>
      </c>
      <c r="U152" s="12">
        <v>45813</v>
      </c>
      <c r="V152" s="12">
        <v>45894</v>
      </c>
      <c r="W152" s="9" t="s">
        <v>30</v>
      </c>
      <c r="X152" s="9" t="s">
        <v>1855</v>
      </c>
      <c r="Y152" s="9">
        <f t="shared" si="6"/>
        <v>10565</v>
      </c>
      <c r="Z152" t="str">
        <f t="shared" si="7"/>
        <v>https://sig.aminerals.cl/imgdyn/rest/services/CL_MLP_PAO/CL_MLP_PAO_IF_Ortho_ALL/ImageServer/file?id=.%5CEl_Mauro_Drone%5C25_06_05%5CCL_MLP_PAO_IF_Ortho_25_06_05_33-kv-74p7-a-75p5.tiff&amp;rasterId=10565</v>
      </c>
    </row>
    <row r="153" spans="1:26" x14ac:dyDescent="0.25">
      <c r="A153">
        <v>152</v>
      </c>
      <c r="B153" s="9" t="s">
        <v>1303</v>
      </c>
      <c r="C153" s="9" t="s">
        <v>925</v>
      </c>
      <c r="D153">
        <v>0</v>
      </c>
      <c r="E153">
        <v>0.52800000000000002</v>
      </c>
      <c r="F153">
        <v>1.7000000000000001E-2</v>
      </c>
      <c r="G153" s="12">
        <v>0.27200000000000002</v>
      </c>
      <c r="H153">
        <v>1</v>
      </c>
      <c r="I153" s="9" t="s">
        <v>1305</v>
      </c>
      <c r="J153" s="9" t="s">
        <v>1306</v>
      </c>
      <c r="K153" s="9" t="s">
        <v>1306</v>
      </c>
      <c r="L153">
        <v>309604.06800000003</v>
      </c>
      <c r="M153">
        <v>6463537.6490000002</v>
      </c>
      <c r="N153">
        <v>0</v>
      </c>
      <c r="O153">
        <v>21</v>
      </c>
      <c r="P153">
        <v>45894.582257000002</v>
      </c>
      <c r="Q153" s="9" t="s">
        <v>1856</v>
      </c>
      <c r="R153" s="9" t="s">
        <v>306</v>
      </c>
      <c r="S153" s="9" t="s">
        <v>28</v>
      </c>
      <c r="T153" s="9" t="s">
        <v>29</v>
      </c>
      <c r="U153" s="12">
        <v>45881</v>
      </c>
      <c r="V153" s="12">
        <v>45894</v>
      </c>
      <c r="W153" s="9" t="s">
        <v>30</v>
      </c>
      <c r="X153" s="9" t="s">
        <v>1857</v>
      </c>
      <c r="Y153" s="9">
        <f t="shared" si="6"/>
        <v>10566</v>
      </c>
      <c r="Z153" t="str">
        <f t="shared" si="7"/>
        <v>https://sig.aminerals.cl/imgdyn/rest/services/CL_MLP_PAO/CL_MLP_PAO_IF_Ortho_ALL/ImageServer/file?id=.%5CEl_Mauro_Drone%5C25_08_12%5CCL_MLP_PAO_IF_Ortho_25_08_12_Linea_33_kV_NorteElMauro_Area11_11.tiff&amp;rasterId=10566</v>
      </c>
    </row>
    <row r="154" spans="1:26" x14ac:dyDescent="0.25">
      <c r="A154">
        <v>153</v>
      </c>
      <c r="B154" s="9" t="s">
        <v>1303</v>
      </c>
      <c r="C154" s="9" t="s">
        <v>926</v>
      </c>
      <c r="D154">
        <v>0</v>
      </c>
      <c r="E154">
        <v>0.52800000000000002</v>
      </c>
      <c r="F154">
        <v>1.7500000000000002E-2</v>
      </c>
      <c r="G154" s="12">
        <v>0.28000000000000003</v>
      </c>
      <c r="H154">
        <v>1</v>
      </c>
      <c r="I154" s="9" t="s">
        <v>1305</v>
      </c>
      <c r="J154" s="9" t="s">
        <v>1306</v>
      </c>
      <c r="K154" s="9" t="s">
        <v>1306</v>
      </c>
      <c r="L154">
        <v>310155.59749999997</v>
      </c>
      <c r="M154">
        <v>6463855.5099999998</v>
      </c>
      <c r="N154">
        <v>0</v>
      </c>
      <c r="O154">
        <v>21</v>
      </c>
      <c r="P154">
        <v>45894.583229000003</v>
      </c>
      <c r="Q154" s="9" t="s">
        <v>1858</v>
      </c>
      <c r="R154" s="9" t="s">
        <v>309</v>
      </c>
      <c r="S154" s="9" t="s">
        <v>28</v>
      </c>
      <c r="T154" s="9" t="s">
        <v>29</v>
      </c>
      <c r="U154" s="12">
        <v>45881</v>
      </c>
      <c r="V154" s="12">
        <v>45894</v>
      </c>
      <c r="W154" s="9" t="s">
        <v>30</v>
      </c>
      <c r="X154" s="9" t="s">
        <v>1859</v>
      </c>
      <c r="Y154" s="9">
        <f t="shared" si="6"/>
        <v>10567</v>
      </c>
      <c r="Z154" t="str">
        <f t="shared" si="7"/>
        <v>https://sig.aminerals.cl/imgdyn/rest/services/CL_MLP_PAO/CL_MLP_PAO_IF_Ortho_ALL/ImageServer/file?id=.%5CEl_Mauro_Drone%5C25_08_12%5CCL_MLP_PAO_IF_Ortho_25_08_12_Linea_33_kV_NorteElMauro_Area12_12.tiff&amp;rasterId=10567</v>
      </c>
    </row>
    <row r="155" spans="1:26" x14ac:dyDescent="0.25">
      <c r="A155">
        <v>154</v>
      </c>
      <c r="B155" s="9" t="s">
        <v>1303</v>
      </c>
      <c r="C155" s="9" t="s">
        <v>927</v>
      </c>
      <c r="D155">
        <v>0</v>
      </c>
      <c r="E155">
        <v>0.52800000000000002</v>
      </c>
      <c r="F155">
        <v>1.6500000000000001E-2</v>
      </c>
      <c r="G155" s="12">
        <v>0.26400000000000001</v>
      </c>
      <c r="H155">
        <v>1</v>
      </c>
      <c r="I155" s="9" t="s">
        <v>1305</v>
      </c>
      <c r="J155" s="9" t="s">
        <v>1306</v>
      </c>
      <c r="K155" s="9" t="s">
        <v>1306</v>
      </c>
      <c r="L155">
        <v>309144.462</v>
      </c>
      <c r="M155">
        <v>6462939.1859999998</v>
      </c>
      <c r="N155">
        <v>0</v>
      </c>
      <c r="O155">
        <v>21</v>
      </c>
      <c r="P155">
        <v>45894.582512000001</v>
      </c>
      <c r="Q155" s="9" t="s">
        <v>1860</v>
      </c>
      <c r="R155" s="9" t="s">
        <v>312</v>
      </c>
      <c r="S155" s="9" t="s">
        <v>28</v>
      </c>
      <c r="T155" s="9" t="s">
        <v>29</v>
      </c>
      <c r="U155" s="12">
        <v>45882</v>
      </c>
      <c r="V155" s="12">
        <v>45894</v>
      </c>
      <c r="W155" s="9" t="s">
        <v>30</v>
      </c>
      <c r="X155" s="9" t="s">
        <v>1861</v>
      </c>
      <c r="Y155" s="9">
        <f t="shared" ref="Y155:Y186" si="8">VLOOKUP(C155,$A$226:$B$414,2,FALSE())</f>
        <v>10568</v>
      </c>
      <c r="Z155" t="str">
        <f t="shared" si="7"/>
        <v>https://sig.aminerals.cl/imgdyn/rest/services/CL_MLP_PAO/CL_MLP_PAO_IF_Ortho_ALL/ImageServer/file?id=.%5CEl_Mauro_Drone%5C25_08_13%5CCL_MLP_PAO_IF_Ortho_25_08_13_Linea_33_kV_NorteElMauro_Area10_10.tiff&amp;rasterId=10568</v>
      </c>
    </row>
    <row r="156" spans="1:26" x14ac:dyDescent="0.25">
      <c r="A156">
        <v>155</v>
      </c>
      <c r="B156" s="9" t="s">
        <v>1303</v>
      </c>
      <c r="C156" s="9" t="s">
        <v>928</v>
      </c>
      <c r="D156">
        <v>0</v>
      </c>
      <c r="E156">
        <v>0.52800000000000002</v>
      </c>
      <c r="F156">
        <v>1.6E-2</v>
      </c>
      <c r="G156" s="12">
        <v>0.25600000000000001</v>
      </c>
      <c r="H156">
        <v>1</v>
      </c>
      <c r="I156" s="9" t="s">
        <v>1305</v>
      </c>
      <c r="J156" s="9" t="s">
        <v>1306</v>
      </c>
      <c r="K156" s="9" t="s">
        <v>1306</v>
      </c>
      <c r="L156">
        <v>308615.32799999998</v>
      </c>
      <c r="M156">
        <v>6463040.7359999996</v>
      </c>
      <c r="N156">
        <v>0</v>
      </c>
      <c r="O156">
        <v>21</v>
      </c>
      <c r="P156">
        <v>45894.583853999997</v>
      </c>
      <c r="Q156" s="9" t="s">
        <v>1862</v>
      </c>
      <c r="R156" s="9" t="s">
        <v>315</v>
      </c>
      <c r="S156" s="9" t="s">
        <v>28</v>
      </c>
      <c r="T156" s="9" t="s">
        <v>29</v>
      </c>
      <c r="U156" s="12">
        <v>45882</v>
      </c>
      <c r="V156" s="12">
        <v>45894</v>
      </c>
      <c r="W156" s="9" t="s">
        <v>30</v>
      </c>
      <c r="X156" s="9" t="s">
        <v>1863</v>
      </c>
      <c r="Y156" s="9">
        <f t="shared" si="8"/>
        <v>10569</v>
      </c>
      <c r="Z156" t="str">
        <f t="shared" si="7"/>
        <v>https://sig.aminerals.cl/imgdyn/rest/services/CL_MLP_PAO/CL_MLP_PAO_IF_Ortho_ALL/ImageServer/file?id=.%5CEl_Mauro_Drone%5C25_08_13%5CCL_MLP_PAO_IF_Ortho_25_08_13_Linea_33_kV_NorteElMauro_Area9_9.tiff&amp;rasterId=10569</v>
      </c>
    </row>
    <row r="157" spans="1:26" x14ac:dyDescent="0.25">
      <c r="A157">
        <v>156</v>
      </c>
      <c r="B157" s="9" t="s">
        <v>1303</v>
      </c>
      <c r="C157" s="9" t="s">
        <v>929</v>
      </c>
      <c r="D157">
        <v>0</v>
      </c>
      <c r="E157">
        <v>0.52800000000000002</v>
      </c>
      <c r="F157">
        <v>1.95E-2</v>
      </c>
      <c r="G157" s="12">
        <v>0.312</v>
      </c>
      <c r="H157">
        <v>1</v>
      </c>
      <c r="I157" s="9" t="s">
        <v>1305</v>
      </c>
      <c r="J157" s="9" t="s">
        <v>1306</v>
      </c>
      <c r="K157" s="9" t="s">
        <v>1306</v>
      </c>
      <c r="L157">
        <v>307414.77</v>
      </c>
      <c r="M157">
        <v>6463284.4184999997</v>
      </c>
      <c r="N157">
        <v>0</v>
      </c>
      <c r="O157">
        <v>21</v>
      </c>
      <c r="P157">
        <v>45894.584305999997</v>
      </c>
      <c r="Q157" s="9" t="s">
        <v>1864</v>
      </c>
      <c r="R157" s="9" t="s">
        <v>318</v>
      </c>
      <c r="S157" s="9" t="s">
        <v>28</v>
      </c>
      <c r="T157" s="9" t="s">
        <v>29</v>
      </c>
      <c r="U157" s="12">
        <v>45889</v>
      </c>
      <c r="V157" s="12">
        <v>45894</v>
      </c>
      <c r="W157" s="9" t="s">
        <v>30</v>
      </c>
      <c r="X157" s="9" t="s">
        <v>1865</v>
      </c>
      <c r="Y157" s="9">
        <f t="shared" si="8"/>
        <v>10570</v>
      </c>
      <c r="Z157" t="str">
        <f t="shared" si="7"/>
        <v>https://sig.aminerals.cl/imgdyn/rest/services/CL_MLP_PAO/CL_MLP_PAO_IF_Ortho_ALL/ImageServer/file?id=.%5CEl_Mauro_Drone%5C25_08_20%5CCL_MLP_PAO_IF_Ortho_25_08_20_Linea_33_kV_NorteElMauro_Area7_7.tiff&amp;rasterId=10570</v>
      </c>
    </row>
    <row r="158" spans="1:26" x14ac:dyDescent="0.25">
      <c r="A158">
        <v>157</v>
      </c>
      <c r="B158" s="9" t="s">
        <v>1303</v>
      </c>
      <c r="C158" s="9" t="s">
        <v>930</v>
      </c>
      <c r="D158">
        <v>0</v>
      </c>
      <c r="E158">
        <v>0.52800000000000002</v>
      </c>
      <c r="F158">
        <v>1.55E-2</v>
      </c>
      <c r="G158" s="12">
        <v>0.248</v>
      </c>
      <c r="H158">
        <v>1</v>
      </c>
      <c r="I158" s="9" t="s">
        <v>1305</v>
      </c>
      <c r="J158" s="9" t="s">
        <v>1306</v>
      </c>
      <c r="K158" s="9" t="s">
        <v>1306</v>
      </c>
      <c r="L158">
        <v>308015.76750000002</v>
      </c>
      <c r="M158">
        <v>6463028.3969999999</v>
      </c>
      <c r="N158">
        <v>0</v>
      </c>
      <c r="O158">
        <v>21</v>
      </c>
      <c r="P158">
        <v>45894.584200999998</v>
      </c>
      <c r="Q158" s="9" t="s">
        <v>1866</v>
      </c>
      <c r="R158" s="9" t="s">
        <v>321</v>
      </c>
      <c r="S158" s="9" t="s">
        <v>28</v>
      </c>
      <c r="T158" s="9" t="s">
        <v>29</v>
      </c>
      <c r="U158" s="12">
        <v>45889</v>
      </c>
      <c r="V158" s="12">
        <v>45894</v>
      </c>
      <c r="W158" s="9" t="s">
        <v>30</v>
      </c>
      <c r="X158" s="9" t="s">
        <v>1867</v>
      </c>
      <c r="Y158" s="9">
        <f t="shared" si="8"/>
        <v>10571</v>
      </c>
      <c r="Z158" t="str">
        <f t="shared" si="7"/>
        <v>https://sig.aminerals.cl/imgdyn/rest/services/CL_MLP_PAO/CL_MLP_PAO_IF_Ortho_ALL/ImageServer/file?id=.%5CEl_Mauro_Drone%5C25_08_20%5CCL_MLP_PAO_IF_Ortho_25_08_20_Linea_33_kV_NorteElMauro_Area8_8.tiff&amp;rasterId=10571</v>
      </c>
    </row>
    <row r="159" spans="1:26" x14ac:dyDescent="0.25">
      <c r="A159">
        <v>158</v>
      </c>
      <c r="B159" s="9" t="s">
        <v>1303</v>
      </c>
      <c r="C159" s="9" t="s">
        <v>863</v>
      </c>
      <c r="D159">
        <v>0</v>
      </c>
      <c r="E159">
        <v>1.5840000000000001</v>
      </c>
      <c r="F159">
        <v>4.9540000000000001E-2</v>
      </c>
      <c r="G159" s="12">
        <v>0.19816200231481501</v>
      </c>
      <c r="H159">
        <v>1</v>
      </c>
      <c r="I159" s="9" t="s">
        <v>1305</v>
      </c>
      <c r="J159" s="9" t="s">
        <v>1306</v>
      </c>
      <c r="K159" s="9" t="s">
        <v>1306</v>
      </c>
      <c r="L159">
        <v>270983.47690000001</v>
      </c>
      <c r="M159">
        <v>6471613.5136500001</v>
      </c>
      <c r="N159">
        <v>0</v>
      </c>
      <c r="O159">
        <v>21</v>
      </c>
      <c r="P159">
        <v>45901.946997999999</v>
      </c>
      <c r="Q159" s="9" t="s">
        <v>1868</v>
      </c>
      <c r="R159" s="9" t="s">
        <v>49</v>
      </c>
      <c r="S159" s="9" t="s">
        <v>28</v>
      </c>
      <c r="T159" s="9" t="s">
        <v>29</v>
      </c>
      <c r="U159" s="12">
        <v>45726</v>
      </c>
      <c r="V159" s="12">
        <v>45894</v>
      </c>
      <c r="W159" s="9" t="s">
        <v>30</v>
      </c>
      <c r="X159" s="9" t="s">
        <v>1869</v>
      </c>
      <c r="Y159" s="9">
        <f t="shared" si="8"/>
        <v>10572</v>
      </c>
      <c r="Z159" t="str">
        <f t="shared" si="7"/>
        <v>https://sig.aminerals.cl/imgdyn/rest/services/CL_MLP_PAO/CL_MLP_PAO_IF_Ortho_ALL/ImageServer/file?id=.%5CEl_Mauro_Puerto_Punta_Chungo_Drone%5C25_03_10%5CCL_MLP_PAO_IF_Ortho_25_03_10_NSTC_116a118.tiff&amp;rasterId=10572</v>
      </c>
    </row>
    <row r="160" spans="1:26" x14ac:dyDescent="0.25">
      <c r="A160">
        <v>159</v>
      </c>
      <c r="B160" s="9" t="s">
        <v>1303</v>
      </c>
      <c r="C160" s="9" t="s">
        <v>864</v>
      </c>
      <c r="D160">
        <v>0</v>
      </c>
      <c r="E160">
        <v>1.5840000000000001</v>
      </c>
      <c r="F160">
        <v>4.9813999999999997E-2</v>
      </c>
      <c r="G160" s="12">
        <v>0.398512997685185</v>
      </c>
      <c r="H160">
        <v>1</v>
      </c>
      <c r="I160" s="9" t="s">
        <v>1305</v>
      </c>
      <c r="J160" s="9" t="s">
        <v>1306</v>
      </c>
      <c r="K160" s="9" t="s">
        <v>1306</v>
      </c>
      <c r="L160">
        <v>268965.30589999998</v>
      </c>
      <c r="M160">
        <v>6471532.4475499997</v>
      </c>
      <c r="N160">
        <v>0</v>
      </c>
      <c r="O160">
        <v>21</v>
      </c>
      <c r="P160">
        <v>45901.947</v>
      </c>
      <c r="Q160" s="9" t="s">
        <v>1870</v>
      </c>
      <c r="R160" s="9" t="s">
        <v>53</v>
      </c>
      <c r="S160" s="9" t="s">
        <v>28</v>
      </c>
      <c r="T160" s="9" t="s">
        <v>29</v>
      </c>
      <c r="U160" s="12">
        <v>45726</v>
      </c>
      <c r="V160" s="12">
        <v>45894</v>
      </c>
      <c r="W160" s="9" t="s">
        <v>30</v>
      </c>
      <c r="X160" s="9" t="s">
        <v>1871</v>
      </c>
      <c r="Y160" s="9">
        <f t="shared" si="8"/>
        <v>10573</v>
      </c>
      <c r="Z160" t="str">
        <f t="shared" si="7"/>
        <v>https://sig.aminerals.cl/imgdyn/rest/services/CL_MLP_PAO/CL_MLP_PAO_IF_Ortho_ALL/ImageServer/file?id=.%5CEl_Mauro_Puerto_Punta_Chungo_Drone%5C25_03_10%5CCL_MLP_PAO_IF_Ortho_25_03_10_NSTC_118a120.tiff&amp;rasterId=10573</v>
      </c>
    </row>
    <row r="161" spans="1:26" x14ac:dyDescent="0.25">
      <c r="A161">
        <v>160</v>
      </c>
      <c r="B161" s="9" t="s">
        <v>1303</v>
      </c>
      <c r="C161" s="9" t="s">
        <v>866</v>
      </c>
      <c r="D161">
        <v>0</v>
      </c>
      <c r="E161">
        <v>1.5840000000000001</v>
      </c>
      <c r="F161">
        <v>2.0001000000000001E-2</v>
      </c>
      <c r="G161" s="12">
        <v>0.16000900462963</v>
      </c>
      <c r="H161">
        <v>1</v>
      </c>
      <c r="I161" s="9" t="s">
        <v>1305</v>
      </c>
      <c r="J161" s="9" t="s">
        <v>1306</v>
      </c>
      <c r="K161" s="9" t="s">
        <v>1306</v>
      </c>
      <c r="L161">
        <v>267285.05602000002</v>
      </c>
      <c r="M161">
        <v>6471306.0416930001</v>
      </c>
      <c r="N161">
        <v>0</v>
      </c>
      <c r="O161">
        <v>21</v>
      </c>
      <c r="P161">
        <v>45894.583264000001</v>
      </c>
      <c r="Q161" s="9" t="s">
        <v>1872</v>
      </c>
      <c r="R161" s="9" t="s">
        <v>59</v>
      </c>
      <c r="S161" s="9" t="s">
        <v>28</v>
      </c>
      <c r="T161" s="9" t="s">
        <v>29</v>
      </c>
      <c r="U161" s="12">
        <v>45733</v>
      </c>
      <c r="V161" s="12">
        <v>45894</v>
      </c>
      <c r="W161" s="9" t="s">
        <v>30</v>
      </c>
      <c r="X161" s="9" t="s">
        <v>1873</v>
      </c>
      <c r="Y161" s="9">
        <f t="shared" si="8"/>
        <v>10574</v>
      </c>
      <c r="Z161" t="str">
        <f t="shared" si="7"/>
        <v>https://sig.aminerals.cl/imgdyn/rest/services/CL_MLP_PAO/CL_MLP_PAO_IF_Ortho_ALL/ImageServer/file?id=.%5CEl_Mauro_Puerto_Punta_Chungo_Drone%5C25_03_17%5CCL_MLP_PAO_IF_Ortho_25_03_17_NSTC_Km_120_a_121.tif&amp;rasterId=10574</v>
      </c>
    </row>
    <row r="162" spans="1:26" x14ac:dyDescent="0.25">
      <c r="A162">
        <v>161</v>
      </c>
      <c r="B162" s="9" t="s">
        <v>1303</v>
      </c>
      <c r="C162" s="9" t="s">
        <v>867</v>
      </c>
      <c r="D162">
        <v>0</v>
      </c>
      <c r="E162">
        <v>0.52800000000000002</v>
      </c>
      <c r="F162">
        <v>1.9998999999999999E-2</v>
      </c>
      <c r="G162" s="12">
        <v>0.31998799768518499</v>
      </c>
      <c r="H162">
        <v>1</v>
      </c>
      <c r="I162" s="9" t="s">
        <v>1305</v>
      </c>
      <c r="J162" s="9" t="s">
        <v>1306</v>
      </c>
      <c r="K162" s="9" t="s">
        <v>1306</v>
      </c>
      <c r="L162">
        <v>282505.05540000001</v>
      </c>
      <c r="M162">
        <v>6471536.3514</v>
      </c>
      <c r="N162">
        <v>0</v>
      </c>
      <c r="O162">
        <v>21</v>
      </c>
      <c r="P162">
        <v>45901.947003000001</v>
      </c>
      <c r="Q162" s="9" t="s">
        <v>1874</v>
      </c>
      <c r="R162" s="9" t="s">
        <v>62</v>
      </c>
      <c r="S162" s="9" t="s">
        <v>28</v>
      </c>
      <c r="T162" s="9" t="s">
        <v>29</v>
      </c>
      <c r="U162" s="12">
        <v>45735</v>
      </c>
      <c r="V162" s="12">
        <v>45894</v>
      </c>
      <c r="W162" s="9" t="s">
        <v>30</v>
      </c>
      <c r="X162" s="9" t="s">
        <v>1875</v>
      </c>
      <c r="Y162" s="9">
        <f t="shared" si="8"/>
        <v>10575</v>
      </c>
      <c r="Z162" t="str">
        <f t="shared" si="7"/>
        <v>https://sig.aminerals.cl/imgdyn/rest/services/CL_MLP_PAO/CL_MLP_PAO_IF_Ortho_ALL/ImageServer/file?id=.%5CEl_Mauro_Puerto_Punta_Chungo_Drone%5C25_03_19%5CCL_MLP_PAO_IF_Ortho_25_03_19_Orejas16_Ruta-D-865.tiff&amp;rasterId=10575</v>
      </c>
    </row>
    <row r="163" spans="1:26" x14ac:dyDescent="0.25">
      <c r="A163">
        <v>162</v>
      </c>
      <c r="B163" s="9" t="s">
        <v>1303</v>
      </c>
      <c r="C163" s="9" t="s">
        <v>868</v>
      </c>
      <c r="D163">
        <v>0</v>
      </c>
      <c r="E163">
        <v>0.52800000000000002</v>
      </c>
      <c r="F163">
        <v>4.9998000000000001E-2</v>
      </c>
      <c r="G163" s="12">
        <v>0.19999099537036999</v>
      </c>
      <c r="H163">
        <v>1</v>
      </c>
      <c r="I163" s="9" t="s">
        <v>1305</v>
      </c>
      <c r="J163" s="9" t="s">
        <v>1306</v>
      </c>
      <c r="K163" s="9" t="s">
        <v>1306</v>
      </c>
      <c r="L163">
        <v>281818.66399999999</v>
      </c>
      <c r="M163">
        <v>6471611.0987999998</v>
      </c>
      <c r="N163">
        <v>0</v>
      </c>
      <c r="O163">
        <v>21</v>
      </c>
      <c r="P163">
        <v>45901.947004000001</v>
      </c>
      <c r="Q163" s="9" t="s">
        <v>1876</v>
      </c>
      <c r="R163" s="9" t="s">
        <v>65</v>
      </c>
      <c r="S163" s="9" t="s">
        <v>28</v>
      </c>
      <c r="T163" s="9" t="s">
        <v>29</v>
      </c>
      <c r="U163" s="12">
        <v>45735</v>
      </c>
      <c r="V163" s="12">
        <v>45894</v>
      </c>
      <c r="W163" s="9" t="s">
        <v>30</v>
      </c>
      <c r="X163" s="9" t="s">
        <v>1877</v>
      </c>
      <c r="Y163" s="9">
        <f t="shared" si="8"/>
        <v>10576</v>
      </c>
      <c r="Z163" t="str">
        <f t="shared" si="7"/>
        <v>https://sig.aminerals.cl/imgdyn/rest/services/CL_MLP_PAO/CL_MLP_PAO_IF_Ortho_ALL/ImageServer/file?id=.%5CEl_Mauro_Puerto_Punta_Chungo_Drone%5C25_03_19%5CCL_MLP_PAO_IF_Ortho_25_03_19_Orejas17_Ruta-D-865.tiff&amp;rasterId=10576</v>
      </c>
    </row>
    <row r="164" spans="1:26" x14ac:dyDescent="0.25">
      <c r="A164">
        <v>163</v>
      </c>
      <c r="B164" s="9" t="s">
        <v>1303</v>
      </c>
      <c r="C164" s="9" t="s">
        <v>869</v>
      </c>
      <c r="D164">
        <v>0</v>
      </c>
      <c r="E164">
        <v>0.52800000000000002</v>
      </c>
      <c r="F164">
        <v>0.02</v>
      </c>
      <c r="G164" s="12">
        <v>0.31999499999999997</v>
      </c>
      <c r="H164">
        <v>1</v>
      </c>
      <c r="I164" s="9" t="s">
        <v>1305</v>
      </c>
      <c r="J164" s="9" t="s">
        <v>1306</v>
      </c>
      <c r="K164" s="9" t="s">
        <v>1306</v>
      </c>
      <c r="L164">
        <v>281111.93375000003</v>
      </c>
      <c r="M164">
        <v>6471911.1268499997</v>
      </c>
      <c r="N164">
        <v>0</v>
      </c>
      <c r="O164">
        <v>21</v>
      </c>
      <c r="P164">
        <v>45901.947006000002</v>
      </c>
      <c r="Q164" s="9" t="s">
        <v>1878</v>
      </c>
      <c r="R164" s="9" t="s">
        <v>68</v>
      </c>
      <c r="S164" s="9" t="s">
        <v>28</v>
      </c>
      <c r="T164" s="9" t="s">
        <v>29</v>
      </c>
      <c r="U164" s="12">
        <v>45735</v>
      </c>
      <c r="V164" s="12">
        <v>45894</v>
      </c>
      <c r="W164" s="9" t="s">
        <v>30</v>
      </c>
      <c r="X164" s="9" t="s">
        <v>1879</v>
      </c>
      <c r="Y164" s="9">
        <f t="shared" si="8"/>
        <v>10577</v>
      </c>
      <c r="Z164" t="str">
        <f t="shared" si="7"/>
        <v>https://sig.aminerals.cl/imgdyn/rest/services/CL_MLP_PAO/CL_MLP_PAO_IF_Ortho_ALL/ImageServer/file?id=.%5CEl_Mauro_Puerto_Punta_Chungo_Drone%5C25_03_19%5CCL_MLP_PAO_IF_Ortho_25_03_19_Orejas18.tiff&amp;rasterId=10577</v>
      </c>
    </row>
    <row r="165" spans="1:26" x14ac:dyDescent="0.25">
      <c r="A165">
        <v>164</v>
      </c>
      <c r="B165" s="9" t="s">
        <v>1303</v>
      </c>
      <c r="C165" s="9" t="s">
        <v>870</v>
      </c>
      <c r="D165">
        <v>0</v>
      </c>
      <c r="E165">
        <v>0.52800000000000002</v>
      </c>
      <c r="F165">
        <v>4.9995999999999999E-2</v>
      </c>
      <c r="G165" s="12">
        <v>0.199985</v>
      </c>
      <c r="H165">
        <v>1</v>
      </c>
      <c r="I165" s="9" t="s">
        <v>1305</v>
      </c>
      <c r="J165" s="9" t="s">
        <v>1306</v>
      </c>
      <c r="K165" s="9" t="s">
        <v>1306</v>
      </c>
      <c r="L165">
        <v>296093.76895</v>
      </c>
      <c r="M165">
        <v>6462538.8809000002</v>
      </c>
      <c r="N165">
        <v>0</v>
      </c>
      <c r="O165">
        <v>21</v>
      </c>
      <c r="P165">
        <v>45901.947008000003</v>
      </c>
      <c r="Q165" s="9" t="s">
        <v>1880</v>
      </c>
      <c r="R165" s="9" t="s">
        <v>71</v>
      </c>
      <c r="S165" s="9" t="s">
        <v>28</v>
      </c>
      <c r="T165" s="9" t="s">
        <v>29</v>
      </c>
      <c r="U165" s="12">
        <v>45747</v>
      </c>
      <c r="V165" s="12">
        <v>45894</v>
      </c>
      <c r="W165" s="9" t="s">
        <v>30</v>
      </c>
      <c r="X165" s="9" t="s">
        <v>1881</v>
      </c>
      <c r="Y165" s="9">
        <f t="shared" si="8"/>
        <v>10578</v>
      </c>
      <c r="Z165" t="str">
        <f t="shared" si="7"/>
        <v>https://sig.aminerals.cl/imgdyn/rest/services/CL_MLP_PAO/CL_MLP_PAO_IF_Ortho_ALL/ImageServer/file?id=.%5CEl_Mauro_Puerto_Punta_Chungo_Drone%5C25_03_31%5CCL_MLP_PAO_IF_Ortho_25_03_31_EB2.tiff&amp;rasterId=10578</v>
      </c>
    </row>
    <row r="166" spans="1:26" x14ac:dyDescent="0.25">
      <c r="A166">
        <v>165</v>
      </c>
      <c r="B166" s="9" t="s">
        <v>1303</v>
      </c>
      <c r="C166" s="9" t="s">
        <v>871</v>
      </c>
      <c r="D166">
        <v>0</v>
      </c>
      <c r="E166">
        <v>0.52800000000000002</v>
      </c>
      <c r="F166">
        <v>1.9998999999999999E-2</v>
      </c>
      <c r="G166" s="12">
        <v>0.15999599537036999</v>
      </c>
      <c r="H166">
        <v>1</v>
      </c>
      <c r="I166" s="9" t="s">
        <v>1305</v>
      </c>
      <c r="J166" s="9" t="s">
        <v>1306</v>
      </c>
      <c r="K166" s="9" t="s">
        <v>1306</v>
      </c>
      <c r="L166">
        <v>295937.96635</v>
      </c>
      <c r="M166">
        <v>6463717.5279999999</v>
      </c>
      <c r="N166">
        <v>0</v>
      </c>
      <c r="O166">
        <v>21</v>
      </c>
      <c r="P166">
        <v>45901.947010000004</v>
      </c>
      <c r="Q166" s="9" t="s">
        <v>1882</v>
      </c>
      <c r="R166" s="9" t="s">
        <v>74</v>
      </c>
      <c r="S166" s="9" t="s">
        <v>28</v>
      </c>
      <c r="T166" s="9" t="s">
        <v>29</v>
      </c>
      <c r="U166" s="12">
        <v>45747</v>
      </c>
      <c r="V166" s="12">
        <v>45894</v>
      </c>
      <c r="W166" s="9" t="s">
        <v>30</v>
      </c>
      <c r="X166" s="9" t="s">
        <v>1883</v>
      </c>
      <c r="Y166" s="9">
        <f t="shared" si="8"/>
        <v>10579</v>
      </c>
      <c r="Z166" t="str">
        <f t="shared" si="7"/>
        <v>https://sig.aminerals.cl/imgdyn/rest/services/CL_MLP_PAO/CL_MLP_PAO_IF_Ortho_ALL/ImageServer/file?id=.%5CEl_Mauro_Puerto_Punta_Chungo_Drone%5C25_03_31%5CCL_MLP_PAO_IF_Ortho_25_03_31_EV2.tiff&amp;rasterId=10579</v>
      </c>
    </row>
    <row r="167" spans="1:26" x14ac:dyDescent="0.25">
      <c r="A167">
        <v>166</v>
      </c>
      <c r="B167" s="9" t="s">
        <v>1303</v>
      </c>
      <c r="C167" s="9" t="s">
        <v>1884</v>
      </c>
      <c r="D167">
        <v>0</v>
      </c>
      <c r="E167">
        <v>0.52800000000000002</v>
      </c>
      <c r="F167">
        <v>1.9998999999999999E-2</v>
      </c>
      <c r="G167" s="12">
        <v>0.15999599537036999</v>
      </c>
      <c r="H167">
        <v>1</v>
      </c>
      <c r="I167" s="9" t="s">
        <v>1305</v>
      </c>
      <c r="J167" s="9" t="s">
        <v>1306</v>
      </c>
      <c r="K167" s="9" t="s">
        <v>1306</v>
      </c>
      <c r="L167">
        <v>292679.29875000002</v>
      </c>
      <c r="M167">
        <v>6465904.7705499995</v>
      </c>
      <c r="N167">
        <v>0</v>
      </c>
      <c r="O167">
        <v>21</v>
      </c>
      <c r="P167">
        <v>45901.947011999997</v>
      </c>
      <c r="Q167" s="9" t="s">
        <v>1885</v>
      </c>
      <c r="R167" s="9" t="s">
        <v>103</v>
      </c>
      <c r="S167" s="9" t="s">
        <v>28</v>
      </c>
      <c r="T167" s="9" t="s">
        <v>29</v>
      </c>
      <c r="U167" s="12">
        <v>45757</v>
      </c>
      <c r="V167" s="12">
        <v>45894</v>
      </c>
      <c r="W167" s="9" t="s">
        <v>30</v>
      </c>
      <c r="X167" s="9" t="s">
        <v>1886</v>
      </c>
      <c r="Y167" s="9">
        <f t="shared" si="8"/>
        <v>10580</v>
      </c>
      <c r="Z167" t="str">
        <f t="shared" si="7"/>
        <v>https://sig.aminerals.cl/imgdyn/rest/services/CL_MLP_PAO/CL_MLP_PAO_IF_Ortho_ALL/ImageServer/file?id=.%5CEl_Mauro_Puerto_Punta_Chungo_Drone%5C25_04_10%5CCL_MLP_PAO_IF_Ortho_25_04_10_Ruta-D-865_01.tiff&amp;rasterId=10580</v>
      </c>
    </row>
    <row r="168" spans="1:26" x14ac:dyDescent="0.25">
      <c r="A168">
        <v>167</v>
      </c>
      <c r="B168" s="9" t="s">
        <v>1303</v>
      </c>
      <c r="C168" s="9" t="s">
        <v>1887</v>
      </c>
      <c r="D168">
        <v>0</v>
      </c>
      <c r="E168">
        <v>0.52800000000000002</v>
      </c>
      <c r="F168">
        <v>1.9998999999999999E-2</v>
      </c>
      <c r="G168" s="12">
        <v>0.159995</v>
      </c>
      <c r="H168">
        <v>1</v>
      </c>
      <c r="I168" s="9" t="s">
        <v>1305</v>
      </c>
      <c r="J168" s="9" t="s">
        <v>1306</v>
      </c>
      <c r="K168" s="9" t="s">
        <v>1306</v>
      </c>
      <c r="L168">
        <v>292474.33960000001</v>
      </c>
      <c r="M168">
        <v>6465958.6510500005</v>
      </c>
      <c r="N168">
        <v>0</v>
      </c>
      <c r="O168">
        <v>21</v>
      </c>
      <c r="P168">
        <v>45901.947013999998</v>
      </c>
      <c r="Q168" s="9" t="s">
        <v>1888</v>
      </c>
      <c r="R168" s="9" t="s">
        <v>106</v>
      </c>
      <c r="S168" s="9" t="s">
        <v>28</v>
      </c>
      <c r="T168" s="9" t="s">
        <v>29</v>
      </c>
      <c r="U168" s="12">
        <v>45757</v>
      </c>
      <c r="V168" s="12">
        <v>45894</v>
      </c>
      <c r="W168" s="9" t="s">
        <v>30</v>
      </c>
      <c r="X168" s="9" t="s">
        <v>1889</v>
      </c>
      <c r="Y168" s="9">
        <f t="shared" si="8"/>
        <v>10581</v>
      </c>
      <c r="Z168" t="str">
        <f t="shared" si="7"/>
        <v>https://sig.aminerals.cl/imgdyn/rest/services/CL_MLP_PAO/CL_MLP_PAO_IF_Ortho_ALL/ImageServer/file?id=.%5CEl_Mauro_Puerto_Punta_Chungo_Drone%5C25_04_10%5CCL_MLP_PAO_IF_Ortho_25_04_10_Ruta-D-865_02.tiff&amp;rasterId=10581</v>
      </c>
    </row>
    <row r="169" spans="1:26" x14ac:dyDescent="0.25">
      <c r="A169">
        <v>168</v>
      </c>
      <c r="B169" s="9" t="s">
        <v>1303</v>
      </c>
      <c r="C169" s="9" t="s">
        <v>1890</v>
      </c>
      <c r="D169">
        <v>0</v>
      </c>
      <c r="E169">
        <v>0.52800000000000002</v>
      </c>
      <c r="F169">
        <v>1.9998999999999999E-2</v>
      </c>
      <c r="G169" s="12">
        <v>0.159995</v>
      </c>
      <c r="H169">
        <v>1</v>
      </c>
      <c r="I169" s="9" t="s">
        <v>1305</v>
      </c>
      <c r="J169" s="9" t="s">
        <v>1306</v>
      </c>
      <c r="K169" s="9" t="s">
        <v>1306</v>
      </c>
      <c r="L169">
        <v>292241.14864999999</v>
      </c>
      <c r="M169">
        <v>6466034.6372499997</v>
      </c>
      <c r="N169">
        <v>0</v>
      </c>
      <c r="O169">
        <v>21</v>
      </c>
      <c r="P169">
        <v>45901.947015999998</v>
      </c>
      <c r="Q169" s="9" t="s">
        <v>1891</v>
      </c>
      <c r="R169" s="9" t="s">
        <v>109</v>
      </c>
      <c r="S169" s="9" t="s">
        <v>28</v>
      </c>
      <c r="T169" s="9" t="s">
        <v>29</v>
      </c>
      <c r="U169" s="12">
        <v>45757</v>
      </c>
      <c r="V169" s="12">
        <v>45894</v>
      </c>
      <c r="W169" s="9" t="s">
        <v>30</v>
      </c>
      <c r="X169" s="9" t="s">
        <v>1892</v>
      </c>
      <c r="Y169" s="9">
        <f t="shared" si="8"/>
        <v>10582</v>
      </c>
      <c r="Z169" t="str">
        <f t="shared" si="7"/>
        <v>https://sig.aminerals.cl/imgdyn/rest/services/CL_MLP_PAO/CL_MLP_PAO_IF_Ortho_ALL/ImageServer/file?id=.%5CEl_Mauro_Puerto_Punta_Chungo_Drone%5C25_04_10%5CCL_MLP_PAO_IF_Ortho_25_04_10_Ruta-D-865_03.tiff&amp;rasterId=10582</v>
      </c>
    </row>
    <row r="170" spans="1:26" x14ac:dyDescent="0.25">
      <c r="A170">
        <v>169</v>
      </c>
      <c r="B170" s="9" t="s">
        <v>1303</v>
      </c>
      <c r="C170" s="9" t="s">
        <v>1893</v>
      </c>
      <c r="D170">
        <v>0</v>
      </c>
      <c r="E170">
        <v>0.52800000000000002</v>
      </c>
      <c r="F170">
        <v>1.9998999999999999E-2</v>
      </c>
      <c r="G170" s="12">
        <v>0.159995</v>
      </c>
      <c r="H170">
        <v>1</v>
      </c>
      <c r="I170" s="9" t="s">
        <v>1305</v>
      </c>
      <c r="J170" s="9" t="s">
        <v>1306</v>
      </c>
      <c r="K170" s="9" t="s">
        <v>1306</v>
      </c>
      <c r="L170">
        <v>292030.25550000003</v>
      </c>
      <c r="M170">
        <v>6466189.1046500001</v>
      </c>
      <c r="N170">
        <v>0</v>
      </c>
      <c r="O170">
        <v>21</v>
      </c>
      <c r="P170">
        <v>45901.947017999999</v>
      </c>
      <c r="Q170" s="9" t="s">
        <v>1894</v>
      </c>
      <c r="R170" s="9" t="s">
        <v>112</v>
      </c>
      <c r="S170" s="9" t="s">
        <v>28</v>
      </c>
      <c r="T170" s="9" t="s">
        <v>29</v>
      </c>
      <c r="U170" s="12">
        <v>45757</v>
      </c>
      <c r="V170" s="12">
        <v>45894</v>
      </c>
      <c r="W170" s="9" t="s">
        <v>30</v>
      </c>
      <c r="X170" s="9" t="s">
        <v>1895</v>
      </c>
      <c r="Y170" s="9">
        <f t="shared" si="8"/>
        <v>10583</v>
      </c>
      <c r="Z170" t="str">
        <f t="shared" si="7"/>
        <v>https://sig.aminerals.cl/imgdyn/rest/services/CL_MLP_PAO/CL_MLP_PAO_IF_Ortho_ALL/ImageServer/file?id=.%5CEl_Mauro_Puerto_Punta_Chungo_Drone%5C25_04_10%5CCL_MLP_PAO_IF_Ortho_25_04_10_Ruta-D-865_04.tiff&amp;rasterId=10583</v>
      </c>
    </row>
    <row r="171" spans="1:26" x14ac:dyDescent="0.25">
      <c r="A171">
        <v>170</v>
      </c>
      <c r="B171" s="9" t="s">
        <v>1303</v>
      </c>
      <c r="C171" s="9" t="s">
        <v>1896</v>
      </c>
      <c r="D171">
        <v>0</v>
      </c>
      <c r="E171">
        <v>0.52800000000000002</v>
      </c>
      <c r="F171">
        <v>1.9998999999999999E-2</v>
      </c>
      <c r="G171" s="12">
        <v>7.9997997685185201E-2</v>
      </c>
      <c r="H171">
        <v>1</v>
      </c>
      <c r="I171" s="9" t="s">
        <v>1305</v>
      </c>
      <c r="J171" s="9" t="s">
        <v>1306</v>
      </c>
      <c r="K171" s="9" t="s">
        <v>1306</v>
      </c>
      <c r="L171">
        <v>291926.06920000003</v>
      </c>
      <c r="M171">
        <v>6466142.5973500004</v>
      </c>
      <c r="N171">
        <v>0</v>
      </c>
      <c r="O171">
        <v>21</v>
      </c>
      <c r="P171">
        <v>45901.94702</v>
      </c>
      <c r="Q171" s="9" t="s">
        <v>1897</v>
      </c>
      <c r="R171" s="9" t="s">
        <v>115</v>
      </c>
      <c r="S171" s="9" t="s">
        <v>28</v>
      </c>
      <c r="T171" s="9" t="s">
        <v>29</v>
      </c>
      <c r="U171" s="12">
        <v>45757</v>
      </c>
      <c r="V171" s="12">
        <v>45894</v>
      </c>
      <c r="W171" s="9" t="s">
        <v>30</v>
      </c>
      <c r="X171" s="9" t="s">
        <v>1898</v>
      </c>
      <c r="Y171" s="9">
        <f t="shared" si="8"/>
        <v>10584</v>
      </c>
      <c r="Z171" t="str">
        <f t="shared" si="7"/>
        <v>https://sig.aminerals.cl/imgdyn/rest/services/CL_MLP_PAO/CL_MLP_PAO_IF_Ortho_ALL/ImageServer/file?id=.%5CEl_Mauro_Puerto_Punta_Chungo_Drone%5C25_04_10%5CCL_MLP_PAO_IF_Ortho_25_04_10_Ruta-D-865_05.tiff&amp;rasterId=10584</v>
      </c>
    </row>
    <row r="172" spans="1:26" x14ac:dyDescent="0.25">
      <c r="A172">
        <v>171</v>
      </c>
      <c r="B172" s="9" t="s">
        <v>1303</v>
      </c>
      <c r="C172" s="9" t="s">
        <v>1899</v>
      </c>
      <c r="D172">
        <v>0</v>
      </c>
      <c r="E172">
        <v>0.52800000000000002</v>
      </c>
      <c r="F172">
        <v>2.8768999999999999E-2</v>
      </c>
      <c r="G172" s="12">
        <v>0.23014900462963001</v>
      </c>
      <c r="H172">
        <v>1</v>
      </c>
      <c r="I172" s="9" t="s">
        <v>1305</v>
      </c>
      <c r="J172" s="9" t="s">
        <v>1306</v>
      </c>
      <c r="K172" s="9" t="s">
        <v>1306</v>
      </c>
      <c r="L172">
        <v>296282.49894999998</v>
      </c>
      <c r="M172">
        <v>6462183.6814999999</v>
      </c>
      <c r="N172">
        <v>0</v>
      </c>
      <c r="O172">
        <v>21</v>
      </c>
      <c r="P172">
        <v>45901.947021</v>
      </c>
      <c r="Q172" s="9" t="s">
        <v>1900</v>
      </c>
      <c r="R172" s="9" t="s">
        <v>121</v>
      </c>
      <c r="S172" s="9" t="s">
        <v>28</v>
      </c>
      <c r="T172" s="9" t="s">
        <v>29</v>
      </c>
      <c r="U172" s="12">
        <v>45784</v>
      </c>
      <c r="V172" s="12">
        <v>45894</v>
      </c>
      <c r="W172" s="9" t="s">
        <v>30</v>
      </c>
      <c r="X172" s="9" t="s">
        <v>1901</v>
      </c>
      <c r="Y172" s="9">
        <f t="shared" si="8"/>
        <v>10585</v>
      </c>
      <c r="Z172" t="str">
        <f t="shared" si="7"/>
        <v>https://sig.aminerals.cl/imgdyn/rest/services/CL_MLP_PAO/CL_MLP_PAO_IF_Ortho_ALL/ImageServer/file?id=.%5CEl_Mauro_Puerto_Punta_Chungo_Drone%5C25_05_07%5CCL_MLP_PAO_IF_Ortho_25_05_07_Monte-Aranda-84p2-a-82p3-01.tiff&amp;rasterId=10585</v>
      </c>
    </row>
    <row r="173" spans="1:26" x14ac:dyDescent="0.25">
      <c r="A173">
        <v>172</v>
      </c>
      <c r="B173" s="9" t="s">
        <v>1303</v>
      </c>
      <c r="C173" s="9" t="s">
        <v>1902</v>
      </c>
      <c r="D173">
        <v>0.52800000000000002</v>
      </c>
      <c r="E173">
        <v>0.52800000000000002</v>
      </c>
      <c r="F173">
        <v>2.4381E-2</v>
      </c>
      <c r="G173" s="12">
        <v>0.195047002314815</v>
      </c>
      <c r="H173">
        <v>1</v>
      </c>
      <c r="I173" s="9" t="s">
        <v>1305</v>
      </c>
      <c r="J173" s="9" t="s">
        <v>1306</v>
      </c>
      <c r="K173" s="9" t="s">
        <v>1306</v>
      </c>
      <c r="L173">
        <v>296708.47165000002</v>
      </c>
      <c r="M173">
        <v>6462083.7202000003</v>
      </c>
      <c r="N173">
        <v>0</v>
      </c>
      <c r="O173">
        <v>21</v>
      </c>
      <c r="P173">
        <v>45901.947023000001</v>
      </c>
      <c r="Q173" s="9" t="s">
        <v>1903</v>
      </c>
      <c r="R173" s="9" t="s">
        <v>124</v>
      </c>
      <c r="S173" s="9" t="s">
        <v>28</v>
      </c>
      <c r="T173" s="9" t="s">
        <v>29</v>
      </c>
      <c r="U173" s="12">
        <v>45784</v>
      </c>
      <c r="V173" s="12">
        <v>45894</v>
      </c>
      <c r="W173" s="9" t="s">
        <v>30</v>
      </c>
      <c r="X173" s="9" t="s">
        <v>1904</v>
      </c>
      <c r="Y173" s="9">
        <f t="shared" si="8"/>
        <v>10586</v>
      </c>
      <c r="Z173" t="str">
        <f t="shared" si="7"/>
        <v>https://sig.aminerals.cl/imgdyn/rest/services/CL_MLP_PAO/CL_MLP_PAO_IF_Ortho_ALL/ImageServer/file?id=.%5CEl_Mauro_Puerto_Punta_Chungo_Drone%5C25_05_07%5CCL_MLP_PAO_IF_Ortho_25_05_07_Monte-Aranda-84p2-a-82p3-02.tiff&amp;rasterId=10586</v>
      </c>
    </row>
    <row r="174" spans="1:26" x14ac:dyDescent="0.25">
      <c r="A174">
        <v>173</v>
      </c>
      <c r="B174" s="9" t="s">
        <v>1303</v>
      </c>
      <c r="C174" s="9" t="s">
        <v>1905</v>
      </c>
      <c r="D174">
        <v>0.52800000000000002</v>
      </c>
      <c r="E174">
        <v>0.52800000000000002</v>
      </c>
      <c r="F174">
        <v>0.02</v>
      </c>
      <c r="G174" s="12">
        <v>0.15999700231481501</v>
      </c>
      <c r="H174">
        <v>1</v>
      </c>
      <c r="I174" s="9" t="s">
        <v>1305</v>
      </c>
      <c r="J174" s="9" t="s">
        <v>1306</v>
      </c>
      <c r="K174" s="9" t="s">
        <v>1306</v>
      </c>
      <c r="L174">
        <v>297126.03305000003</v>
      </c>
      <c r="M174">
        <v>6461982.9940999998</v>
      </c>
      <c r="N174">
        <v>0</v>
      </c>
      <c r="O174">
        <v>21</v>
      </c>
      <c r="P174">
        <v>45901.947025000001</v>
      </c>
      <c r="Q174" s="9" t="s">
        <v>1906</v>
      </c>
      <c r="R174" s="9" t="s">
        <v>127</v>
      </c>
      <c r="S174" s="9" t="s">
        <v>28</v>
      </c>
      <c r="T174" s="9" t="s">
        <v>29</v>
      </c>
      <c r="U174" s="12">
        <v>45784</v>
      </c>
      <c r="V174" s="12">
        <v>45894</v>
      </c>
      <c r="W174" s="9" t="s">
        <v>30</v>
      </c>
      <c r="X174" s="9" t="s">
        <v>1907</v>
      </c>
      <c r="Y174" s="9">
        <f t="shared" si="8"/>
        <v>10587</v>
      </c>
      <c r="Z174" t="str">
        <f t="shared" si="7"/>
        <v>https://sig.aminerals.cl/imgdyn/rest/services/CL_MLP_PAO/CL_MLP_PAO_IF_Ortho_ALL/ImageServer/file?id=.%5CEl_Mauro_Puerto_Punta_Chungo_Drone%5C25_05_07%5CCL_MLP_PAO_IF_Ortho_25_05_07_Monte-Aranda-84p2-a-82p3-03.tiff&amp;rasterId=10587</v>
      </c>
    </row>
    <row r="175" spans="1:26" x14ac:dyDescent="0.25">
      <c r="A175">
        <v>174</v>
      </c>
      <c r="B175" s="9" t="s">
        <v>1303</v>
      </c>
      <c r="C175" s="9" t="s">
        <v>1908</v>
      </c>
      <c r="D175">
        <v>0</v>
      </c>
      <c r="E175">
        <v>0.52800000000000002</v>
      </c>
      <c r="F175">
        <v>1.9998999999999999E-2</v>
      </c>
      <c r="G175" s="12">
        <v>0.15999599537036999</v>
      </c>
      <c r="H175">
        <v>1</v>
      </c>
      <c r="I175" s="9" t="s">
        <v>1305</v>
      </c>
      <c r="J175" s="9" t="s">
        <v>1306</v>
      </c>
      <c r="K175" s="9" t="s">
        <v>1306</v>
      </c>
      <c r="L175">
        <v>297496.9706</v>
      </c>
      <c r="M175">
        <v>6461803.9537000004</v>
      </c>
      <c r="N175">
        <v>0</v>
      </c>
      <c r="O175">
        <v>21</v>
      </c>
      <c r="P175">
        <v>45901.947027000002</v>
      </c>
      <c r="Q175" s="9" t="s">
        <v>1909</v>
      </c>
      <c r="R175" s="9" t="s">
        <v>130</v>
      </c>
      <c r="S175" s="9" t="s">
        <v>28</v>
      </c>
      <c r="T175" s="9" t="s">
        <v>29</v>
      </c>
      <c r="U175" s="12">
        <v>45784</v>
      </c>
      <c r="V175" s="12">
        <v>45894</v>
      </c>
      <c r="W175" s="9" t="s">
        <v>30</v>
      </c>
      <c r="X175" s="9" t="s">
        <v>1910</v>
      </c>
      <c r="Y175" s="9">
        <f t="shared" si="8"/>
        <v>10588</v>
      </c>
      <c r="Z175" t="str">
        <f t="shared" si="7"/>
        <v>https://sig.aminerals.cl/imgdyn/rest/services/CL_MLP_PAO/CL_MLP_PAO_IF_Ortho_ALL/ImageServer/file?id=.%5CEl_Mauro_Puerto_Punta_Chungo_Drone%5C25_05_07%5CCL_MLP_PAO_IF_Ortho_25_05_07_Monte-Aranda-84p2-a-82p3-04.tiff&amp;rasterId=10588</v>
      </c>
    </row>
    <row r="176" spans="1:26" x14ac:dyDescent="0.25">
      <c r="A176">
        <v>175</v>
      </c>
      <c r="B176" s="9" t="s">
        <v>1303</v>
      </c>
      <c r="C176" s="9" t="s">
        <v>1911</v>
      </c>
      <c r="D176">
        <v>0</v>
      </c>
      <c r="E176">
        <v>0.52800000000000002</v>
      </c>
      <c r="F176">
        <v>0.02</v>
      </c>
      <c r="G176" s="12">
        <v>0.16</v>
      </c>
      <c r="H176">
        <v>1</v>
      </c>
      <c r="I176" s="9" t="s">
        <v>1305</v>
      </c>
      <c r="J176" s="9" t="s">
        <v>1306</v>
      </c>
      <c r="K176" s="9" t="s">
        <v>1306</v>
      </c>
      <c r="L176">
        <v>297894.54499999998</v>
      </c>
      <c r="M176">
        <v>6461917.5998</v>
      </c>
      <c r="N176">
        <v>0</v>
      </c>
      <c r="O176">
        <v>21</v>
      </c>
      <c r="P176">
        <v>45901.947029000003</v>
      </c>
      <c r="Q176" s="9" t="s">
        <v>1912</v>
      </c>
      <c r="R176" s="9" t="s">
        <v>133</v>
      </c>
      <c r="S176" s="9" t="s">
        <v>28</v>
      </c>
      <c r="T176" s="9" t="s">
        <v>29</v>
      </c>
      <c r="U176" s="12">
        <v>45784</v>
      </c>
      <c r="V176" s="12">
        <v>45894</v>
      </c>
      <c r="W176" s="9" t="s">
        <v>30</v>
      </c>
      <c r="X176" s="9" t="s">
        <v>1913</v>
      </c>
      <c r="Y176" s="9">
        <f t="shared" si="8"/>
        <v>10589</v>
      </c>
      <c r="Z176" t="str">
        <f t="shared" si="7"/>
        <v>https://sig.aminerals.cl/imgdyn/rest/services/CL_MLP_PAO/CL_MLP_PAO_IF_Ortho_ALL/ImageServer/file?id=.%5CEl_Mauro_Puerto_Punta_Chungo_Drone%5C25_05_07%5CCL_MLP_PAO_IF_Ortho_25_05_07_Ruta-D-377-E01.tiff&amp;rasterId=10589</v>
      </c>
    </row>
    <row r="177" spans="1:26" x14ac:dyDescent="0.25">
      <c r="A177">
        <v>176</v>
      </c>
      <c r="B177" s="9" t="s">
        <v>1303</v>
      </c>
      <c r="C177" s="9" t="s">
        <v>1914</v>
      </c>
      <c r="D177">
        <v>0</v>
      </c>
      <c r="E177">
        <v>0.52800000000000002</v>
      </c>
      <c r="F177">
        <v>2.2956000000000001E-2</v>
      </c>
      <c r="G177" s="12">
        <v>0.183645</v>
      </c>
      <c r="H177">
        <v>1</v>
      </c>
      <c r="I177" s="9" t="s">
        <v>1305</v>
      </c>
      <c r="J177" s="9" t="s">
        <v>1306</v>
      </c>
      <c r="K177" s="9" t="s">
        <v>1306</v>
      </c>
      <c r="L177">
        <v>298251.49790000002</v>
      </c>
      <c r="M177">
        <v>6461777.8183000004</v>
      </c>
      <c r="N177">
        <v>0</v>
      </c>
      <c r="O177">
        <v>21</v>
      </c>
      <c r="P177">
        <v>45901.947031000003</v>
      </c>
      <c r="Q177" s="9" t="s">
        <v>1915</v>
      </c>
      <c r="R177" s="9" t="s">
        <v>136</v>
      </c>
      <c r="S177" s="9" t="s">
        <v>28</v>
      </c>
      <c r="T177" s="9" t="s">
        <v>29</v>
      </c>
      <c r="U177" s="12">
        <v>45784</v>
      </c>
      <c r="V177" s="12">
        <v>45894</v>
      </c>
      <c r="W177" s="9" t="s">
        <v>30</v>
      </c>
      <c r="X177" s="9" t="s">
        <v>1916</v>
      </c>
      <c r="Y177" s="9">
        <f t="shared" si="8"/>
        <v>10590</v>
      </c>
      <c r="Z177" t="str">
        <f t="shared" si="7"/>
        <v>https://sig.aminerals.cl/imgdyn/rest/services/CL_MLP_PAO/CL_MLP_PAO_IF_Ortho_ALL/ImageServer/file?id=.%5CEl_Mauro_Puerto_Punta_Chungo_Drone%5C25_05_07%5CCL_MLP_PAO_IF_Ortho_25_05_07_Ruta-D-377-E02.tiff&amp;rasterId=10590</v>
      </c>
    </row>
    <row r="178" spans="1:26" x14ac:dyDescent="0.25">
      <c r="A178">
        <v>177</v>
      </c>
      <c r="B178" s="9" t="s">
        <v>1303</v>
      </c>
      <c r="C178" s="9" t="s">
        <v>1917</v>
      </c>
      <c r="D178">
        <v>0</v>
      </c>
      <c r="E178">
        <v>0.52800000000000002</v>
      </c>
      <c r="F178">
        <v>2.1853999999999998E-2</v>
      </c>
      <c r="G178" s="12">
        <v>0.17482900462963</v>
      </c>
      <c r="H178">
        <v>1</v>
      </c>
      <c r="I178" s="9" t="s">
        <v>1305</v>
      </c>
      <c r="J178" s="9" t="s">
        <v>1306</v>
      </c>
      <c r="K178" s="9" t="s">
        <v>1306</v>
      </c>
      <c r="L178">
        <v>298647.03940000001</v>
      </c>
      <c r="M178">
        <v>6461696.4802000001</v>
      </c>
      <c r="N178">
        <v>0</v>
      </c>
      <c r="O178">
        <v>21</v>
      </c>
      <c r="P178">
        <v>45901.947032999997</v>
      </c>
      <c r="Q178" s="9" t="s">
        <v>1918</v>
      </c>
      <c r="R178" s="9" t="s">
        <v>139</v>
      </c>
      <c r="S178" s="9" t="s">
        <v>28</v>
      </c>
      <c r="T178" s="9" t="s">
        <v>29</v>
      </c>
      <c r="U178" s="12">
        <v>45784</v>
      </c>
      <c r="V178" s="12">
        <v>45894</v>
      </c>
      <c r="W178" s="9" t="s">
        <v>30</v>
      </c>
      <c r="X178" s="9" t="s">
        <v>1919</v>
      </c>
      <c r="Y178" s="9">
        <f t="shared" si="8"/>
        <v>10591</v>
      </c>
      <c r="Z178" t="str">
        <f t="shared" si="7"/>
        <v>https://sig.aminerals.cl/imgdyn/rest/services/CL_MLP_PAO/CL_MLP_PAO_IF_Ortho_ALL/ImageServer/file?id=.%5CEl_Mauro_Puerto_Punta_Chungo_Drone%5C25_05_07%5CCL_MLP_PAO_IF_Ortho_25_05_07_Ruta-D-377-E03.tiff&amp;rasterId=10591</v>
      </c>
    </row>
    <row r="179" spans="1:26" x14ac:dyDescent="0.25">
      <c r="A179">
        <v>178</v>
      </c>
      <c r="B179" s="9" t="s">
        <v>1303</v>
      </c>
      <c r="C179" s="9" t="s">
        <v>1920</v>
      </c>
      <c r="D179">
        <v>0</v>
      </c>
      <c r="E179">
        <v>1.5840000000000001</v>
      </c>
      <c r="F179">
        <v>1.9998999999999999E-2</v>
      </c>
      <c r="G179" s="12">
        <v>0.159995</v>
      </c>
      <c r="H179">
        <v>1</v>
      </c>
      <c r="I179" s="9" t="s">
        <v>1305</v>
      </c>
      <c r="J179" s="9" t="s">
        <v>1306</v>
      </c>
      <c r="K179" s="9" t="s">
        <v>1306</v>
      </c>
      <c r="L179">
        <v>302196.78749999998</v>
      </c>
      <c r="M179">
        <v>6461684.81085</v>
      </c>
      <c r="N179">
        <v>0</v>
      </c>
      <c r="O179">
        <v>21</v>
      </c>
      <c r="P179">
        <v>45901.947034999997</v>
      </c>
      <c r="Q179" s="9" t="s">
        <v>1921</v>
      </c>
      <c r="R179" s="9" t="s">
        <v>162</v>
      </c>
      <c r="S179" s="9" t="s">
        <v>28</v>
      </c>
      <c r="T179" s="9" t="s">
        <v>29</v>
      </c>
      <c r="U179" s="12">
        <v>45789</v>
      </c>
      <c r="V179" s="12">
        <v>45894</v>
      </c>
      <c r="W179" s="9" t="s">
        <v>30</v>
      </c>
      <c r="X179" s="9" t="s">
        <v>1922</v>
      </c>
      <c r="Y179" s="9">
        <f t="shared" si="8"/>
        <v>10592</v>
      </c>
      <c r="Z179" t="str">
        <f t="shared" si="7"/>
        <v>https://sig.aminerals.cl/imgdyn/rest/services/CL_MLP_PAO/CL_MLP_PAO_IF_Ortho_ALL/ImageServer/file?id=.%5CEl_Mauro_Puerto_Punta_Chungo_Drone%5C25_05_12%5CCL_MLP_PAO_IF_Ortho_25_05_12_IIFF15-Campamento-Tipay-01.tiff&amp;rasterId=10592</v>
      </c>
    </row>
    <row r="180" spans="1:26" x14ac:dyDescent="0.25">
      <c r="A180">
        <v>179</v>
      </c>
      <c r="B180" s="9" t="s">
        <v>1303</v>
      </c>
      <c r="C180" s="9" t="s">
        <v>1923</v>
      </c>
      <c r="D180">
        <v>0</v>
      </c>
      <c r="E180">
        <v>1.5840000000000001</v>
      </c>
      <c r="F180">
        <v>0.02</v>
      </c>
      <c r="G180" s="12">
        <v>0.16</v>
      </c>
      <c r="H180">
        <v>1</v>
      </c>
      <c r="I180" s="9" t="s">
        <v>1305</v>
      </c>
      <c r="J180" s="9" t="s">
        <v>1306</v>
      </c>
      <c r="K180" s="9" t="s">
        <v>1306</v>
      </c>
      <c r="L180">
        <v>302341.4841</v>
      </c>
      <c r="M180">
        <v>6461709.5093</v>
      </c>
      <c r="N180">
        <v>0</v>
      </c>
      <c r="O180">
        <v>21</v>
      </c>
      <c r="P180">
        <v>45901.947037999998</v>
      </c>
      <c r="Q180" s="9" t="s">
        <v>1924</v>
      </c>
      <c r="R180" s="9" t="s">
        <v>165</v>
      </c>
      <c r="S180" s="9" t="s">
        <v>28</v>
      </c>
      <c r="T180" s="9" t="s">
        <v>29</v>
      </c>
      <c r="U180" s="12">
        <v>45789</v>
      </c>
      <c r="V180" s="12">
        <v>45894</v>
      </c>
      <c r="W180" s="9" t="s">
        <v>30</v>
      </c>
      <c r="X180" s="9" t="s">
        <v>1925</v>
      </c>
      <c r="Y180" s="9">
        <f t="shared" si="8"/>
        <v>10593</v>
      </c>
      <c r="Z180" t="str">
        <f t="shared" si="7"/>
        <v>https://sig.aminerals.cl/imgdyn/rest/services/CL_MLP_PAO/CL_MLP_PAO_IF_Ortho_ALL/ImageServer/file?id=.%5CEl_Mauro_Puerto_Punta_Chungo_Drone%5C25_05_12%5CCL_MLP_PAO_IF_Ortho_25_05_12_IIFF15-Campamento-Tipay-02.tiff&amp;rasterId=10593</v>
      </c>
    </row>
    <row r="181" spans="1:26" x14ac:dyDescent="0.25">
      <c r="A181">
        <v>180</v>
      </c>
      <c r="B181" s="9" t="s">
        <v>1303</v>
      </c>
      <c r="C181" s="9" t="s">
        <v>1926</v>
      </c>
      <c r="D181">
        <v>0</v>
      </c>
      <c r="E181">
        <v>1.5840000000000001</v>
      </c>
      <c r="F181">
        <v>1.9998999999999999E-2</v>
      </c>
      <c r="G181" s="12">
        <v>0.15998900462963001</v>
      </c>
      <c r="H181">
        <v>1</v>
      </c>
      <c r="I181" s="9" t="s">
        <v>1305</v>
      </c>
      <c r="J181" s="9" t="s">
        <v>1306</v>
      </c>
      <c r="K181" s="9" t="s">
        <v>1306</v>
      </c>
      <c r="L181">
        <v>302499.33370000002</v>
      </c>
      <c r="M181">
        <v>6461746.8097000001</v>
      </c>
      <c r="N181">
        <v>0</v>
      </c>
      <c r="O181">
        <v>21</v>
      </c>
      <c r="P181">
        <v>45901.947038999999</v>
      </c>
      <c r="Q181" s="9" t="s">
        <v>1927</v>
      </c>
      <c r="R181" s="9" t="s">
        <v>168</v>
      </c>
      <c r="S181" s="9" t="s">
        <v>28</v>
      </c>
      <c r="T181" s="9" t="s">
        <v>29</v>
      </c>
      <c r="U181" s="12">
        <v>45789</v>
      </c>
      <c r="V181" s="12">
        <v>45894</v>
      </c>
      <c r="W181" s="9" t="s">
        <v>30</v>
      </c>
      <c r="X181" s="9" t="s">
        <v>1928</v>
      </c>
      <c r="Y181" s="9">
        <f t="shared" si="8"/>
        <v>10594</v>
      </c>
      <c r="Z181" t="str">
        <f t="shared" si="7"/>
        <v>https://sig.aminerals.cl/imgdyn/rest/services/CL_MLP_PAO/CL_MLP_PAO_IF_Ortho_ALL/ImageServer/file?id=.%5CEl_Mauro_Puerto_Punta_Chungo_Drone%5C25_05_12%5CCL_MLP_PAO_IF_Ortho_25_05_12_IIFF15-Campamento-Tipay-03.tiff&amp;rasterId=10594</v>
      </c>
    </row>
    <row r="182" spans="1:26" x14ac:dyDescent="0.25">
      <c r="A182">
        <v>181</v>
      </c>
      <c r="B182" s="9" t="s">
        <v>1303</v>
      </c>
      <c r="C182" s="9" t="s">
        <v>1929</v>
      </c>
      <c r="D182">
        <v>1.44</v>
      </c>
      <c r="E182">
        <v>1.5840000000000001</v>
      </c>
      <c r="F182">
        <v>1.9998999999999999E-2</v>
      </c>
      <c r="G182" s="12">
        <v>0.159995</v>
      </c>
      <c r="H182">
        <v>1</v>
      </c>
      <c r="I182" s="9" t="s">
        <v>1305</v>
      </c>
      <c r="J182" s="9" t="s">
        <v>1306</v>
      </c>
      <c r="K182" s="9" t="s">
        <v>1306</v>
      </c>
      <c r="L182">
        <v>302645.29590000003</v>
      </c>
      <c r="M182">
        <v>6461800.6456000004</v>
      </c>
      <c r="N182">
        <v>0</v>
      </c>
      <c r="O182">
        <v>21</v>
      </c>
      <c r="P182">
        <v>45901.947040999999</v>
      </c>
      <c r="Q182" s="9" t="s">
        <v>1930</v>
      </c>
      <c r="R182" s="9" t="s">
        <v>171</v>
      </c>
      <c r="S182" s="9" t="s">
        <v>28</v>
      </c>
      <c r="T182" s="9" t="s">
        <v>29</v>
      </c>
      <c r="U182" s="12">
        <v>45789</v>
      </c>
      <c r="V182" s="12">
        <v>45894</v>
      </c>
      <c r="W182" s="9" t="s">
        <v>30</v>
      </c>
      <c r="X182" s="9" t="s">
        <v>1931</v>
      </c>
      <c r="Y182" s="9">
        <f t="shared" si="8"/>
        <v>10595</v>
      </c>
      <c r="Z182" t="str">
        <f t="shared" si="7"/>
        <v>https://sig.aminerals.cl/imgdyn/rest/services/CL_MLP_PAO/CL_MLP_PAO_IF_Ortho_ALL/ImageServer/file?id=.%5CEl_Mauro_Puerto_Punta_Chungo_Drone%5C25_05_12%5CCL_MLP_PAO_IF_Ortho_25_05_12_IIFF15-Campamento-Tipay-04.tiff&amp;rasterId=10595</v>
      </c>
    </row>
    <row r="183" spans="1:26" x14ac:dyDescent="0.25">
      <c r="A183">
        <v>182</v>
      </c>
      <c r="B183" s="9" t="s">
        <v>1303</v>
      </c>
      <c r="C183" s="9" t="s">
        <v>1932</v>
      </c>
      <c r="D183">
        <v>1.44</v>
      </c>
      <c r="E183">
        <v>1.5840000000000001</v>
      </c>
      <c r="F183">
        <v>1.9998999999999999E-2</v>
      </c>
      <c r="G183" s="12">
        <v>0.15999599537036999</v>
      </c>
      <c r="H183">
        <v>1</v>
      </c>
      <c r="I183" s="9" t="s">
        <v>1305</v>
      </c>
      <c r="J183" s="9" t="s">
        <v>1306</v>
      </c>
      <c r="K183" s="9" t="s">
        <v>1306</v>
      </c>
      <c r="L183">
        <v>302812.25099999999</v>
      </c>
      <c r="M183">
        <v>6461864.3589000003</v>
      </c>
      <c r="N183">
        <v>0</v>
      </c>
      <c r="O183">
        <v>21</v>
      </c>
      <c r="P183">
        <v>45901.947043</v>
      </c>
      <c r="Q183" s="9" t="s">
        <v>1933</v>
      </c>
      <c r="R183" s="9" t="s">
        <v>174</v>
      </c>
      <c r="S183" s="9" t="s">
        <v>28</v>
      </c>
      <c r="T183" s="9" t="s">
        <v>29</v>
      </c>
      <c r="U183" s="12">
        <v>45789</v>
      </c>
      <c r="V183" s="12">
        <v>45894</v>
      </c>
      <c r="W183" s="9" t="s">
        <v>30</v>
      </c>
      <c r="X183" s="9" t="s">
        <v>1934</v>
      </c>
      <c r="Y183" s="9">
        <f t="shared" si="8"/>
        <v>10596</v>
      </c>
      <c r="Z183" t="str">
        <f t="shared" si="7"/>
        <v>https://sig.aminerals.cl/imgdyn/rest/services/CL_MLP_PAO/CL_MLP_PAO_IF_Ortho_ALL/ImageServer/file?id=.%5CEl_Mauro_Puerto_Punta_Chungo_Drone%5C25_05_12%5CCL_MLP_PAO_IF_Ortho_25_05_12_IIFF15-Campamento-Tipay-05.tiff&amp;rasterId=10596</v>
      </c>
    </row>
    <row r="184" spans="1:26" x14ac:dyDescent="0.25">
      <c r="A184">
        <v>183</v>
      </c>
      <c r="B184" s="9" t="s">
        <v>1303</v>
      </c>
      <c r="C184" s="9" t="s">
        <v>1935</v>
      </c>
      <c r="D184">
        <v>1.44</v>
      </c>
      <c r="E184">
        <v>1.5840000000000001</v>
      </c>
      <c r="F184">
        <v>1.9998999999999999E-2</v>
      </c>
      <c r="G184" s="12">
        <v>0.15999099537037001</v>
      </c>
      <c r="H184">
        <v>1</v>
      </c>
      <c r="I184" s="9" t="s">
        <v>1305</v>
      </c>
      <c r="J184" s="9" t="s">
        <v>1306</v>
      </c>
      <c r="K184" s="9" t="s">
        <v>1306</v>
      </c>
      <c r="L184">
        <v>302994.19630000001</v>
      </c>
      <c r="M184">
        <v>6462006.7616499998</v>
      </c>
      <c r="N184">
        <v>0</v>
      </c>
      <c r="O184">
        <v>21</v>
      </c>
      <c r="P184">
        <v>45901.947046000001</v>
      </c>
      <c r="Q184" s="9" t="s">
        <v>1936</v>
      </c>
      <c r="R184" s="9" t="s">
        <v>177</v>
      </c>
      <c r="S184" s="9" t="s">
        <v>28</v>
      </c>
      <c r="T184" s="9" t="s">
        <v>29</v>
      </c>
      <c r="U184" s="12">
        <v>45789</v>
      </c>
      <c r="V184" s="12">
        <v>45894</v>
      </c>
      <c r="W184" s="9" t="s">
        <v>30</v>
      </c>
      <c r="X184" s="9" t="s">
        <v>1937</v>
      </c>
      <c r="Y184" s="9">
        <f t="shared" si="8"/>
        <v>10597</v>
      </c>
      <c r="Z184" t="str">
        <f t="shared" si="7"/>
        <v>https://sig.aminerals.cl/imgdyn/rest/services/CL_MLP_PAO/CL_MLP_PAO_IF_Ortho_ALL/ImageServer/file?id=.%5CEl_Mauro_Puerto_Punta_Chungo_Drone%5C25_05_12%5CCL_MLP_PAO_IF_Ortho_25_05_12_IIFF15-Campamento-Tipay-06.tiff&amp;rasterId=10597</v>
      </c>
    </row>
    <row r="185" spans="1:26" x14ac:dyDescent="0.25">
      <c r="A185">
        <v>184</v>
      </c>
      <c r="B185" s="9" t="s">
        <v>1303</v>
      </c>
      <c r="C185" s="9" t="s">
        <v>886</v>
      </c>
      <c r="D185">
        <v>0</v>
      </c>
      <c r="E185">
        <v>0.52800000000000002</v>
      </c>
      <c r="F185">
        <v>1.4500000000000001E-2</v>
      </c>
      <c r="G185" s="12">
        <v>0.23200000000000001</v>
      </c>
      <c r="H185">
        <v>1</v>
      </c>
      <c r="I185" s="9" t="s">
        <v>1305</v>
      </c>
      <c r="J185" s="9" t="s">
        <v>1306</v>
      </c>
      <c r="K185" s="9" t="s">
        <v>1306</v>
      </c>
      <c r="L185">
        <v>299423.34700000001</v>
      </c>
      <c r="M185">
        <v>6461786.0465000002</v>
      </c>
      <c r="N185">
        <v>0</v>
      </c>
      <c r="O185">
        <v>21</v>
      </c>
      <c r="P185">
        <v>45894.585463000003</v>
      </c>
      <c r="Q185" s="9" t="s">
        <v>1938</v>
      </c>
      <c r="R185" s="9" t="s">
        <v>191</v>
      </c>
      <c r="S185" s="9" t="s">
        <v>28</v>
      </c>
      <c r="T185" s="9" t="s">
        <v>29</v>
      </c>
      <c r="U185" s="12">
        <v>45806</v>
      </c>
      <c r="V185" s="12">
        <v>45894</v>
      </c>
      <c r="W185" s="9" t="s">
        <v>30</v>
      </c>
      <c r="X185" s="9" t="s">
        <v>1939</v>
      </c>
      <c r="Y185" s="9">
        <f t="shared" si="8"/>
        <v>10598</v>
      </c>
      <c r="Z185" t="str">
        <f t="shared" si="7"/>
        <v>https://sig.aminerals.cl/imgdyn/rest/services/CL_MLP_PAO/CL_MLP_PAO_IF_Ortho_ALL/ImageServer/file?id=.%5CEl_Mauro_Puerto_Punta_Chungo_Drone%5C25_05_29%5CCL_MLP_PAO_IF_Ortho_25_05_29_DME5A_DME17_a_NSTC_78p9.tiff&amp;rasterId=10598</v>
      </c>
    </row>
    <row r="186" spans="1:26" x14ac:dyDescent="0.25">
      <c r="A186">
        <v>185</v>
      </c>
      <c r="B186" s="9" t="s">
        <v>1303</v>
      </c>
      <c r="C186" s="9" t="s">
        <v>892</v>
      </c>
      <c r="D186">
        <v>0</v>
      </c>
      <c r="E186">
        <v>1.5840000000000001</v>
      </c>
      <c r="F186">
        <v>1.4500000000000001E-2</v>
      </c>
      <c r="G186" s="12">
        <v>0.46400000000000002</v>
      </c>
      <c r="H186">
        <v>1</v>
      </c>
      <c r="I186" s="9" t="s">
        <v>1305</v>
      </c>
      <c r="J186" s="9" t="s">
        <v>1306</v>
      </c>
      <c r="K186" s="9" t="s">
        <v>1306</v>
      </c>
      <c r="L186">
        <v>303198.04499999998</v>
      </c>
      <c r="M186">
        <v>6462482.8004999999</v>
      </c>
      <c r="N186">
        <v>0</v>
      </c>
      <c r="O186">
        <v>21</v>
      </c>
      <c r="P186">
        <v>45894.586377</v>
      </c>
      <c r="Q186" s="9" t="s">
        <v>1940</v>
      </c>
      <c r="R186" s="9" t="s">
        <v>209</v>
      </c>
      <c r="S186" s="9" t="s">
        <v>28</v>
      </c>
      <c r="T186" s="9" t="s">
        <v>29</v>
      </c>
      <c r="U186" s="12">
        <v>45813</v>
      </c>
      <c r="V186" s="12">
        <v>45894</v>
      </c>
      <c r="W186" s="9" t="s">
        <v>30</v>
      </c>
      <c r="X186" s="9" t="s">
        <v>1941</v>
      </c>
      <c r="Y186" s="9">
        <f t="shared" si="8"/>
        <v>10599</v>
      </c>
      <c r="Z186" t="str">
        <f t="shared" si="7"/>
        <v>https://sig.aminerals.cl/imgdyn/rest/services/CL_MLP_PAO/CL_MLP_PAO_IF_Ortho_ALL/ImageServer/file?id=.%5CEl_Mauro_Puerto_Punta_Chungo_Drone%5C25_06_05%5CCL_MLP_PAO_IF_Ortho_25_06_05_33-kV-NSTC-km-75p5-a-76p4.tiff&amp;rasterId=10599</v>
      </c>
    </row>
    <row r="187" spans="1:26" x14ac:dyDescent="0.25">
      <c r="A187">
        <v>186</v>
      </c>
      <c r="B187" s="9" t="s">
        <v>1303</v>
      </c>
      <c r="C187" s="9" t="s">
        <v>893</v>
      </c>
      <c r="D187">
        <v>0</v>
      </c>
      <c r="E187">
        <v>4.9540000000000001E-2</v>
      </c>
      <c r="F187">
        <v>1.4999999999999999E-2</v>
      </c>
      <c r="G187" s="12">
        <v>0.12</v>
      </c>
      <c r="H187">
        <v>1</v>
      </c>
      <c r="I187" s="9" t="s">
        <v>1305</v>
      </c>
      <c r="J187" s="9" t="s">
        <v>1306</v>
      </c>
      <c r="K187" s="9" t="s">
        <v>1306</v>
      </c>
      <c r="L187">
        <v>296116.125</v>
      </c>
      <c r="M187">
        <v>6462520.0800000001</v>
      </c>
      <c r="N187">
        <v>0</v>
      </c>
      <c r="O187">
        <v>21</v>
      </c>
      <c r="P187">
        <v>45894.585486000004</v>
      </c>
      <c r="Q187" s="9" t="s">
        <v>1942</v>
      </c>
      <c r="R187" s="9" t="s">
        <v>71</v>
      </c>
      <c r="S187" s="9" t="s">
        <v>28</v>
      </c>
      <c r="T187" s="9" t="s">
        <v>29</v>
      </c>
      <c r="U187" s="12">
        <v>45817</v>
      </c>
      <c r="V187" s="12">
        <v>45894</v>
      </c>
      <c r="W187" s="9" t="s">
        <v>30</v>
      </c>
      <c r="X187" s="9" t="s">
        <v>1943</v>
      </c>
      <c r="Y187" s="9">
        <f t="shared" ref="Y187:Y222" si="9">VLOOKUP(C187,$A$226:$B$414,2,FALSE())</f>
        <v>10600</v>
      </c>
      <c r="Z187" t="str">
        <f t="shared" si="7"/>
        <v>https://sig.aminerals.cl/imgdyn/rest/services/CL_MLP_PAO/CL_MLP_PAO_IF_Ortho_ALL/ImageServer/file?id=.%5CEl_Mauro_Puerto_Punta_Chungo_Drone%5C25_06_09%5CCL_MLP_PAO_IF_Ortho_25_06_09_EB2.tiff&amp;rasterId=10600</v>
      </c>
    </row>
    <row r="188" spans="1:26" x14ac:dyDescent="0.25">
      <c r="A188">
        <v>187</v>
      </c>
      <c r="B188" s="9" t="s">
        <v>1303</v>
      </c>
      <c r="C188" s="9" t="s">
        <v>894</v>
      </c>
      <c r="D188">
        <v>0</v>
      </c>
      <c r="E188">
        <v>1.9998999999999999E-2</v>
      </c>
      <c r="F188">
        <v>1.4500000000000001E-2</v>
      </c>
      <c r="G188" s="12">
        <v>0.11600000000000001</v>
      </c>
      <c r="H188">
        <v>1</v>
      </c>
      <c r="I188" s="9" t="s">
        <v>1305</v>
      </c>
      <c r="J188" s="9" t="s">
        <v>1306</v>
      </c>
      <c r="K188" s="9" t="s">
        <v>1306</v>
      </c>
      <c r="L188">
        <v>295955.67200000002</v>
      </c>
      <c r="M188">
        <v>6463712.1540000001</v>
      </c>
      <c r="N188">
        <v>0</v>
      </c>
      <c r="O188">
        <v>21</v>
      </c>
      <c r="P188">
        <v>45894.585531999997</v>
      </c>
      <c r="Q188" s="9" t="s">
        <v>1944</v>
      </c>
      <c r="R188" s="9" t="s">
        <v>74</v>
      </c>
      <c r="S188" s="9" t="s">
        <v>28</v>
      </c>
      <c r="T188" s="9" t="s">
        <v>29</v>
      </c>
      <c r="U188" s="12">
        <v>45817</v>
      </c>
      <c r="V188" s="12">
        <v>45894</v>
      </c>
      <c r="W188" s="9" t="s">
        <v>30</v>
      </c>
      <c r="X188" s="9" t="s">
        <v>1945</v>
      </c>
      <c r="Y188" s="9">
        <f t="shared" si="9"/>
        <v>10601</v>
      </c>
      <c r="Z188" t="str">
        <f t="shared" si="7"/>
        <v>https://sig.aminerals.cl/imgdyn/rest/services/CL_MLP_PAO/CL_MLP_PAO_IF_Ortho_ALL/ImageServer/file?id=.%5CEl_Mauro_Puerto_Punta_Chungo_Drone%5C25_06_09%5CCL_MLP_PAO_IF_Ortho_25_06_09_EV2.tiff&amp;rasterId=10601</v>
      </c>
    </row>
    <row r="189" spans="1:26" x14ac:dyDescent="0.25">
      <c r="A189">
        <v>188</v>
      </c>
      <c r="B189" s="9" t="s">
        <v>1303</v>
      </c>
      <c r="C189" s="9" t="s">
        <v>895</v>
      </c>
      <c r="D189">
        <v>0</v>
      </c>
      <c r="E189">
        <v>0.52800000000000002</v>
      </c>
      <c r="F189">
        <v>1.6500000000000001E-2</v>
      </c>
      <c r="G189" s="12">
        <v>0.13200000000000001</v>
      </c>
      <c r="H189">
        <v>1</v>
      </c>
      <c r="I189" s="9" t="s">
        <v>1305</v>
      </c>
      <c r="J189" s="9" t="s">
        <v>1306</v>
      </c>
      <c r="K189" s="9" t="s">
        <v>1306</v>
      </c>
      <c r="L189">
        <v>295821.50400000002</v>
      </c>
      <c r="M189">
        <v>6464513.6984999999</v>
      </c>
      <c r="N189">
        <v>0</v>
      </c>
      <c r="O189">
        <v>21</v>
      </c>
      <c r="P189">
        <v>45894.586840000004</v>
      </c>
      <c r="Q189" s="9" t="s">
        <v>1946</v>
      </c>
      <c r="R189" s="9" t="s">
        <v>216</v>
      </c>
      <c r="S189" s="9" t="s">
        <v>28</v>
      </c>
      <c r="T189" s="9" t="s">
        <v>29</v>
      </c>
      <c r="U189" s="12">
        <v>45817</v>
      </c>
      <c r="V189" s="12">
        <v>45894</v>
      </c>
      <c r="W189" s="9" t="s">
        <v>30</v>
      </c>
      <c r="X189" s="9" t="s">
        <v>1947</v>
      </c>
      <c r="Y189" s="9">
        <f t="shared" si="9"/>
        <v>10602</v>
      </c>
      <c r="Z189" t="str">
        <f t="shared" si="7"/>
        <v>https://sig.aminerals.cl/imgdyn/rest/services/CL_MLP_PAO/CL_MLP_PAO_IF_Ortho_ALL/ImageServer/file?id=.%5CEl_Mauro_Puerto_Punta_Chungo_Drone%5C25_06_09%5CCL_MLP_PAO_IF_Ortho_25_06_09_EV2_a_NSTC_Km_87p1.tiff&amp;rasterId=10602</v>
      </c>
    </row>
    <row r="190" spans="1:26" x14ac:dyDescent="0.25">
      <c r="A190">
        <v>189</v>
      </c>
      <c r="B190" s="9" t="s">
        <v>1303</v>
      </c>
      <c r="C190" s="9" t="s">
        <v>896</v>
      </c>
      <c r="D190">
        <v>0</v>
      </c>
      <c r="E190">
        <v>0.52800000000000002</v>
      </c>
      <c r="F190">
        <v>1.7000000000000001E-2</v>
      </c>
      <c r="G190" s="12">
        <v>0.27200000000000002</v>
      </c>
      <c r="H190">
        <v>1</v>
      </c>
      <c r="I190" s="9" t="s">
        <v>1305</v>
      </c>
      <c r="J190" s="9" t="s">
        <v>1306</v>
      </c>
      <c r="K190" s="9" t="s">
        <v>1306</v>
      </c>
      <c r="L190">
        <v>296061.35800000001</v>
      </c>
      <c r="M190">
        <v>6463161.5750000002</v>
      </c>
      <c r="N190">
        <v>0</v>
      </c>
      <c r="O190">
        <v>21</v>
      </c>
      <c r="P190">
        <v>45894.587095000003</v>
      </c>
      <c r="Q190" s="9" t="s">
        <v>1948</v>
      </c>
      <c r="R190" s="9" t="s">
        <v>219</v>
      </c>
      <c r="S190" s="9" t="s">
        <v>28</v>
      </c>
      <c r="T190" s="9" t="s">
        <v>29</v>
      </c>
      <c r="U190" s="12">
        <v>45817</v>
      </c>
      <c r="V190" s="12">
        <v>45894</v>
      </c>
      <c r="W190" s="9" t="s">
        <v>30</v>
      </c>
      <c r="X190" s="9" t="s">
        <v>1949</v>
      </c>
      <c r="Y190" s="9">
        <f t="shared" si="9"/>
        <v>10603</v>
      </c>
      <c r="Z190" t="str">
        <f t="shared" si="7"/>
        <v>https://sig.aminerals.cl/imgdyn/rest/services/CL_MLP_PAO/CL_MLP_PAO_IF_Ortho_ALL/ImageServer/file?id=.%5CEl_Mauro_Puerto_Punta_Chungo_Drone%5C25_06_09%5CCL_MLP_PAO_IF_Ortho_25_06_09_Tramo_EV2_a_EB2.tiff&amp;rasterId=10603</v>
      </c>
    </row>
    <row r="191" spans="1:26" x14ac:dyDescent="0.25">
      <c r="A191">
        <v>190</v>
      </c>
      <c r="B191" s="9" t="s">
        <v>1303</v>
      </c>
      <c r="C191" s="9" t="s">
        <v>902</v>
      </c>
      <c r="D191">
        <v>0</v>
      </c>
      <c r="E191">
        <v>1.5840000000000001</v>
      </c>
      <c r="F191">
        <v>1.55E-2</v>
      </c>
      <c r="G191" s="12">
        <v>0.496</v>
      </c>
      <c r="H191">
        <v>1</v>
      </c>
      <c r="I191" s="9" t="s">
        <v>1305</v>
      </c>
      <c r="J191" s="9" t="s">
        <v>1306</v>
      </c>
      <c r="K191" s="9" t="s">
        <v>1306</v>
      </c>
      <c r="L191">
        <v>265850.141</v>
      </c>
      <c r="M191">
        <v>6471049.9570000004</v>
      </c>
      <c r="N191">
        <v>0</v>
      </c>
      <c r="O191">
        <v>21</v>
      </c>
      <c r="P191">
        <v>45894.589791999999</v>
      </c>
      <c r="Q191" s="9" t="s">
        <v>1950</v>
      </c>
      <c r="R191" s="9" t="s">
        <v>237</v>
      </c>
      <c r="S191" s="9" t="s">
        <v>28</v>
      </c>
      <c r="T191" s="9" t="s">
        <v>29</v>
      </c>
      <c r="U191" s="12">
        <v>45831</v>
      </c>
      <c r="V191" s="12">
        <v>45894</v>
      </c>
      <c r="W191" s="9" t="s">
        <v>30</v>
      </c>
      <c r="X191" s="9" t="s">
        <v>1951</v>
      </c>
      <c r="Y191" s="9">
        <f t="shared" si="9"/>
        <v>10604</v>
      </c>
      <c r="Z191" t="str">
        <f t="shared" si="7"/>
        <v>https://sig.aminerals.cl/imgdyn/rest/services/CL_MLP_PAO/CL_MLP_PAO_IF_Ortho_ALL/ImageServer/file?id=.%5CEl_Mauro_Puerto_Punta_Chungo_Drone%5C25_06_23%5CCL_MLP_PAO_IF_Ortho_25_06_23_NSTC_Km_121p5_a_123p5f.tiff&amp;rasterId=10604</v>
      </c>
    </row>
    <row r="192" spans="1:26" x14ac:dyDescent="0.25">
      <c r="A192">
        <v>191</v>
      </c>
      <c r="B192" s="9" t="s">
        <v>1303</v>
      </c>
      <c r="C192" s="9" t="s">
        <v>903</v>
      </c>
      <c r="D192">
        <v>0</v>
      </c>
      <c r="E192">
        <v>1.5840000000000001</v>
      </c>
      <c r="F192">
        <v>1.4500000000000001E-2</v>
      </c>
      <c r="G192" s="12">
        <v>0.46400000000000002</v>
      </c>
      <c r="H192">
        <v>1</v>
      </c>
      <c r="I192" s="9" t="s">
        <v>1305</v>
      </c>
      <c r="J192" s="9" t="s">
        <v>1306</v>
      </c>
      <c r="K192" s="9" t="s">
        <v>1306</v>
      </c>
      <c r="L192">
        <v>264481.17450000002</v>
      </c>
      <c r="M192">
        <v>6470378.6305</v>
      </c>
      <c r="N192">
        <v>0</v>
      </c>
      <c r="O192">
        <v>21</v>
      </c>
      <c r="P192">
        <v>45894.588969999997</v>
      </c>
      <c r="Q192" s="9" t="s">
        <v>1952</v>
      </c>
      <c r="R192" s="9" t="s">
        <v>240</v>
      </c>
      <c r="S192" s="9" t="s">
        <v>28</v>
      </c>
      <c r="T192" s="9" t="s">
        <v>29</v>
      </c>
      <c r="U192" s="12">
        <v>45831</v>
      </c>
      <c r="V192" s="12">
        <v>45894</v>
      </c>
      <c r="W192" s="9" t="s">
        <v>30</v>
      </c>
      <c r="X192" s="9" t="s">
        <v>1953</v>
      </c>
      <c r="Y192" s="9">
        <f t="shared" si="9"/>
        <v>10605</v>
      </c>
      <c r="Z192" t="str">
        <f t="shared" si="7"/>
        <v>https://sig.aminerals.cl/imgdyn/rest/services/CL_MLP_PAO/CL_MLP_PAO_IF_Ortho_ALL/ImageServer/file?id=.%5CEl_Mauro_Puerto_Punta_Chungo_Drone%5C25_06_23%5CCL_MLP_PAO_IF_Ortho_25_06_23_NSTC_Km_123p5_a_124p7f.tiff&amp;rasterId=10605</v>
      </c>
    </row>
    <row r="193" spans="1:26" x14ac:dyDescent="0.25">
      <c r="A193">
        <v>192</v>
      </c>
      <c r="B193" s="9" t="s">
        <v>1303</v>
      </c>
      <c r="C193" s="9" t="s">
        <v>904</v>
      </c>
      <c r="D193">
        <v>0</v>
      </c>
      <c r="E193">
        <v>1.9998999999999999E-2</v>
      </c>
      <c r="F193">
        <v>1.55E-2</v>
      </c>
      <c r="G193" s="12">
        <v>0.124</v>
      </c>
      <c r="H193">
        <v>1</v>
      </c>
      <c r="I193" s="9" t="s">
        <v>1305</v>
      </c>
      <c r="J193" s="9" t="s">
        <v>1306</v>
      </c>
      <c r="K193" s="9" t="s">
        <v>1306</v>
      </c>
      <c r="L193">
        <v>295962.09950000001</v>
      </c>
      <c r="M193">
        <v>6463708.8315000003</v>
      </c>
      <c r="N193">
        <v>0</v>
      </c>
      <c r="O193">
        <v>21</v>
      </c>
      <c r="P193">
        <v>45894.587974000002</v>
      </c>
      <c r="Q193" s="9" t="s">
        <v>1954</v>
      </c>
      <c r="R193" s="9" t="s">
        <v>74</v>
      </c>
      <c r="S193" s="9" t="s">
        <v>28</v>
      </c>
      <c r="T193" s="9" t="s">
        <v>29</v>
      </c>
      <c r="U193" s="12">
        <v>45834</v>
      </c>
      <c r="V193" s="12">
        <v>45894</v>
      </c>
      <c r="W193" s="9" t="s">
        <v>30</v>
      </c>
      <c r="X193" s="9" t="s">
        <v>1955</v>
      </c>
      <c r="Y193" s="9">
        <f t="shared" si="9"/>
        <v>10606</v>
      </c>
      <c r="Z193" t="str">
        <f t="shared" si="7"/>
        <v>https://sig.aminerals.cl/imgdyn/rest/services/CL_MLP_PAO/CL_MLP_PAO_IF_Ortho_ALL/ImageServer/file?id=.%5CEl_Mauro_Puerto_Punta_Chungo_Drone%5C25_06_26%5CCL_MLP_PAO_IF_Ortho_25_06_26_EV2.tiff&amp;rasterId=10606</v>
      </c>
    </row>
    <row r="194" spans="1:26" x14ac:dyDescent="0.25">
      <c r="A194">
        <v>193</v>
      </c>
      <c r="B194" s="9" t="s">
        <v>1303</v>
      </c>
      <c r="C194" s="9" t="s">
        <v>905</v>
      </c>
      <c r="D194">
        <v>0</v>
      </c>
      <c r="E194">
        <v>0.52800000000000002</v>
      </c>
      <c r="F194">
        <v>2.5499999999999998E-2</v>
      </c>
      <c r="G194" s="12">
        <v>0.20399999999999999</v>
      </c>
      <c r="H194">
        <v>1</v>
      </c>
      <c r="I194" s="9" t="s">
        <v>1305</v>
      </c>
      <c r="J194" s="9" t="s">
        <v>1306</v>
      </c>
      <c r="K194" s="9" t="s">
        <v>1306</v>
      </c>
      <c r="L194">
        <v>298309.53149999998</v>
      </c>
      <c r="M194">
        <v>6461806.182</v>
      </c>
      <c r="N194">
        <v>0</v>
      </c>
      <c r="O194">
        <v>21</v>
      </c>
      <c r="P194">
        <v>45894.588136999999</v>
      </c>
      <c r="Q194" s="9" t="s">
        <v>1956</v>
      </c>
      <c r="R194" s="9" t="s">
        <v>117</v>
      </c>
      <c r="S194" s="9" t="s">
        <v>28</v>
      </c>
      <c r="T194" s="9" t="s">
        <v>29</v>
      </c>
      <c r="U194" s="12">
        <v>45834</v>
      </c>
      <c r="V194" s="12">
        <v>45894</v>
      </c>
      <c r="W194" s="9" t="s">
        <v>30</v>
      </c>
      <c r="X194" s="9" t="s">
        <v>1957</v>
      </c>
      <c r="Y194" s="9">
        <f t="shared" si="9"/>
        <v>10607</v>
      </c>
      <c r="Z194" t="str">
        <f t="shared" ref="Z194:Z222" si="10">CONCATENATE(X194,"&amp;rasterId=",Y194)</f>
        <v>https://sig.aminerals.cl/imgdyn/rest/services/CL_MLP_PAO/CL_MLP_PAO_IF_Ortho_ALL/ImageServer/file?id=.%5CEl_Mauro_Puerto_Punta_Chungo_Drone%5C25_06_26%5CCL_MLP_PAO_IF_Ortho_25_06_26_Monte_Aranda_82p3_a_80p7.tiff&amp;rasterId=10607</v>
      </c>
    </row>
    <row r="195" spans="1:26" x14ac:dyDescent="0.25">
      <c r="A195">
        <v>194</v>
      </c>
      <c r="B195" s="9" t="s">
        <v>1303</v>
      </c>
      <c r="C195" s="9" t="s">
        <v>906</v>
      </c>
      <c r="D195">
        <v>0</v>
      </c>
      <c r="E195">
        <v>0.52800000000000002</v>
      </c>
      <c r="F195">
        <v>1.7000000000000001E-2</v>
      </c>
      <c r="G195" s="12">
        <v>0.27200000000000002</v>
      </c>
      <c r="H195">
        <v>1</v>
      </c>
      <c r="I195" s="9" t="s">
        <v>1305</v>
      </c>
      <c r="J195" s="9" t="s">
        <v>1306</v>
      </c>
      <c r="K195" s="9" t="s">
        <v>1306</v>
      </c>
      <c r="L195">
        <v>296959.587</v>
      </c>
      <c r="M195">
        <v>6461971.5920000002</v>
      </c>
      <c r="N195">
        <v>0</v>
      </c>
      <c r="O195">
        <v>21</v>
      </c>
      <c r="P195">
        <v>45894.591493</v>
      </c>
      <c r="Q195" s="9" t="s">
        <v>1958</v>
      </c>
      <c r="R195" s="9" t="s">
        <v>247</v>
      </c>
      <c r="S195" s="9" t="s">
        <v>28</v>
      </c>
      <c r="T195" s="9" t="s">
        <v>29</v>
      </c>
      <c r="U195" s="12">
        <v>45834</v>
      </c>
      <c r="V195" s="12">
        <v>45894</v>
      </c>
      <c r="W195" s="9" t="s">
        <v>30</v>
      </c>
      <c r="X195" s="9" t="s">
        <v>1959</v>
      </c>
      <c r="Y195" s="9">
        <f t="shared" si="9"/>
        <v>10608</v>
      </c>
      <c r="Z195" t="str">
        <f t="shared" si="10"/>
        <v>https://sig.aminerals.cl/imgdyn/rest/services/CL_MLP_PAO/CL_MLP_PAO_IF_Ortho_ALL/ImageServer/file?id=.%5CEl_Mauro_Puerto_Punta_Chungo_Drone%5C25_06_26%5CCL_MLP_PAO_IF_Ortho_25_06_26_Monte_Aranda_84p2_a_82p3.tiff&amp;rasterId=10608</v>
      </c>
    </row>
    <row r="196" spans="1:26" x14ac:dyDescent="0.25">
      <c r="A196">
        <v>195</v>
      </c>
      <c r="B196" s="9" t="s">
        <v>1303</v>
      </c>
      <c r="C196" s="9" t="s">
        <v>249</v>
      </c>
      <c r="D196">
        <v>0</v>
      </c>
      <c r="E196">
        <v>0.52800000000000002</v>
      </c>
      <c r="F196">
        <v>1.4E-2</v>
      </c>
      <c r="G196" s="12">
        <v>0.224</v>
      </c>
      <c r="H196">
        <v>1</v>
      </c>
      <c r="I196" s="9" t="s">
        <v>1305</v>
      </c>
      <c r="J196" s="9" t="s">
        <v>1306</v>
      </c>
      <c r="K196" s="9" t="s">
        <v>1306</v>
      </c>
      <c r="L196">
        <v>296057.538</v>
      </c>
      <c r="M196">
        <v>6463156.7139999997</v>
      </c>
      <c r="N196">
        <v>0</v>
      </c>
      <c r="O196">
        <v>21</v>
      </c>
      <c r="P196">
        <v>45894.590520999998</v>
      </c>
      <c r="Q196" s="9" t="s">
        <v>1960</v>
      </c>
      <c r="R196" s="9" t="s">
        <v>219</v>
      </c>
      <c r="S196" s="9" t="s">
        <v>28</v>
      </c>
      <c r="T196" s="9" t="s">
        <v>29</v>
      </c>
      <c r="U196" s="12">
        <v>45834</v>
      </c>
      <c r="V196" s="12">
        <v>45894</v>
      </c>
      <c r="W196" s="9" t="s">
        <v>30</v>
      </c>
      <c r="X196" s="9" t="s">
        <v>1961</v>
      </c>
      <c r="Y196" s="9">
        <f t="shared" si="9"/>
        <v>10609</v>
      </c>
      <c r="Z196" t="str">
        <f t="shared" si="10"/>
        <v>https://sig.aminerals.cl/imgdyn/rest/services/CL_MLP_PAO/CL_MLP_PAO_IF_Ortho_ALL/ImageServer/file?id=.%5CEl_Mauro_Puerto_Punta_Chungo_Drone%5C25_06_26%5CCL_MLP_PAO_IF_Ortho_25_06_26_Tramo_EV2_a_EB2.tiff&amp;rasterId=10609</v>
      </c>
    </row>
    <row r="197" spans="1:26" x14ac:dyDescent="0.25">
      <c r="A197">
        <v>196</v>
      </c>
      <c r="B197" s="9" t="s">
        <v>1303</v>
      </c>
      <c r="C197" s="9" t="s">
        <v>912</v>
      </c>
      <c r="D197">
        <v>0</v>
      </c>
      <c r="E197">
        <v>0.52800000000000002</v>
      </c>
      <c r="F197">
        <v>1.4999999999999999E-2</v>
      </c>
      <c r="G197" s="12">
        <v>0.24</v>
      </c>
      <c r="H197">
        <v>1</v>
      </c>
      <c r="I197" s="9" t="s">
        <v>1305</v>
      </c>
      <c r="J197" s="9" t="s">
        <v>1306</v>
      </c>
      <c r="K197" s="9" t="s">
        <v>1306</v>
      </c>
      <c r="L197">
        <v>284452.15500000003</v>
      </c>
      <c r="M197">
        <v>6469907.8650000002</v>
      </c>
      <c r="N197">
        <v>0</v>
      </c>
      <c r="O197">
        <v>21</v>
      </c>
      <c r="P197">
        <v>45894.591469999999</v>
      </c>
      <c r="Q197" s="9" t="s">
        <v>1962</v>
      </c>
      <c r="R197" s="9" t="s">
        <v>267</v>
      </c>
      <c r="S197" s="9" t="s">
        <v>28</v>
      </c>
      <c r="T197" s="9" t="s">
        <v>29</v>
      </c>
      <c r="U197" s="12">
        <v>45847</v>
      </c>
      <c r="V197" s="12">
        <v>45894</v>
      </c>
      <c r="W197" s="9" t="s">
        <v>30</v>
      </c>
      <c r="X197" s="9" t="s">
        <v>1963</v>
      </c>
      <c r="Y197" s="9">
        <f t="shared" si="9"/>
        <v>10610</v>
      </c>
      <c r="Z197" t="str">
        <f t="shared" si="10"/>
        <v>https://sig.aminerals.cl/imgdyn/rest/services/CL_MLP_PAO/CL_MLP_PAO_IF_Ortho_ALL/ImageServer/file?id=.%5CEl_Mauro_Puerto_Punta_Chungo_Drone%5C25_07_09%5CCL_MLP_PAO_IF_Ortho_25_07_09_NSTC_Km_100_a_101.tiff&amp;rasterId=10610</v>
      </c>
    </row>
    <row r="198" spans="1:26" x14ac:dyDescent="0.25">
      <c r="A198">
        <v>197</v>
      </c>
      <c r="B198" s="9" t="s">
        <v>1303</v>
      </c>
      <c r="C198" s="9" t="s">
        <v>913</v>
      </c>
      <c r="D198">
        <v>0</v>
      </c>
      <c r="E198">
        <v>0.52800000000000002</v>
      </c>
      <c r="F198">
        <v>1.7999999999999999E-2</v>
      </c>
      <c r="G198" s="12">
        <v>0.28799999999999998</v>
      </c>
      <c r="H198">
        <v>1</v>
      </c>
      <c r="I198" s="9" t="s">
        <v>1305</v>
      </c>
      <c r="J198" s="9" t="s">
        <v>1306</v>
      </c>
      <c r="K198" s="9" t="s">
        <v>1306</v>
      </c>
      <c r="L198">
        <v>283701.81599999999</v>
      </c>
      <c r="M198">
        <v>6470313.966</v>
      </c>
      <c r="N198">
        <v>0</v>
      </c>
      <c r="O198">
        <v>21</v>
      </c>
      <c r="P198">
        <v>45894.591042</v>
      </c>
      <c r="Q198" s="9" t="s">
        <v>1964</v>
      </c>
      <c r="R198" s="9" t="s">
        <v>270</v>
      </c>
      <c r="S198" s="9" t="s">
        <v>28</v>
      </c>
      <c r="T198" s="9" t="s">
        <v>29</v>
      </c>
      <c r="U198" s="12">
        <v>45853</v>
      </c>
      <c r="V198" s="12">
        <v>45894</v>
      </c>
      <c r="W198" s="9" t="s">
        <v>30</v>
      </c>
      <c r="X198" s="9" t="s">
        <v>1965</v>
      </c>
      <c r="Y198" s="9">
        <f t="shared" si="9"/>
        <v>10611</v>
      </c>
      <c r="Z198" t="str">
        <f t="shared" si="10"/>
        <v>https://sig.aminerals.cl/imgdyn/rest/services/CL_MLP_PAO/CL_MLP_PAO_IF_Ortho_ALL/ImageServer/file?id=.%5CEl_Mauro_Puerto_Punta_Chungo_Drone%5C25_07_15%5CCL_MLP_PAO_IF_Ortho_25_07_15_NSTC_Km_101_a_102f.tiff&amp;rasterId=10611</v>
      </c>
    </row>
    <row r="199" spans="1:26" x14ac:dyDescent="0.25">
      <c r="A199">
        <v>198</v>
      </c>
      <c r="B199" s="9" t="s">
        <v>1303</v>
      </c>
      <c r="C199" s="9" t="s">
        <v>914</v>
      </c>
      <c r="D199">
        <v>0</v>
      </c>
      <c r="E199">
        <v>0.52800000000000002</v>
      </c>
      <c r="F199">
        <v>1.7999999999999999E-2</v>
      </c>
      <c r="G199" s="12">
        <v>0.28799999999999998</v>
      </c>
      <c r="H199">
        <v>1</v>
      </c>
      <c r="I199" s="9" t="s">
        <v>1305</v>
      </c>
      <c r="J199" s="9" t="s">
        <v>1306</v>
      </c>
      <c r="K199" s="9" t="s">
        <v>1306</v>
      </c>
      <c r="L199">
        <v>283126.39199999999</v>
      </c>
      <c r="M199">
        <v>6470987.7960000001</v>
      </c>
      <c r="N199">
        <v>0</v>
      </c>
      <c r="O199">
        <v>21</v>
      </c>
      <c r="P199">
        <v>45894.591978999997</v>
      </c>
      <c r="Q199" s="9" t="s">
        <v>1966</v>
      </c>
      <c r="R199" s="9" t="s">
        <v>273</v>
      </c>
      <c r="S199" s="9" t="s">
        <v>28</v>
      </c>
      <c r="T199" s="9" t="s">
        <v>29</v>
      </c>
      <c r="U199" s="12">
        <v>45853</v>
      </c>
      <c r="V199" s="12">
        <v>45894</v>
      </c>
      <c r="W199" s="9" t="s">
        <v>30</v>
      </c>
      <c r="X199" s="9" t="s">
        <v>1967</v>
      </c>
      <c r="Y199" s="9">
        <f t="shared" si="9"/>
        <v>10612</v>
      </c>
      <c r="Z199" t="str">
        <f t="shared" si="10"/>
        <v>https://sig.aminerals.cl/imgdyn/rest/services/CL_MLP_PAO/CL_MLP_PAO_IF_Ortho_ALL/ImageServer/file?id=.%5CEl_Mauro_Puerto_Punta_Chungo_Drone%5C25_07_15%5CCL_MLP_PAO_IF_Ortho_25_07_15_NSTC_Km_102_a_103p2f.tiff&amp;rasterId=10612</v>
      </c>
    </row>
    <row r="200" spans="1:26" x14ac:dyDescent="0.25">
      <c r="A200">
        <v>199</v>
      </c>
      <c r="B200" s="9" t="s">
        <v>1303</v>
      </c>
      <c r="C200" s="9" t="s">
        <v>915</v>
      </c>
      <c r="D200">
        <v>0</v>
      </c>
      <c r="E200">
        <v>0.52800000000000002</v>
      </c>
      <c r="F200">
        <v>1.9E-2</v>
      </c>
      <c r="G200" s="12">
        <v>0.152</v>
      </c>
      <c r="H200">
        <v>1</v>
      </c>
      <c r="I200" s="9" t="s">
        <v>1305</v>
      </c>
      <c r="J200" s="9" t="s">
        <v>1306</v>
      </c>
      <c r="K200" s="9" t="s">
        <v>1306</v>
      </c>
      <c r="L200">
        <v>282559.83</v>
      </c>
      <c r="M200">
        <v>6471502.0109999999</v>
      </c>
      <c r="N200">
        <v>0</v>
      </c>
      <c r="O200">
        <v>21</v>
      </c>
      <c r="P200">
        <v>45894.591759000003</v>
      </c>
      <c r="Q200" s="9" t="s">
        <v>1968</v>
      </c>
      <c r="R200" s="9" t="s">
        <v>276</v>
      </c>
      <c r="S200" s="9" t="s">
        <v>28</v>
      </c>
      <c r="T200" s="9" t="s">
        <v>29</v>
      </c>
      <c r="U200" s="12">
        <v>45853</v>
      </c>
      <c r="V200" s="12">
        <v>45894</v>
      </c>
      <c r="W200" s="9" t="s">
        <v>30</v>
      </c>
      <c r="X200" s="9" t="s">
        <v>1969</v>
      </c>
      <c r="Y200" s="9">
        <f t="shared" si="9"/>
        <v>10613</v>
      </c>
      <c r="Z200" t="str">
        <f t="shared" si="10"/>
        <v>https://sig.aminerals.cl/imgdyn/rest/services/CL_MLP_PAO/CL_MLP_PAO_IF_Ortho_ALL/ImageServer/file?id=.%5CEl_Mauro_Puerto_Punta_Chungo_Drone%5C25_07_15%5CCL_MLP_PAO_IF_Ortho_25_07_15_Oreja_16_NSTC_103p3_a_103p8_2f.tiff&amp;rasterId=10613</v>
      </c>
    </row>
    <row r="201" spans="1:26" x14ac:dyDescent="0.25">
      <c r="A201">
        <v>200</v>
      </c>
      <c r="B201" s="9" t="s">
        <v>1303</v>
      </c>
      <c r="C201" s="9" t="s">
        <v>916</v>
      </c>
      <c r="D201">
        <v>0</v>
      </c>
      <c r="E201">
        <v>0.52800000000000002</v>
      </c>
      <c r="F201">
        <v>1.8499999999999999E-2</v>
      </c>
      <c r="G201" s="12">
        <v>0.29599999999999999</v>
      </c>
      <c r="H201">
        <v>1</v>
      </c>
      <c r="I201" s="9" t="s">
        <v>1305</v>
      </c>
      <c r="J201" s="9" t="s">
        <v>1306</v>
      </c>
      <c r="K201" s="9" t="s">
        <v>1306</v>
      </c>
      <c r="L201">
        <v>281755.46250000002</v>
      </c>
      <c r="M201">
        <v>6471543.1085000001</v>
      </c>
      <c r="N201">
        <v>0</v>
      </c>
      <c r="O201">
        <v>21</v>
      </c>
      <c r="P201">
        <v>45894.59287</v>
      </c>
      <c r="Q201" s="9" t="s">
        <v>1970</v>
      </c>
      <c r="R201" s="9" t="s">
        <v>279</v>
      </c>
      <c r="S201" s="9" t="s">
        <v>28</v>
      </c>
      <c r="T201" s="9" t="s">
        <v>29</v>
      </c>
      <c r="U201" s="12">
        <v>45853</v>
      </c>
      <c r="V201" s="12">
        <v>45894</v>
      </c>
      <c r="W201" s="9" t="s">
        <v>30</v>
      </c>
      <c r="X201" s="9" t="s">
        <v>1971</v>
      </c>
      <c r="Y201" s="9">
        <f t="shared" si="9"/>
        <v>10614</v>
      </c>
      <c r="Z201" t="str">
        <f t="shared" si="10"/>
        <v>https://sig.aminerals.cl/imgdyn/rest/services/CL_MLP_PAO/CL_MLP_PAO_IF_Ortho_ALL/ImageServer/file?id=.%5CEl_Mauro_Puerto_Punta_Chungo_Drone%5C25_07_15%5CCL_MLP_PAO_IF_Ortho_25_07_15_Oreja_17_NSTC_103p7_a_104p9_2f.tiff&amp;rasterId=10614</v>
      </c>
    </row>
    <row r="202" spans="1:26" x14ac:dyDescent="0.25">
      <c r="A202">
        <v>201</v>
      </c>
      <c r="B202" s="9" t="s">
        <v>1303</v>
      </c>
      <c r="C202" s="9" t="s">
        <v>917</v>
      </c>
      <c r="D202">
        <v>0</v>
      </c>
      <c r="E202">
        <v>0.52800000000000002</v>
      </c>
      <c r="F202">
        <v>2.75E-2</v>
      </c>
      <c r="G202" s="12">
        <v>0.11</v>
      </c>
      <c r="H202">
        <v>1</v>
      </c>
      <c r="I202" s="9" t="s">
        <v>1305</v>
      </c>
      <c r="J202" s="9" t="s">
        <v>1306</v>
      </c>
      <c r="K202" s="9" t="s">
        <v>1306</v>
      </c>
      <c r="L202">
        <v>280291.02750000003</v>
      </c>
      <c r="M202">
        <v>6472055.0125000002</v>
      </c>
      <c r="N202">
        <v>0</v>
      </c>
      <c r="O202">
        <v>21</v>
      </c>
      <c r="P202">
        <v>45894.592037000002</v>
      </c>
      <c r="Q202" s="9" t="s">
        <v>1972</v>
      </c>
      <c r="R202" s="9" t="s">
        <v>282</v>
      </c>
      <c r="S202" s="9" t="s">
        <v>28</v>
      </c>
      <c r="T202" s="9" t="s">
        <v>29</v>
      </c>
      <c r="U202" s="12">
        <v>45854</v>
      </c>
      <c r="V202" s="12">
        <v>45894</v>
      </c>
      <c r="W202" s="9" t="s">
        <v>30</v>
      </c>
      <c r="X202" s="9" t="s">
        <v>1973</v>
      </c>
      <c r="Y202" s="9">
        <f t="shared" si="9"/>
        <v>10615</v>
      </c>
      <c r="Z202" t="str">
        <f t="shared" si="10"/>
        <v>https://sig.aminerals.cl/imgdyn/rest/services/CL_MLP_PAO/CL_MLP_PAO_IF_Ortho_ALL/ImageServer/file?id=.%5CEl_Mauro_Puerto_Punta_Chungo_Drone%5C25_07_16%5CCL_MLP_PAO_IF_Ortho_25_07_16_NSTC_Km_105p6_a_107f.tiff&amp;rasterId=10615</v>
      </c>
    </row>
    <row r="203" spans="1:26" x14ac:dyDescent="0.25">
      <c r="A203">
        <v>202</v>
      </c>
      <c r="B203" s="9" t="s">
        <v>1303</v>
      </c>
      <c r="C203" s="9" t="s">
        <v>918</v>
      </c>
      <c r="D203">
        <v>0</v>
      </c>
      <c r="E203">
        <v>0.52800000000000002</v>
      </c>
      <c r="F203">
        <v>1.8499999999999999E-2</v>
      </c>
      <c r="G203" s="12">
        <v>0.29599999999999999</v>
      </c>
      <c r="H203">
        <v>1</v>
      </c>
      <c r="I203" s="9" t="s">
        <v>1305</v>
      </c>
      <c r="J203" s="9" t="s">
        <v>1306</v>
      </c>
      <c r="K203" s="9" t="s">
        <v>1306</v>
      </c>
      <c r="L203">
        <v>285282.28399999999</v>
      </c>
      <c r="M203">
        <v>6469630.449</v>
      </c>
      <c r="N203">
        <v>0</v>
      </c>
      <c r="O203">
        <v>21</v>
      </c>
      <c r="P203">
        <v>45894.592963000003</v>
      </c>
      <c r="Q203" s="9" t="s">
        <v>1974</v>
      </c>
      <c r="R203" s="9" t="s">
        <v>285</v>
      </c>
      <c r="S203" s="9" t="s">
        <v>28</v>
      </c>
      <c r="T203" s="9" t="s">
        <v>29</v>
      </c>
      <c r="U203" s="12">
        <v>45854</v>
      </c>
      <c r="V203" s="12">
        <v>45894</v>
      </c>
      <c r="W203" s="9" t="s">
        <v>30</v>
      </c>
      <c r="X203" s="9" t="s">
        <v>1975</v>
      </c>
      <c r="Y203" s="9">
        <f t="shared" si="9"/>
        <v>10616</v>
      </c>
      <c r="Z203" t="str">
        <f t="shared" si="10"/>
        <v>https://sig.aminerals.cl/imgdyn/rest/services/CL_MLP_PAO/CL_MLP_PAO_IF_Ortho_ALL/ImageServer/file?id=.%5CEl_Mauro_Puerto_Punta_Chungo_Drone%5C25_07_16%5CCL_MLP_PAO_IF_Ortho_25_07_16_NSTC_Km_99_a_100f.tiff&amp;rasterId=10616</v>
      </c>
    </row>
    <row r="204" spans="1:26" x14ac:dyDescent="0.25">
      <c r="A204">
        <v>203</v>
      </c>
      <c r="B204" s="9" t="s">
        <v>1303</v>
      </c>
      <c r="C204" s="9" t="s">
        <v>919</v>
      </c>
      <c r="D204">
        <v>0</v>
      </c>
      <c r="E204">
        <v>0.52800000000000002</v>
      </c>
      <c r="F204">
        <v>1.9E-2</v>
      </c>
      <c r="G204" s="12">
        <v>0.30399999999999999</v>
      </c>
      <c r="H204">
        <v>1</v>
      </c>
      <c r="I204" s="9" t="s">
        <v>1305</v>
      </c>
      <c r="J204" s="9" t="s">
        <v>1306</v>
      </c>
      <c r="K204" s="9" t="s">
        <v>1306</v>
      </c>
      <c r="L204">
        <v>281180.35399999999</v>
      </c>
      <c r="M204">
        <v>6471756.4589999998</v>
      </c>
      <c r="N204">
        <v>0</v>
      </c>
      <c r="O204">
        <v>21</v>
      </c>
      <c r="P204">
        <v>45894.593228999998</v>
      </c>
      <c r="Q204" s="9" t="s">
        <v>1976</v>
      </c>
      <c r="R204" s="9" t="s">
        <v>288</v>
      </c>
      <c r="S204" s="9" t="s">
        <v>28</v>
      </c>
      <c r="T204" s="9" t="s">
        <v>29</v>
      </c>
      <c r="U204" s="12">
        <v>45854</v>
      </c>
      <c r="V204" s="12">
        <v>45894</v>
      </c>
      <c r="W204" s="9" t="s">
        <v>30</v>
      </c>
      <c r="X204" s="9" t="s">
        <v>1977</v>
      </c>
      <c r="Y204" s="9">
        <f t="shared" si="9"/>
        <v>10617</v>
      </c>
      <c r="Z204" t="str">
        <f t="shared" si="10"/>
        <v>https://sig.aminerals.cl/imgdyn/rest/services/CL_MLP_PAO/CL_MLP_PAO_IF_Ortho_ALL/ImageServer/file?id=.%5CEl_Mauro_Puerto_Punta_Chungo_Drone%5C25_07_16%5CCL_MLP_PAO_IF_Ortho_25_07_16_Oreja_18_NSTC_104p9_a_105p6_2f.tiff&amp;rasterId=10617</v>
      </c>
    </row>
    <row r="205" spans="1:26" x14ac:dyDescent="0.25">
      <c r="A205">
        <v>204</v>
      </c>
      <c r="B205" s="9" t="s">
        <v>1303</v>
      </c>
      <c r="C205" s="9" t="s">
        <v>920</v>
      </c>
      <c r="D205">
        <v>0</v>
      </c>
      <c r="E205">
        <v>0.52800000000000002</v>
      </c>
      <c r="F205">
        <v>1.9E-2</v>
      </c>
      <c r="G205" s="12">
        <v>0.152</v>
      </c>
      <c r="H205">
        <v>1</v>
      </c>
      <c r="I205" s="9" t="s">
        <v>1305</v>
      </c>
      <c r="J205" s="9" t="s">
        <v>1306</v>
      </c>
      <c r="K205" s="9" t="s">
        <v>1306</v>
      </c>
      <c r="L205">
        <v>279118.39799999999</v>
      </c>
      <c r="M205">
        <v>6472068.6289999997</v>
      </c>
      <c r="N205">
        <v>0</v>
      </c>
      <c r="O205">
        <v>21</v>
      </c>
      <c r="P205">
        <v>45894.592847</v>
      </c>
      <c r="Q205" s="9" t="s">
        <v>1978</v>
      </c>
      <c r="R205" s="9" t="s">
        <v>291</v>
      </c>
      <c r="S205" s="9" t="s">
        <v>28</v>
      </c>
      <c r="T205" s="9" t="s">
        <v>29</v>
      </c>
      <c r="U205" s="12">
        <v>45860</v>
      </c>
      <c r="V205" s="12">
        <v>45894</v>
      </c>
      <c r="W205" s="9" t="s">
        <v>30</v>
      </c>
      <c r="X205" s="9" t="s">
        <v>1979</v>
      </c>
      <c r="Y205" s="9">
        <f t="shared" si="9"/>
        <v>10618</v>
      </c>
      <c r="Z205" t="str">
        <f t="shared" si="10"/>
        <v>https://sig.aminerals.cl/imgdyn/rest/services/CL_MLP_PAO/CL_MLP_PAO_IF_Ortho_ALL/ImageServer/file?id=.%5CEl_Mauro_Puerto_Punta_Chungo_Drone%5C25_07_22%5CCL_MLP_PAO_IF_Ortho_25_07_22_NSTC_Km_107_a_108.tiff&amp;rasterId=10618</v>
      </c>
    </row>
    <row r="206" spans="1:26" x14ac:dyDescent="0.25">
      <c r="A206">
        <v>205</v>
      </c>
      <c r="B206" s="9" t="s">
        <v>1303</v>
      </c>
      <c r="C206" s="9" t="s">
        <v>921</v>
      </c>
      <c r="D206">
        <v>0</v>
      </c>
      <c r="E206">
        <v>1.5840000000000001</v>
      </c>
      <c r="F206">
        <v>1.6500000000000001E-2</v>
      </c>
      <c r="G206" s="12">
        <v>0.26400000000000001</v>
      </c>
      <c r="H206">
        <v>1</v>
      </c>
      <c r="I206" s="9" t="s">
        <v>1305</v>
      </c>
      <c r="J206" s="9" t="s">
        <v>1306</v>
      </c>
      <c r="K206" s="9" t="s">
        <v>1306</v>
      </c>
      <c r="L206">
        <v>278347.98749999999</v>
      </c>
      <c r="M206">
        <v>6471928.2209999999</v>
      </c>
      <c r="N206">
        <v>0</v>
      </c>
      <c r="O206">
        <v>21</v>
      </c>
      <c r="P206">
        <v>45894.594190000003</v>
      </c>
      <c r="Q206" s="9" t="s">
        <v>1980</v>
      </c>
      <c r="R206" s="9" t="s">
        <v>294</v>
      </c>
      <c r="S206" s="9" t="s">
        <v>28</v>
      </c>
      <c r="T206" s="9" t="s">
        <v>29</v>
      </c>
      <c r="U206" s="12">
        <v>45860</v>
      </c>
      <c r="V206" s="12">
        <v>45894</v>
      </c>
      <c r="W206" s="9" t="s">
        <v>30</v>
      </c>
      <c r="X206" s="9" t="s">
        <v>1981</v>
      </c>
      <c r="Y206" s="9">
        <f t="shared" si="9"/>
        <v>10619</v>
      </c>
      <c r="Z206" t="str">
        <f t="shared" si="10"/>
        <v>https://sig.aminerals.cl/imgdyn/rest/services/CL_MLP_PAO/CL_MLP_PAO_IF_Ortho_ALL/ImageServer/file?id=.%5CEl_Mauro_Puerto_Punta_Chungo_Drone%5C25_07_22%5CCL_MLP_PAO_IF_Ortho_25_07_22_NSTC_Km_108_a_109p1.tiff&amp;rasterId=10619</v>
      </c>
    </row>
    <row r="207" spans="1:26" x14ac:dyDescent="0.25">
      <c r="A207">
        <v>206</v>
      </c>
      <c r="B207" s="9" t="s">
        <v>1303</v>
      </c>
      <c r="C207" s="9" t="s">
        <v>922</v>
      </c>
      <c r="D207">
        <v>0</v>
      </c>
      <c r="E207">
        <v>1.5840000000000001</v>
      </c>
      <c r="F207">
        <v>1.0999999999999999E-2</v>
      </c>
      <c r="G207" s="12">
        <v>0.35199999999999998</v>
      </c>
      <c r="H207">
        <v>1</v>
      </c>
      <c r="I207" s="9" t="s">
        <v>1305</v>
      </c>
      <c r="J207" s="9" t="s">
        <v>1306</v>
      </c>
      <c r="K207" s="9" t="s">
        <v>1306</v>
      </c>
      <c r="L207">
        <v>277697.783</v>
      </c>
      <c r="M207">
        <v>6471441.0199999996</v>
      </c>
      <c r="N207">
        <v>0</v>
      </c>
      <c r="O207">
        <v>21</v>
      </c>
      <c r="P207">
        <v>45894.600116000001</v>
      </c>
      <c r="Q207" s="9" t="s">
        <v>1982</v>
      </c>
      <c r="R207" s="9" t="s">
        <v>297</v>
      </c>
      <c r="S207" s="9" t="s">
        <v>28</v>
      </c>
      <c r="T207" s="9" t="s">
        <v>29</v>
      </c>
      <c r="U207" s="12">
        <v>45860</v>
      </c>
      <c r="V207" s="12">
        <v>45894</v>
      </c>
      <c r="W207" s="9" t="s">
        <v>30</v>
      </c>
      <c r="X207" s="9" t="s">
        <v>1983</v>
      </c>
      <c r="Y207" s="9">
        <f t="shared" si="9"/>
        <v>10620</v>
      </c>
      <c r="Z207" t="str">
        <f t="shared" si="10"/>
        <v>https://sig.aminerals.cl/imgdyn/rest/services/CL_MLP_PAO/CL_MLP_PAO_IF_Ortho_ALL/ImageServer/file?id=.%5CEl_Mauro_Puerto_Punta_Chungo_Drone%5C25_07_22%5CCL_MLP_PAO_IF_Ortho_25_07_22_NSTC_Km_109p1_a_110.tiff&amp;rasterId=10620</v>
      </c>
    </row>
    <row r="208" spans="1:26" x14ac:dyDescent="0.25">
      <c r="A208">
        <v>207</v>
      </c>
      <c r="B208" s="9" t="s">
        <v>1303</v>
      </c>
      <c r="C208" s="9" t="s">
        <v>923</v>
      </c>
      <c r="D208">
        <v>0</v>
      </c>
      <c r="E208">
        <v>1.44</v>
      </c>
      <c r="F208">
        <v>1.7999999999999999E-2</v>
      </c>
      <c r="G208" s="12">
        <v>0.14399999999999999</v>
      </c>
      <c r="H208">
        <v>1</v>
      </c>
      <c r="I208" s="9" t="s">
        <v>1305</v>
      </c>
      <c r="J208" s="9" t="s">
        <v>1306</v>
      </c>
      <c r="K208" s="9" t="s">
        <v>1306</v>
      </c>
      <c r="L208">
        <v>276735.56400000001</v>
      </c>
      <c r="M208">
        <v>6471754.7039999999</v>
      </c>
      <c r="N208">
        <v>0</v>
      </c>
      <c r="O208">
        <v>21</v>
      </c>
      <c r="P208">
        <v>45894.593924000001</v>
      </c>
      <c r="Q208" s="9" t="s">
        <v>1984</v>
      </c>
      <c r="R208" s="9" t="s">
        <v>300</v>
      </c>
      <c r="S208" s="9" t="s">
        <v>28</v>
      </c>
      <c r="T208" s="9" t="s">
        <v>29</v>
      </c>
      <c r="U208" s="12">
        <v>45860</v>
      </c>
      <c r="V208" s="12">
        <v>45894</v>
      </c>
      <c r="W208" s="9" t="s">
        <v>30</v>
      </c>
      <c r="X208" s="9" t="s">
        <v>1985</v>
      </c>
      <c r="Y208" s="9">
        <f t="shared" si="9"/>
        <v>10621</v>
      </c>
      <c r="Z208" t="str">
        <f t="shared" si="10"/>
        <v>https://sig.aminerals.cl/imgdyn/rest/services/CL_MLP_PAO/CL_MLP_PAO_IF_Ortho_ALL/ImageServer/file?id=.%5CEl_Mauro_Puerto_Punta_Chungo_Drone%5C25_07_22%5CCL_MLP_PAO_IF_Ortho_25_07_22_NSTC_Km_110_a_111.tiff&amp;rasterId=10621</v>
      </c>
    </row>
    <row r="209" spans="1:26" x14ac:dyDescent="0.25">
      <c r="A209">
        <v>208</v>
      </c>
      <c r="B209" s="9" t="s">
        <v>1303</v>
      </c>
      <c r="C209" s="9" t="s">
        <v>924</v>
      </c>
      <c r="D209">
        <v>0</v>
      </c>
      <c r="E209">
        <v>0.52800000000000002</v>
      </c>
      <c r="F209">
        <v>2.35E-2</v>
      </c>
      <c r="G209" s="12">
        <v>0.188</v>
      </c>
      <c r="H209">
        <v>1</v>
      </c>
      <c r="I209" s="9" t="s">
        <v>1305</v>
      </c>
      <c r="J209" s="9" t="s">
        <v>1306</v>
      </c>
      <c r="K209" s="9" t="s">
        <v>1306</v>
      </c>
      <c r="L209">
        <v>275868.07449999999</v>
      </c>
      <c r="M209">
        <v>6471788.5630000001</v>
      </c>
      <c r="N209">
        <v>0</v>
      </c>
      <c r="O209">
        <v>21</v>
      </c>
      <c r="P209">
        <v>45894.593911999997</v>
      </c>
      <c r="Q209" s="9" t="s">
        <v>1986</v>
      </c>
      <c r="R209" s="9" t="s">
        <v>303</v>
      </c>
      <c r="S209" s="9" t="s">
        <v>28</v>
      </c>
      <c r="T209" s="9" t="s">
        <v>29</v>
      </c>
      <c r="U209" s="12">
        <v>45860</v>
      </c>
      <c r="V209" s="12">
        <v>45894</v>
      </c>
      <c r="W209" s="9" t="s">
        <v>30</v>
      </c>
      <c r="X209" s="9" t="s">
        <v>1987</v>
      </c>
      <c r="Y209" s="9">
        <f t="shared" si="9"/>
        <v>10622</v>
      </c>
      <c r="Z209" t="str">
        <f t="shared" si="10"/>
        <v>https://sig.aminerals.cl/imgdyn/rest/services/CL_MLP_PAO/CL_MLP_PAO_IF_Ortho_ALL/ImageServer/file?id=.%5CEl_Mauro_Puerto_Punta_Chungo_Drone%5C25_07_22%5CCL_MLP_PAO_IF_Ortho_25_07_22_NSTC_Km_111_a_112.tiff&amp;rasterId=10622</v>
      </c>
    </row>
    <row r="210" spans="1:26" x14ac:dyDescent="0.25">
      <c r="A210">
        <v>209</v>
      </c>
      <c r="B210" s="9" t="s">
        <v>1303</v>
      </c>
      <c r="C210" s="9" t="s">
        <v>861</v>
      </c>
      <c r="D210">
        <v>0</v>
      </c>
      <c r="E210">
        <v>0.17599999999999999</v>
      </c>
      <c r="F210">
        <v>1.15E-2</v>
      </c>
      <c r="G210" s="12">
        <v>9.1999999999999998E-2</v>
      </c>
      <c r="H210">
        <v>1</v>
      </c>
      <c r="I210" s="9" t="s">
        <v>1305</v>
      </c>
      <c r="J210" s="9" t="s">
        <v>1306</v>
      </c>
      <c r="K210" s="9" t="s">
        <v>1306</v>
      </c>
      <c r="L210">
        <v>263876.97600000002</v>
      </c>
      <c r="M210">
        <v>6469658.1090000002</v>
      </c>
      <c r="N210">
        <v>0</v>
      </c>
      <c r="O210">
        <v>21</v>
      </c>
      <c r="P210">
        <v>45894.594687999997</v>
      </c>
      <c r="Q210" s="9" t="s">
        <v>1988</v>
      </c>
      <c r="R210" s="9" t="s">
        <v>27</v>
      </c>
      <c r="S210" s="9" t="s">
        <v>28</v>
      </c>
      <c r="T210" s="9" t="s">
        <v>29</v>
      </c>
      <c r="U210" s="12">
        <v>45665</v>
      </c>
      <c r="V210" s="12">
        <v>45894</v>
      </c>
      <c r="W210" s="9" t="s">
        <v>30</v>
      </c>
      <c r="X210" s="9" t="s">
        <v>1989</v>
      </c>
      <c r="Y210" s="9">
        <f t="shared" si="9"/>
        <v>10623</v>
      </c>
      <c r="Z210" t="str">
        <f t="shared" si="10"/>
        <v>https://sig.aminerals.cl/imgdyn/rest/services/CL_MLP_PAO/CL_MLP_PAO_IF_Ortho_ALL/ImageServer/file?id=.%5CPuerto_Punta_Chungo_Drone%5C25_01_08%5CCL_MLP_PAO_IF_Ortho_25_01_08_EB1.tif&amp;rasterId=10623</v>
      </c>
    </row>
    <row r="211" spans="1:26" x14ac:dyDescent="0.25">
      <c r="A211">
        <v>210</v>
      </c>
      <c r="B211" s="9" t="s">
        <v>1303</v>
      </c>
      <c r="C211" s="9" t="s">
        <v>1990</v>
      </c>
      <c r="D211">
        <v>0</v>
      </c>
      <c r="E211">
        <v>1.5840000000000001</v>
      </c>
      <c r="F211">
        <v>1.9998999999999999E-2</v>
      </c>
      <c r="G211" s="12">
        <v>0.15999400462963001</v>
      </c>
      <c r="H211">
        <v>1</v>
      </c>
      <c r="I211" s="9" t="s">
        <v>1305</v>
      </c>
      <c r="J211" s="9" t="s">
        <v>1306</v>
      </c>
      <c r="K211" s="9" t="s">
        <v>1306</v>
      </c>
      <c r="L211">
        <v>263886.54998100002</v>
      </c>
      <c r="M211">
        <v>6469962.8035810003</v>
      </c>
      <c r="N211">
        <v>0</v>
      </c>
      <c r="O211">
        <v>21</v>
      </c>
      <c r="P211">
        <v>45894.593934999997</v>
      </c>
      <c r="Q211" s="9" t="s">
        <v>1991</v>
      </c>
      <c r="R211" s="9" t="s">
        <v>143</v>
      </c>
      <c r="S211" s="9" t="s">
        <v>28</v>
      </c>
      <c r="T211" s="9" t="s">
        <v>29</v>
      </c>
      <c r="U211" s="12">
        <v>45789</v>
      </c>
      <c r="V211" s="12">
        <v>45894</v>
      </c>
      <c r="W211" s="9" t="s">
        <v>30</v>
      </c>
      <c r="X211" s="9" t="s">
        <v>1992</v>
      </c>
      <c r="Y211" s="9">
        <f t="shared" si="9"/>
        <v>10624</v>
      </c>
      <c r="Z211" t="str">
        <f t="shared" si="10"/>
        <v>https://sig.aminerals.cl/imgdyn/rest/services/CL_MLP_PAO/CL_MLP_PAO_IF_Ortho_ALL/ImageServer/file?id=.%5CPuerto_Punta_Chungo_Drone%5C25_05_12%5CCL_MLP_PAO_IF_Ortho_25_05_12_EDT-Completa-01.tif&amp;rasterId=10624</v>
      </c>
    </row>
    <row r="212" spans="1:26" x14ac:dyDescent="0.25">
      <c r="A212">
        <v>211</v>
      </c>
      <c r="B212" s="9" t="s">
        <v>1303</v>
      </c>
      <c r="C212" s="9" t="s">
        <v>1993</v>
      </c>
      <c r="D212">
        <v>0</v>
      </c>
      <c r="E212">
        <v>0.52800000000000002</v>
      </c>
      <c r="F212">
        <v>1.9998999999999999E-2</v>
      </c>
      <c r="G212" s="12">
        <v>7.9995995370370401E-2</v>
      </c>
      <c r="H212">
        <v>1</v>
      </c>
      <c r="I212" s="9" t="s">
        <v>1305</v>
      </c>
      <c r="J212" s="9" t="s">
        <v>1306</v>
      </c>
      <c r="K212" s="9" t="s">
        <v>1306</v>
      </c>
      <c r="L212">
        <v>263785.96242300002</v>
      </c>
      <c r="M212">
        <v>6469848.4849749999</v>
      </c>
      <c r="N212">
        <v>0</v>
      </c>
      <c r="O212">
        <v>21</v>
      </c>
      <c r="P212">
        <v>45894.593947000001</v>
      </c>
      <c r="Q212" s="9" t="s">
        <v>1994</v>
      </c>
      <c r="R212" s="9" t="s">
        <v>146</v>
      </c>
      <c r="S212" s="9" t="s">
        <v>28</v>
      </c>
      <c r="T212" s="9" t="s">
        <v>29</v>
      </c>
      <c r="U212" s="12">
        <v>45789</v>
      </c>
      <c r="V212" s="12">
        <v>45894</v>
      </c>
      <c r="W212" s="9" t="s">
        <v>30</v>
      </c>
      <c r="X212" s="9" t="s">
        <v>1995</v>
      </c>
      <c r="Y212" s="9">
        <f t="shared" si="9"/>
        <v>10625</v>
      </c>
      <c r="Z212" t="str">
        <f t="shared" si="10"/>
        <v>https://sig.aminerals.cl/imgdyn/rest/services/CL_MLP_PAO/CL_MLP_PAO_IF_Ortho_ALL/ImageServer/file?id=.%5CPuerto_Punta_Chungo_Drone%5C25_05_12%5CCL_MLP_PAO_IF_Ortho_25_05_12_EDT-Completa-02.tif&amp;rasterId=10625</v>
      </c>
    </row>
    <row r="213" spans="1:26" x14ac:dyDescent="0.25">
      <c r="A213">
        <v>212</v>
      </c>
      <c r="B213" s="9" t="s">
        <v>1303</v>
      </c>
      <c r="C213" s="9" t="s">
        <v>1996</v>
      </c>
      <c r="D213">
        <v>0</v>
      </c>
      <c r="E213">
        <v>0.52800000000000002</v>
      </c>
      <c r="F213">
        <v>1.9998999999999999E-2</v>
      </c>
      <c r="G213" s="12">
        <v>0.15999400462963001</v>
      </c>
      <c r="H213">
        <v>1</v>
      </c>
      <c r="I213" s="9" t="s">
        <v>1305</v>
      </c>
      <c r="J213" s="9" t="s">
        <v>1306</v>
      </c>
      <c r="K213" s="9" t="s">
        <v>1306</v>
      </c>
      <c r="L213">
        <v>263720.61405999999</v>
      </c>
      <c r="M213">
        <v>6469743.6375489999</v>
      </c>
      <c r="N213">
        <v>0</v>
      </c>
      <c r="O213">
        <v>21</v>
      </c>
      <c r="P213">
        <v>45894.593957999998</v>
      </c>
      <c r="Q213" s="9" t="s">
        <v>1997</v>
      </c>
      <c r="R213" s="9" t="s">
        <v>149</v>
      </c>
      <c r="S213" s="9" t="s">
        <v>28</v>
      </c>
      <c r="T213" s="9" t="s">
        <v>29</v>
      </c>
      <c r="U213" s="12">
        <v>45789</v>
      </c>
      <c r="V213" s="12">
        <v>45894</v>
      </c>
      <c r="W213" s="9" t="s">
        <v>30</v>
      </c>
      <c r="X213" s="9" t="s">
        <v>1998</v>
      </c>
      <c r="Y213" s="9">
        <f t="shared" si="9"/>
        <v>10626</v>
      </c>
      <c r="Z213" t="str">
        <f t="shared" si="10"/>
        <v>https://sig.aminerals.cl/imgdyn/rest/services/CL_MLP_PAO/CL_MLP_PAO_IF_Ortho_ALL/ImageServer/file?id=.%5CPuerto_Punta_Chungo_Drone%5C25_05_12%5CCL_MLP_PAO_IF_Ortho_25_05_12_EDT-Completa-03.tif&amp;rasterId=10626</v>
      </c>
    </row>
    <row r="214" spans="1:26" x14ac:dyDescent="0.25">
      <c r="A214">
        <v>213</v>
      </c>
      <c r="B214" s="9" t="s">
        <v>1303</v>
      </c>
      <c r="C214" s="9" t="s">
        <v>1999</v>
      </c>
      <c r="D214">
        <v>0</v>
      </c>
      <c r="E214">
        <v>0.52800000000000002</v>
      </c>
      <c r="F214">
        <v>1.9998999999999999E-2</v>
      </c>
      <c r="G214" s="12">
        <v>7.9995995370370401E-2</v>
      </c>
      <c r="H214">
        <v>1</v>
      </c>
      <c r="I214" s="9" t="s">
        <v>1305</v>
      </c>
      <c r="J214" s="9" t="s">
        <v>1306</v>
      </c>
      <c r="K214" s="9" t="s">
        <v>1306</v>
      </c>
      <c r="L214">
        <v>263669.05657700001</v>
      </c>
      <c r="M214">
        <v>6469650.1307140002</v>
      </c>
      <c r="N214">
        <v>0</v>
      </c>
      <c r="O214">
        <v>21</v>
      </c>
      <c r="P214">
        <v>45894.593970000002</v>
      </c>
      <c r="Q214" s="9" t="s">
        <v>2000</v>
      </c>
      <c r="R214" s="9" t="s">
        <v>152</v>
      </c>
      <c r="S214" s="9" t="s">
        <v>28</v>
      </c>
      <c r="T214" s="9" t="s">
        <v>29</v>
      </c>
      <c r="U214" s="12">
        <v>45789</v>
      </c>
      <c r="V214" s="12">
        <v>45894</v>
      </c>
      <c r="W214" s="9" t="s">
        <v>30</v>
      </c>
      <c r="X214" s="9" t="s">
        <v>2001</v>
      </c>
      <c r="Y214" s="9">
        <f t="shared" si="9"/>
        <v>10627</v>
      </c>
      <c r="Z214" t="str">
        <f t="shared" si="10"/>
        <v>https://sig.aminerals.cl/imgdyn/rest/services/CL_MLP_PAO/CL_MLP_PAO_IF_Ortho_ALL/ImageServer/file?id=.%5CPuerto_Punta_Chungo_Drone%5C25_05_12%5CCL_MLP_PAO_IF_Ortho_25_05_12_EDT-Completa-04.tif&amp;rasterId=10627</v>
      </c>
    </row>
    <row r="215" spans="1:26" x14ac:dyDescent="0.25">
      <c r="A215">
        <v>214</v>
      </c>
      <c r="B215" s="9" t="s">
        <v>1303</v>
      </c>
      <c r="C215" s="9" t="s">
        <v>2002</v>
      </c>
      <c r="D215">
        <v>0</v>
      </c>
      <c r="E215">
        <v>0.52800000000000002</v>
      </c>
      <c r="F215">
        <v>1.9998999999999999E-2</v>
      </c>
      <c r="G215" s="12">
        <v>7.9995995370370401E-2</v>
      </c>
      <c r="H215">
        <v>1</v>
      </c>
      <c r="I215" s="9" t="s">
        <v>1305</v>
      </c>
      <c r="J215" s="9" t="s">
        <v>1306</v>
      </c>
      <c r="K215" s="9" t="s">
        <v>1306</v>
      </c>
      <c r="L215">
        <v>263638.38334499998</v>
      </c>
      <c r="M215">
        <v>6469556.2699279999</v>
      </c>
      <c r="N215">
        <v>0</v>
      </c>
      <c r="O215">
        <v>21</v>
      </c>
      <c r="P215">
        <v>45894.593981999999</v>
      </c>
      <c r="Q215" s="9" t="s">
        <v>2003</v>
      </c>
      <c r="R215" s="9" t="s">
        <v>155</v>
      </c>
      <c r="S215" s="9" t="s">
        <v>28</v>
      </c>
      <c r="T215" s="9" t="s">
        <v>29</v>
      </c>
      <c r="U215" s="12">
        <v>45789</v>
      </c>
      <c r="V215" s="12">
        <v>45894</v>
      </c>
      <c r="W215" s="9" t="s">
        <v>30</v>
      </c>
      <c r="X215" s="9" t="s">
        <v>2004</v>
      </c>
      <c r="Y215" s="9">
        <f t="shared" si="9"/>
        <v>10628</v>
      </c>
      <c r="Z215" t="str">
        <f t="shared" si="10"/>
        <v>https://sig.aminerals.cl/imgdyn/rest/services/CL_MLP_PAO/CL_MLP_PAO_IF_Ortho_ALL/ImageServer/file?id=.%5CPuerto_Punta_Chungo_Drone%5C25_05_12%5CCL_MLP_PAO_IF_Ortho_25_05_12_EDT-Completa-05.tif&amp;rasterId=10628</v>
      </c>
    </row>
    <row r="216" spans="1:26" x14ac:dyDescent="0.25">
      <c r="A216">
        <v>215</v>
      </c>
      <c r="B216" s="9" t="s">
        <v>1303</v>
      </c>
      <c r="C216" s="9" t="s">
        <v>2005</v>
      </c>
      <c r="D216">
        <v>0</v>
      </c>
      <c r="E216">
        <v>0.17599999999999999</v>
      </c>
      <c r="F216">
        <v>1.9998999999999999E-2</v>
      </c>
      <c r="G216" s="12">
        <v>7.9997997685185201E-2</v>
      </c>
      <c r="H216">
        <v>1</v>
      </c>
      <c r="I216" s="9" t="s">
        <v>1305</v>
      </c>
      <c r="J216" s="9" t="s">
        <v>1306</v>
      </c>
      <c r="K216" s="9" t="s">
        <v>1306</v>
      </c>
      <c r="L216">
        <v>263616.19696799997</v>
      </c>
      <c r="M216">
        <v>6469491.8671920002</v>
      </c>
      <c r="N216">
        <v>0</v>
      </c>
      <c r="O216">
        <v>21</v>
      </c>
      <c r="P216">
        <v>45894.593993000002</v>
      </c>
      <c r="Q216" s="9" t="s">
        <v>2006</v>
      </c>
      <c r="R216" s="9" t="s">
        <v>158</v>
      </c>
      <c r="S216" s="9" t="s">
        <v>28</v>
      </c>
      <c r="T216" s="9" t="s">
        <v>29</v>
      </c>
      <c r="U216" s="12">
        <v>45789</v>
      </c>
      <c r="V216" s="12">
        <v>45894</v>
      </c>
      <c r="W216" s="9" t="s">
        <v>30</v>
      </c>
      <c r="X216" s="9" t="s">
        <v>2007</v>
      </c>
      <c r="Y216" s="9">
        <f t="shared" si="9"/>
        <v>10629</v>
      </c>
      <c r="Z216" t="str">
        <f t="shared" si="10"/>
        <v>https://sig.aminerals.cl/imgdyn/rest/services/CL_MLP_PAO/CL_MLP_PAO_IF_Ortho_ALL/ImageServer/file?id=.%5CPuerto_Punta_Chungo_Drone%5C25_05_12%5CCL_MLP_PAO_IF_Ortho_25_05_12_EDT-Completa-06.tif&amp;rasterId=10629</v>
      </c>
    </row>
    <row r="217" spans="1:26" x14ac:dyDescent="0.25">
      <c r="A217">
        <v>216</v>
      </c>
      <c r="B217" s="9" t="s">
        <v>1303</v>
      </c>
      <c r="C217" s="9" t="s">
        <v>931</v>
      </c>
      <c r="D217">
        <v>0</v>
      </c>
      <c r="E217">
        <v>0.52800000000000002</v>
      </c>
      <c r="F217">
        <v>1.8499999999999999E-2</v>
      </c>
      <c r="G217" s="12">
        <v>0.29599999999999999</v>
      </c>
      <c r="H217">
        <v>1</v>
      </c>
      <c r="I217" s="9" t="s">
        <v>1305</v>
      </c>
      <c r="J217" s="9" t="s">
        <v>1306</v>
      </c>
      <c r="K217" s="9" t="s">
        <v>1306</v>
      </c>
      <c r="L217">
        <v>306502.48700000002</v>
      </c>
      <c r="M217">
        <v>6463542.3210000005</v>
      </c>
      <c r="N217">
        <v>0</v>
      </c>
      <c r="O217">
        <v>23</v>
      </c>
      <c r="P217">
        <v>45901.947395000003</v>
      </c>
      <c r="Q217" s="9" t="s">
        <v>2008</v>
      </c>
      <c r="R217" s="9" t="s">
        <v>323</v>
      </c>
      <c r="S217" s="9" t="s">
        <v>28</v>
      </c>
      <c r="T217" s="9" t="s">
        <v>29</v>
      </c>
      <c r="U217" s="12">
        <v>45895</v>
      </c>
      <c r="V217" s="12">
        <v>45897</v>
      </c>
      <c r="W217" s="9" t="s">
        <v>30</v>
      </c>
      <c r="X217" s="9" t="s">
        <v>2009</v>
      </c>
      <c r="Y217" s="9">
        <f t="shared" si="9"/>
        <v>11276</v>
      </c>
      <c r="Z217" t="str">
        <f t="shared" si="10"/>
        <v>https://sig.aminerals.cl/imgdyn/rest/services/CL_MLP_PAO/CL_MLP_PAO_IF_Ortho_ALL/ImageServer/file?id=.%5CEl_Mauro_Drone%5C25_08_26%5CCL_MLP_PAO_IF_Ortho_25_08_26_Linea_33_kV_NorteElMauro_Area5_5.tiff&amp;rasterId=11276</v>
      </c>
    </row>
    <row r="218" spans="1:26" x14ac:dyDescent="0.25">
      <c r="A218">
        <v>217</v>
      </c>
      <c r="B218" s="9" t="s">
        <v>1303</v>
      </c>
      <c r="C218" s="9" t="s">
        <v>932</v>
      </c>
      <c r="D218">
        <v>0</v>
      </c>
      <c r="E218">
        <v>0.52800000000000002</v>
      </c>
      <c r="F218">
        <v>1.7999999999999999E-2</v>
      </c>
      <c r="G218" s="12">
        <v>0.28799999999999998</v>
      </c>
      <c r="H218">
        <v>1</v>
      </c>
      <c r="I218" s="9" t="s">
        <v>1305</v>
      </c>
      <c r="J218" s="9" t="s">
        <v>1306</v>
      </c>
      <c r="K218" s="9" t="s">
        <v>1306</v>
      </c>
      <c r="L218">
        <v>306938.71799999999</v>
      </c>
      <c r="M218">
        <v>6463349.7479999997</v>
      </c>
      <c r="N218">
        <v>0</v>
      </c>
      <c r="O218">
        <v>23</v>
      </c>
      <c r="P218">
        <v>45901.947397000004</v>
      </c>
      <c r="Q218" s="9" t="s">
        <v>2010</v>
      </c>
      <c r="R218" s="9" t="s">
        <v>325</v>
      </c>
      <c r="S218" s="9" t="s">
        <v>28</v>
      </c>
      <c r="T218" s="9" t="s">
        <v>29</v>
      </c>
      <c r="U218" s="12">
        <v>45895</v>
      </c>
      <c r="V218" s="12">
        <v>45897</v>
      </c>
      <c r="W218" s="9" t="s">
        <v>30</v>
      </c>
      <c r="X218" s="9" t="s">
        <v>2011</v>
      </c>
      <c r="Y218" s="9">
        <f t="shared" si="9"/>
        <v>11277</v>
      </c>
      <c r="Z218" t="str">
        <f t="shared" si="10"/>
        <v>https://sig.aminerals.cl/imgdyn/rest/services/CL_MLP_PAO/CL_MLP_PAO_IF_Ortho_ALL/ImageServer/file?id=.%5CEl_Mauro_Drone%5C25_08_26%5CCL_MLP_PAO_IF_Ortho_25_08_26_Linea_33_kV_NorteElMauro_Area6_6.tiff&amp;rasterId=11277</v>
      </c>
    </row>
    <row r="219" spans="1:26" x14ac:dyDescent="0.25">
      <c r="A219">
        <v>218</v>
      </c>
      <c r="B219" s="9" t="s">
        <v>1303</v>
      </c>
      <c r="C219" s="9" t="s">
        <v>933</v>
      </c>
      <c r="D219">
        <v>0</v>
      </c>
      <c r="E219">
        <v>0.52800000000000002</v>
      </c>
      <c r="F219">
        <v>1.6500000000000001E-2</v>
      </c>
      <c r="G219" s="12">
        <v>0.26400000000000001</v>
      </c>
      <c r="H219">
        <v>1</v>
      </c>
      <c r="I219" s="9" t="s">
        <v>1305</v>
      </c>
      <c r="J219" s="9" t="s">
        <v>1306</v>
      </c>
      <c r="K219" s="9" t="s">
        <v>1306</v>
      </c>
      <c r="L219">
        <v>305524.97249999997</v>
      </c>
      <c r="M219">
        <v>6463812.5475000003</v>
      </c>
      <c r="N219">
        <v>0</v>
      </c>
      <c r="O219">
        <v>24</v>
      </c>
      <c r="P219">
        <v>45901.947399999997</v>
      </c>
      <c r="Q219" s="9" t="s">
        <v>2012</v>
      </c>
      <c r="R219" s="9" t="s">
        <v>327</v>
      </c>
      <c r="S219" s="9" t="s">
        <v>28</v>
      </c>
      <c r="T219" s="9" t="s">
        <v>29</v>
      </c>
      <c r="U219" s="12">
        <v>45896</v>
      </c>
      <c r="V219" s="12">
        <v>45897</v>
      </c>
      <c r="W219" s="9" t="s">
        <v>30</v>
      </c>
      <c r="X219" s="9" t="s">
        <v>2013</v>
      </c>
      <c r="Y219" s="9">
        <f t="shared" si="9"/>
        <v>12277</v>
      </c>
      <c r="Z219" t="str">
        <f t="shared" si="10"/>
        <v>https://sig.aminerals.cl/imgdyn/rest/services/CL_MLP_PAO/CL_MLP_PAO_IF_Ortho_ALL/ImageServer/file?id=.%5CEl_Mauro_Drone%5C25_08_28%5CCL_MLP_PAO_IF_Ortho_25_08_28_Linea_33_kV_NorteElMauro_Area3_3.tiff&amp;rasterId=12277</v>
      </c>
    </row>
    <row r="220" spans="1:26" x14ac:dyDescent="0.25">
      <c r="A220">
        <v>219</v>
      </c>
      <c r="B220" s="9" t="s">
        <v>1303</v>
      </c>
      <c r="C220" s="9" t="s">
        <v>934</v>
      </c>
      <c r="D220">
        <v>0</v>
      </c>
      <c r="E220">
        <v>0.52800000000000002</v>
      </c>
      <c r="F220">
        <v>1.8499999999999999E-2</v>
      </c>
      <c r="G220" s="12">
        <v>0.29599999999999999</v>
      </c>
      <c r="H220">
        <v>1</v>
      </c>
      <c r="I220" s="9" t="s">
        <v>1305</v>
      </c>
      <c r="J220" s="9" t="s">
        <v>1306</v>
      </c>
      <c r="K220" s="9" t="s">
        <v>1306</v>
      </c>
      <c r="L220">
        <v>306010.83100000001</v>
      </c>
      <c r="M220">
        <v>6463734.1475</v>
      </c>
      <c r="N220">
        <v>0</v>
      </c>
      <c r="O220">
        <v>24</v>
      </c>
      <c r="P220">
        <v>45901.947400999998</v>
      </c>
      <c r="Q220" s="9" t="s">
        <v>2014</v>
      </c>
      <c r="R220" s="9" t="s">
        <v>329</v>
      </c>
      <c r="S220" s="9" t="s">
        <v>28</v>
      </c>
      <c r="T220" s="9" t="s">
        <v>29</v>
      </c>
      <c r="U220" s="12">
        <v>45896</v>
      </c>
      <c r="V220" s="12">
        <v>45897</v>
      </c>
      <c r="W220" s="9" t="s">
        <v>30</v>
      </c>
      <c r="X220" s="9" t="s">
        <v>2015</v>
      </c>
      <c r="Y220" s="9">
        <f t="shared" si="9"/>
        <v>12278</v>
      </c>
      <c r="Z220" t="str">
        <f t="shared" si="10"/>
        <v>https://sig.aminerals.cl/imgdyn/rest/services/CL_MLP_PAO/CL_MLP_PAO_IF_Ortho_ALL/ImageServer/file?id=.%5CEl_Mauro_Drone%5C25_08_28%5CCL_MLP_PAO_IF_Ortho_25_08_28_Linea_33_kV_NorteElMauro_Area4_4.tiff&amp;rasterId=12278</v>
      </c>
    </row>
    <row r="221" spans="1:26" x14ac:dyDescent="0.25">
      <c r="A221">
        <v>220</v>
      </c>
      <c r="B221" s="9" t="s">
        <v>1303</v>
      </c>
      <c r="C221" s="9" t="s">
        <v>2016</v>
      </c>
      <c r="D221">
        <v>0</v>
      </c>
      <c r="E221">
        <v>0.52800000000000002</v>
      </c>
      <c r="F221">
        <v>1.7999999999999999E-2</v>
      </c>
      <c r="G221" s="12">
        <v>0.28799999999999998</v>
      </c>
      <c r="H221">
        <v>1</v>
      </c>
      <c r="I221" s="9" t="s">
        <v>1305</v>
      </c>
      <c r="J221" s="9" t="s">
        <v>1306</v>
      </c>
      <c r="K221" s="9" t="s">
        <v>1306</v>
      </c>
      <c r="L221">
        <v>301218.24599999998</v>
      </c>
      <c r="M221">
        <v>6461586.9359999998</v>
      </c>
      <c r="N221">
        <v>0</v>
      </c>
      <c r="O221">
        <v>26</v>
      </c>
      <c r="P221">
        <v>45903.63235</v>
      </c>
      <c r="Q221" s="9" t="s">
        <v>2017</v>
      </c>
      <c r="R221" s="9" t="s">
        <v>2016</v>
      </c>
      <c r="S221" s="9" t="s">
        <v>28</v>
      </c>
      <c r="T221" s="9" t="s">
        <v>29</v>
      </c>
      <c r="U221" s="12">
        <v>45902</v>
      </c>
      <c r="V221" s="12">
        <v>45903</v>
      </c>
      <c r="W221" s="9" t="s">
        <v>30</v>
      </c>
      <c r="X221" s="9" t="s">
        <v>2018</v>
      </c>
      <c r="Y221" s="9">
        <f t="shared" si="9"/>
        <v>12888</v>
      </c>
      <c r="Z221" t="str">
        <f t="shared" si="10"/>
        <v>https://sig.aminerals.cl/imgdyn/rest/services/CL_MLP_PAO/CL_MLP_PAO_IF_Ortho_ALL/ImageServer/file?id=.%5CEl_Mauro_Puerto_Punta_Chungo_Drone%5C25_08_28%5CCL_MLP_PAO_IF_Ortho_25_08_28_DME5C_DME_16_a_NSTC_79p4.tiff&amp;rasterId=12888</v>
      </c>
    </row>
    <row r="222" spans="1:26" x14ac:dyDescent="0.25">
      <c r="A222">
        <v>221</v>
      </c>
      <c r="B222" s="9" t="s">
        <v>1303</v>
      </c>
      <c r="C222" s="9" t="s">
        <v>2019</v>
      </c>
      <c r="D222">
        <v>0</v>
      </c>
      <c r="E222">
        <v>1.5840000000000001</v>
      </c>
      <c r="F222">
        <v>1.7500000000000002E-2</v>
      </c>
      <c r="G222">
        <v>0.56000000000000005</v>
      </c>
      <c r="H222">
        <v>1</v>
      </c>
      <c r="I222" s="9" t="s">
        <v>1305</v>
      </c>
      <c r="J222" s="9" t="s">
        <v>1306</v>
      </c>
      <c r="K222" s="9" t="s">
        <v>1306</v>
      </c>
      <c r="L222">
        <v>302715</v>
      </c>
      <c r="M222">
        <v>6461956.7249999996</v>
      </c>
      <c r="N222">
        <v>0</v>
      </c>
      <c r="O222">
        <v>26</v>
      </c>
      <c r="P222">
        <v>45903.632356000002</v>
      </c>
      <c r="Q222" s="9" t="s">
        <v>2020</v>
      </c>
      <c r="R222" s="9" t="s">
        <v>2019</v>
      </c>
      <c r="S222" s="9" t="s">
        <v>28</v>
      </c>
      <c r="T222" s="9" t="s">
        <v>29</v>
      </c>
      <c r="U222" s="12">
        <v>45902</v>
      </c>
      <c r="V222" s="12">
        <v>45903</v>
      </c>
      <c r="W222" s="9" t="s">
        <v>30</v>
      </c>
      <c r="X222" s="9" t="s">
        <v>2021</v>
      </c>
      <c r="Y222" s="9">
        <f t="shared" si="9"/>
        <v>12889</v>
      </c>
      <c r="Z222" t="str">
        <f t="shared" si="10"/>
        <v>https://sig.aminerals.cl/imgdyn/rest/services/CL_MLP_PAO/CL_MLP_PAO_IF_Ortho_ALL/ImageServer/file?id=.%5CEl_Mauro_Puerto_Punta_Chungo_Drone%5C25_08_28%5CCL_MLP_PAO_IF_Ortho_25_08_28_Instalacion_FaenaN15_Alrededores_Tipay_2.tiff&amp;rasterId=12889</v>
      </c>
    </row>
    <row r="224" spans="1:26" x14ac:dyDescent="0.25">
      <c r="A224" t="s">
        <v>2022</v>
      </c>
    </row>
    <row r="225" spans="1:22" x14ac:dyDescent="0.25">
      <c r="A225" t="s">
        <v>3</v>
      </c>
      <c r="B225" s="9" t="s">
        <v>1283</v>
      </c>
      <c r="U225" s="12"/>
      <c r="V225" s="12"/>
    </row>
    <row r="226" spans="1:22" x14ac:dyDescent="0.25">
      <c r="A226" t="s">
        <v>865</v>
      </c>
      <c r="B226">
        <v>10536</v>
      </c>
      <c r="U226" s="12"/>
      <c r="V226" s="12"/>
    </row>
    <row r="227" spans="1:22" x14ac:dyDescent="0.25">
      <c r="A227" t="s">
        <v>1793</v>
      </c>
      <c r="B227">
        <v>10537</v>
      </c>
      <c r="U227" s="12"/>
      <c r="V227" s="12"/>
    </row>
    <row r="228" spans="1:22" x14ac:dyDescent="0.25">
      <c r="A228" t="s">
        <v>1796</v>
      </c>
      <c r="B228">
        <v>10538</v>
      </c>
      <c r="U228" s="12"/>
      <c r="V228" s="12"/>
    </row>
    <row r="229" spans="1:22" x14ac:dyDescent="0.25">
      <c r="A229" t="s">
        <v>862</v>
      </c>
      <c r="B229">
        <v>10539</v>
      </c>
      <c r="U229" s="12"/>
      <c r="V229" s="12"/>
    </row>
    <row r="230" spans="1:22" x14ac:dyDescent="0.25">
      <c r="A230" t="s">
        <v>872</v>
      </c>
      <c r="B230">
        <v>10540</v>
      </c>
      <c r="U230" s="12"/>
      <c r="V230" s="12"/>
    </row>
    <row r="231" spans="1:22" x14ac:dyDescent="0.25">
      <c r="A231" t="s">
        <v>873</v>
      </c>
      <c r="B231">
        <v>10541</v>
      </c>
      <c r="U231" s="12"/>
      <c r="V231" s="12"/>
    </row>
    <row r="232" spans="1:22" x14ac:dyDescent="0.25">
      <c r="A232" t="s">
        <v>874</v>
      </c>
      <c r="B232">
        <v>10542</v>
      </c>
      <c r="U232" s="12"/>
      <c r="V232" s="12"/>
    </row>
    <row r="233" spans="1:22" x14ac:dyDescent="0.25">
      <c r="A233" t="s">
        <v>1807</v>
      </c>
      <c r="B233">
        <v>10543</v>
      </c>
      <c r="U233" s="12"/>
      <c r="V233" s="12"/>
    </row>
    <row r="234" spans="1:22" x14ac:dyDescent="0.25">
      <c r="A234" t="s">
        <v>1810</v>
      </c>
      <c r="B234">
        <v>10544</v>
      </c>
      <c r="U234" s="12"/>
      <c r="V234" s="12"/>
    </row>
    <row r="235" spans="1:22" x14ac:dyDescent="0.25">
      <c r="A235" t="s">
        <v>1813</v>
      </c>
      <c r="B235">
        <v>10545</v>
      </c>
      <c r="U235" s="12"/>
      <c r="V235" s="12"/>
    </row>
    <row r="236" spans="1:22" x14ac:dyDescent="0.25">
      <c r="A236" t="s">
        <v>883</v>
      </c>
      <c r="B236">
        <v>10546</v>
      </c>
      <c r="U236" s="12"/>
      <c r="V236" s="12"/>
    </row>
    <row r="237" spans="1:22" x14ac:dyDescent="0.25">
      <c r="A237" t="s">
        <v>884</v>
      </c>
      <c r="B237">
        <v>10547</v>
      </c>
      <c r="U237" s="12"/>
      <c r="V237" s="12"/>
    </row>
    <row r="238" spans="1:22" x14ac:dyDescent="0.25">
      <c r="A238" t="s">
        <v>885</v>
      </c>
      <c r="B238">
        <v>10548</v>
      </c>
      <c r="U238" s="12"/>
      <c r="V238" s="12"/>
    </row>
    <row r="239" spans="1:22" x14ac:dyDescent="0.25">
      <c r="A239" t="s">
        <v>889</v>
      </c>
      <c r="B239">
        <v>10549</v>
      </c>
      <c r="U239" s="12"/>
      <c r="V239" s="12"/>
    </row>
    <row r="240" spans="1:22" x14ac:dyDescent="0.25">
      <c r="A240" t="s">
        <v>890</v>
      </c>
      <c r="B240">
        <v>10550</v>
      </c>
      <c r="Q240" s="13"/>
      <c r="U240" s="12"/>
      <c r="V240" s="12"/>
    </row>
    <row r="241" spans="1:22" x14ac:dyDescent="0.25">
      <c r="A241" t="s">
        <v>897</v>
      </c>
      <c r="B241">
        <v>10551</v>
      </c>
      <c r="U241" s="12"/>
      <c r="V241" s="12"/>
    </row>
    <row r="242" spans="1:22" x14ac:dyDescent="0.25">
      <c r="A242" t="s">
        <v>901</v>
      </c>
      <c r="B242">
        <v>10552</v>
      </c>
      <c r="U242" s="12"/>
      <c r="V242" s="12"/>
    </row>
    <row r="243" spans="1:22" x14ac:dyDescent="0.25">
      <c r="A243" t="s">
        <v>898</v>
      </c>
      <c r="B243">
        <v>10553</v>
      </c>
      <c r="U243" s="12"/>
      <c r="V243" s="12"/>
    </row>
    <row r="244" spans="1:22" x14ac:dyDescent="0.25">
      <c r="A244" t="s">
        <v>899</v>
      </c>
      <c r="B244">
        <v>10554</v>
      </c>
      <c r="U244" s="12"/>
      <c r="V244" s="12"/>
    </row>
    <row r="245" spans="1:22" x14ac:dyDescent="0.25">
      <c r="A245" t="s">
        <v>900</v>
      </c>
      <c r="B245">
        <v>10555</v>
      </c>
      <c r="U245" s="12"/>
      <c r="V245" s="12"/>
    </row>
    <row r="246" spans="1:22" x14ac:dyDescent="0.25">
      <c r="A246" t="s">
        <v>907</v>
      </c>
      <c r="B246">
        <v>10556</v>
      </c>
      <c r="U246" s="12"/>
      <c r="V246" s="12"/>
    </row>
    <row r="247" spans="1:22" x14ac:dyDescent="0.25">
      <c r="A247" t="s">
        <v>908</v>
      </c>
      <c r="B247">
        <v>10557</v>
      </c>
      <c r="U247" s="12"/>
      <c r="V247" s="12"/>
    </row>
    <row r="248" spans="1:22" x14ac:dyDescent="0.25">
      <c r="A248" t="s">
        <v>909</v>
      </c>
      <c r="B248">
        <v>10558</v>
      </c>
      <c r="U248" s="12"/>
      <c r="V248" s="12"/>
    </row>
    <row r="249" spans="1:22" x14ac:dyDescent="0.25">
      <c r="A249" t="s">
        <v>910</v>
      </c>
      <c r="B249">
        <v>10559</v>
      </c>
      <c r="U249" s="12"/>
      <c r="V249" s="12"/>
    </row>
    <row r="250" spans="1:22" x14ac:dyDescent="0.25">
      <c r="A250" t="s">
        <v>911</v>
      </c>
      <c r="B250">
        <v>10560</v>
      </c>
      <c r="U250" s="12"/>
      <c r="V250" s="12"/>
    </row>
    <row r="251" spans="1:22" x14ac:dyDescent="0.25">
      <c r="A251" t="s">
        <v>875</v>
      </c>
      <c r="B251">
        <v>10561</v>
      </c>
      <c r="U251" s="12"/>
      <c r="V251" s="12"/>
    </row>
    <row r="252" spans="1:22" x14ac:dyDescent="0.25">
      <c r="A252" t="s">
        <v>876</v>
      </c>
      <c r="B252">
        <v>10562</v>
      </c>
      <c r="U252" s="12"/>
      <c r="V252" s="12"/>
    </row>
    <row r="253" spans="1:22" x14ac:dyDescent="0.25">
      <c r="A253" t="s">
        <v>887</v>
      </c>
      <c r="B253">
        <v>10563</v>
      </c>
      <c r="U253" s="12"/>
      <c r="V253" s="12"/>
    </row>
    <row r="254" spans="1:22" x14ac:dyDescent="0.25">
      <c r="A254" t="s">
        <v>888</v>
      </c>
      <c r="B254">
        <v>10564</v>
      </c>
      <c r="U254" s="12"/>
      <c r="V254" s="12"/>
    </row>
    <row r="255" spans="1:22" x14ac:dyDescent="0.25">
      <c r="A255" t="s">
        <v>891</v>
      </c>
      <c r="B255">
        <v>10565</v>
      </c>
      <c r="U255" s="12"/>
      <c r="V255" s="12"/>
    </row>
    <row r="256" spans="1:22" x14ac:dyDescent="0.25">
      <c r="A256" t="s">
        <v>925</v>
      </c>
      <c r="B256">
        <v>10566</v>
      </c>
      <c r="U256" s="12"/>
      <c r="V256" s="12"/>
    </row>
    <row r="257" spans="1:22" x14ac:dyDescent="0.25">
      <c r="A257" t="s">
        <v>926</v>
      </c>
      <c r="B257">
        <v>10567</v>
      </c>
      <c r="U257" s="12"/>
      <c r="V257" s="12"/>
    </row>
    <row r="258" spans="1:22" x14ac:dyDescent="0.25">
      <c r="A258" t="s">
        <v>927</v>
      </c>
      <c r="B258">
        <v>10568</v>
      </c>
      <c r="U258" s="12"/>
      <c r="V258" s="12"/>
    </row>
    <row r="259" spans="1:22" x14ac:dyDescent="0.25">
      <c r="A259" t="s">
        <v>928</v>
      </c>
      <c r="B259">
        <v>10569</v>
      </c>
      <c r="U259" s="12"/>
      <c r="V259" s="12"/>
    </row>
    <row r="260" spans="1:22" x14ac:dyDescent="0.25">
      <c r="A260" t="s">
        <v>929</v>
      </c>
      <c r="B260">
        <v>10570</v>
      </c>
      <c r="U260" s="12"/>
      <c r="V260" s="12"/>
    </row>
    <row r="261" spans="1:22" x14ac:dyDescent="0.25">
      <c r="A261" t="s">
        <v>930</v>
      </c>
      <c r="B261">
        <v>10571</v>
      </c>
      <c r="U261" s="12"/>
      <c r="V261" s="12"/>
    </row>
    <row r="262" spans="1:22" x14ac:dyDescent="0.25">
      <c r="A262" t="s">
        <v>863</v>
      </c>
      <c r="B262">
        <v>10572</v>
      </c>
      <c r="U262" s="12"/>
      <c r="V262" s="12"/>
    </row>
    <row r="263" spans="1:22" x14ac:dyDescent="0.25">
      <c r="A263" t="s">
        <v>864</v>
      </c>
      <c r="B263">
        <v>10573</v>
      </c>
      <c r="U263" s="12"/>
      <c r="V263" s="12"/>
    </row>
    <row r="264" spans="1:22" x14ac:dyDescent="0.25">
      <c r="A264" t="s">
        <v>866</v>
      </c>
      <c r="B264">
        <v>10574</v>
      </c>
      <c r="U264" s="12"/>
      <c r="V264" s="12"/>
    </row>
    <row r="265" spans="1:22" x14ac:dyDescent="0.25">
      <c r="A265" t="s">
        <v>867</v>
      </c>
      <c r="B265">
        <v>10575</v>
      </c>
      <c r="U265" s="12"/>
      <c r="V265" s="12"/>
    </row>
    <row r="266" spans="1:22" x14ac:dyDescent="0.25">
      <c r="A266" t="s">
        <v>868</v>
      </c>
      <c r="B266">
        <v>10576</v>
      </c>
      <c r="U266" s="12"/>
      <c r="V266" s="12"/>
    </row>
    <row r="267" spans="1:22" x14ac:dyDescent="0.25">
      <c r="A267" t="s">
        <v>869</v>
      </c>
      <c r="B267">
        <v>10577</v>
      </c>
      <c r="U267" s="12"/>
      <c r="V267" s="12"/>
    </row>
    <row r="268" spans="1:22" x14ac:dyDescent="0.25">
      <c r="A268" t="s">
        <v>870</v>
      </c>
      <c r="B268">
        <v>10578</v>
      </c>
      <c r="U268" s="12"/>
      <c r="V268" s="12"/>
    </row>
    <row r="269" spans="1:22" x14ac:dyDescent="0.25">
      <c r="A269" t="s">
        <v>871</v>
      </c>
      <c r="B269">
        <v>10579</v>
      </c>
      <c r="U269" s="12"/>
      <c r="V269" s="12"/>
    </row>
    <row r="270" spans="1:22" x14ac:dyDescent="0.25">
      <c r="A270" t="s">
        <v>1884</v>
      </c>
      <c r="B270">
        <v>10580</v>
      </c>
      <c r="U270" s="12"/>
      <c r="V270" s="12"/>
    </row>
    <row r="271" spans="1:22" x14ac:dyDescent="0.25">
      <c r="A271" t="s">
        <v>1887</v>
      </c>
      <c r="B271">
        <v>10581</v>
      </c>
      <c r="U271" s="12"/>
      <c r="V271" s="12"/>
    </row>
    <row r="272" spans="1:22" x14ac:dyDescent="0.25">
      <c r="A272" t="s">
        <v>1890</v>
      </c>
      <c r="B272">
        <v>10582</v>
      </c>
      <c r="Q272" s="13"/>
      <c r="U272" s="12"/>
      <c r="V272" s="12"/>
    </row>
    <row r="273" spans="1:22" x14ac:dyDescent="0.25">
      <c r="A273" t="s">
        <v>1893</v>
      </c>
      <c r="B273">
        <v>10583</v>
      </c>
      <c r="U273" s="12"/>
      <c r="V273" s="12"/>
    </row>
    <row r="274" spans="1:22" x14ac:dyDescent="0.25">
      <c r="A274" t="s">
        <v>1896</v>
      </c>
      <c r="B274">
        <v>10584</v>
      </c>
      <c r="U274" s="12"/>
      <c r="V274" s="12"/>
    </row>
    <row r="275" spans="1:22" x14ac:dyDescent="0.25">
      <c r="A275" t="s">
        <v>1899</v>
      </c>
      <c r="B275">
        <v>10585</v>
      </c>
      <c r="U275" s="12"/>
      <c r="V275" s="12"/>
    </row>
    <row r="276" spans="1:22" x14ac:dyDescent="0.25">
      <c r="A276" t="s">
        <v>1902</v>
      </c>
      <c r="B276">
        <v>10586</v>
      </c>
      <c r="U276" s="12"/>
      <c r="V276" s="12"/>
    </row>
    <row r="277" spans="1:22" x14ac:dyDescent="0.25">
      <c r="A277" t="s">
        <v>1905</v>
      </c>
      <c r="B277">
        <v>10587</v>
      </c>
      <c r="Q277" s="13"/>
      <c r="U277" s="12"/>
      <c r="V277" s="12"/>
    </row>
    <row r="278" spans="1:22" x14ac:dyDescent="0.25">
      <c r="A278" t="s">
        <v>1908</v>
      </c>
      <c r="B278">
        <v>10588</v>
      </c>
      <c r="U278" s="12"/>
      <c r="V278" s="12"/>
    </row>
    <row r="279" spans="1:22" x14ac:dyDescent="0.25">
      <c r="A279" t="s">
        <v>1911</v>
      </c>
      <c r="B279">
        <v>10589</v>
      </c>
      <c r="U279" s="12"/>
      <c r="V279" s="12"/>
    </row>
    <row r="280" spans="1:22" x14ac:dyDescent="0.25">
      <c r="A280" t="s">
        <v>1914</v>
      </c>
      <c r="B280">
        <v>10590</v>
      </c>
      <c r="U280" s="12"/>
      <c r="V280" s="12"/>
    </row>
    <row r="281" spans="1:22" x14ac:dyDescent="0.25">
      <c r="A281" t="s">
        <v>1917</v>
      </c>
      <c r="B281">
        <v>10591</v>
      </c>
      <c r="U281" s="12"/>
      <c r="V281" s="12"/>
    </row>
    <row r="282" spans="1:22" x14ac:dyDescent="0.25">
      <c r="A282" t="s">
        <v>1920</v>
      </c>
      <c r="B282">
        <v>10592</v>
      </c>
      <c r="U282" s="12"/>
      <c r="V282" s="12"/>
    </row>
    <row r="283" spans="1:22" x14ac:dyDescent="0.25">
      <c r="A283" t="s">
        <v>1923</v>
      </c>
      <c r="B283">
        <v>10593</v>
      </c>
      <c r="U283" s="12"/>
      <c r="V283" s="12"/>
    </row>
    <row r="284" spans="1:22" x14ac:dyDescent="0.25">
      <c r="A284" t="s">
        <v>1926</v>
      </c>
      <c r="B284">
        <v>10594</v>
      </c>
      <c r="U284" s="12"/>
      <c r="V284" s="12"/>
    </row>
    <row r="285" spans="1:22" x14ac:dyDescent="0.25">
      <c r="A285" t="s">
        <v>1929</v>
      </c>
      <c r="B285">
        <v>10595</v>
      </c>
      <c r="U285" s="12"/>
      <c r="V285" s="12"/>
    </row>
    <row r="286" spans="1:22" x14ac:dyDescent="0.25">
      <c r="A286" t="s">
        <v>1932</v>
      </c>
      <c r="B286">
        <v>10596</v>
      </c>
      <c r="U286" s="12"/>
      <c r="V286" s="12"/>
    </row>
    <row r="287" spans="1:22" x14ac:dyDescent="0.25">
      <c r="A287" t="s">
        <v>1935</v>
      </c>
      <c r="B287">
        <v>10597</v>
      </c>
      <c r="U287" s="12"/>
      <c r="V287" s="12"/>
    </row>
    <row r="288" spans="1:22" x14ac:dyDescent="0.25">
      <c r="A288" t="s">
        <v>886</v>
      </c>
      <c r="B288">
        <v>10598</v>
      </c>
      <c r="U288" s="12"/>
      <c r="V288" s="12"/>
    </row>
    <row r="289" spans="1:22" x14ac:dyDescent="0.25">
      <c r="A289" t="s">
        <v>892</v>
      </c>
      <c r="B289">
        <v>10599</v>
      </c>
      <c r="U289" s="12"/>
      <c r="V289" s="12"/>
    </row>
    <row r="290" spans="1:22" x14ac:dyDescent="0.25">
      <c r="A290" t="s">
        <v>893</v>
      </c>
      <c r="B290">
        <v>10600</v>
      </c>
      <c r="U290" s="12"/>
      <c r="V290" s="12"/>
    </row>
    <row r="291" spans="1:22" x14ac:dyDescent="0.25">
      <c r="A291" t="s">
        <v>894</v>
      </c>
      <c r="B291">
        <v>10601</v>
      </c>
      <c r="U291" s="12"/>
      <c r="V291" s="12"/>
    </row>
    <row r="292" spans="1:22" x14ac:dyDescent="0.25">
      <c r="A292" t="s">
        <v>895</v>
      </c>
      <c r="B292">
        <v>10602</v>
      </c>
      <c r="U292" s="12"/>
      <c r="V292" s="12"/>
    </row>
    <row r="293" spans="1:22" x14ac:dyDescent="0.25">
      <c r="A293" t="s">
        <v>896</v>
      </c>
      <c r="B293">
        <v>10603</v>
      </c>
      <c r="U293" s="12"/>
      <c r="V293" s="12"/>
    </row>
    <row r="294" spans="1:22" x14ac:dyDescent="0.25">
      <c r="A294" t="s">
        <v>902</v>
      </c>
      <c r="B294">
        <v>10604</v>
      </c>
      <c r="U294" s="12"/>
      <c r="V294" s="12"/>
    </row>
    <row r="295" spans="1:22" x14ac:dyDescent="0.25">
      <c r="A295" t="s">
        <v>903</v>
      </c>
      <c r="B295">
        <v>10605</v>
      </c>
      <c r="U295" s="12"/>
      <c r="V295" s="12"/>
    </row>
    <row r="296" spans="1:22" x14ac:dyDescent="0.25">
      <c r="A296" t="s">
        <v>904</v>
      </c>
      <c r="B296">
        <v>10606</v>
      </c>
      <c r="U296" s="12"/>
      <c r="V296" s="12"/>
    </row>
    <row r="297" spans="1:22" x14ac:dyDescent="0.25">
      <c r="A297" t="s">
        <v>905</v>
      </c>
      <c r="B297">
        <v>10607</v>
      </c>
      <c r="U297" s="12"/>
      <c r="V297" s="12"/>
    </row>
    <row r="298" spans="1:22" x14ac:dyDescent="0.25">
      <c r="A298" t="s">
        <v>906</v>
      </c>
      <c r="B298">
        <v>10608</v>
      </c>
      <c r="U298" s="12"/>
      <c r="V298" s="12"/>
    </row>
    <row r="299" spans="1:22" x14ac:dyDescent="0.25">
      <c r="A299" t="s">
        <v>249</v>
      </c>
      <c r="B299">
        <v>10609</v>
      </c>
      <c r="U299" s="12"/>
      <c r="V299" s="12"/>
    </row>
    <row r="300" spans="1:22" x14ac:dyDescent="0.25">
      <c r="A300" t="s">
        <v>912</v>
      </c>
      <c r="B300">
        <v>10610</v>
      </c>
      <c r="Q300" s="13"/>
      <c r="U300" s="12"/>
      <c r="V300" s="12"/>
    </row>
    <row r="301" spans="1:22" x14ac:dyDescent="0.25">
      <c r="A301" t="s">
        <v>913</v>
      </c>
      <c r="B301">
        <v>10611</v>
      </c>
      <c r="U301" s="12"/>
      <c r="V301" s="12"/>
    </row>
    <row r="302" spans="1:22" x14ac:dyDescent="0.25">
      <c r="A302" t="s">
        <v>914</v>
      </c>
      <c r="B302">
        <v>10612</v>
      </c>
      <c r="U302" s="12"/>
      <c r="V302" s="12"/>
    </row>
    <row r="303" spans="1:22" x14ac:dyDescent="0.25">
      <c r="A303" t="s">
        <v>915</v>
      </c>
      <c r="B303">
        <v>10613</v>
      </c>
      <c r="U303" s="12"/>
      <c r="V303" s="12"/>
    </row>
    <row r="304" spans="1:22" x14ac:dyDescent="0.25">
      <c r="A304" t="s">
        <v>916</v>
      </c>
      <c r="B304">
        <v>10614</v>
      </c>
      <c r="U304" s="12"/>
      <c r="V304" s="12"/>
    </row>
    <row r="305" spans="1:22" x14ac:dyDescent="0.25">
      <c r="A305" t="s">
        <v>917</v>
      </c>
      <c r="B305">
        <v>10615</v>
      </c>
      <c r="U305" s="12"/>
      <c r="V305" s="12"/>
    </row>
    <row r="306" spans="1:22" x14ac:dyDescent="0.25">
      <c r="A306" t="s">
        <v>918</v>
      </c>
      <c r="B306">
        <v>10616</v>
      </c>
      <c r="U306" s="12"/>
      <c r="V306" s="12"/>
    </row>
    <row r="307" spans="1:22" x14ac:dyDescent="0.25">
      <c r="A307" t="s">
        <v>919</v>
      </c>
      <c r="B307">
        <v>10617</v>
      </c>
      <c r="U307" s="12"/>
      <c r="V307" s="12"/>
    </row>
    <row r="308" spans="1:22" x14ac:dyDescent="0.25">
      <c r="A308" t="s">
        <v>920</v>
      </c>
      <c r="B308">
        <v>10618</v>
      </c>
      <c r="U308" s="12"/>
      <c r="V308" s="12"/>
    </row>
    <row r="309" spans="1:22" x14ac:dyDescent="0.25">
      <c r="A309" t="s">
        <v>921</v>
      </c>
      <c r="B309">
        <v>10619</v>
      </c>
      <c r="U309" s="12"/>
      <c r="V309" s="12"/>
    </row>
    <row r="310" spans="1:22" x14ac:dyDescent="0.25">
      <c r="A310" t="s">
        <v>922</v>
      </c>
      <c r="B310">
        <v>10620</v>
      </c>
      <c r="U310" s="12"/>
      <c r="V310" s="12"/>
    </row>
    <row r="311" spans="1:22" x14ac:dyDescent="0.25">
      <c r="A311" t="s">
        <v>923</v>
      </c>
      <c r="B311">
        <v>10621</v>
      </c>
      <c r="U311" s="12"/>
      <c r="V311" s="12"/>
    </row>
    <row r="312" spans="1:22" x14ac:dyDescent="0.25">
      <c r="A312" t="s">
        <v>924</v>
      </c>
      <c r="B312">
        <v>10622</v>
      </c>
      <c r="U312" s="12"/>
      <c r="V312" s="12"/>
    </row>
    <row r="313" spans="1:22" x14ac:dyDescent="0.25">
      <c r="A313" t="s">
        <v>861</v>
      </c>
      <c r="B313">
        <v>10623</v>
      </c>
      <c r="U313" s="12"/>
      <c r="V313" s="12"/>
    </row>
    <row r="314" spans="1:22" x14ac:dyDescent="0.25">
      <c r="A314" t="s">
        <v>1990</v>
      </c>
      <c r="B314">
        <v>10624</v>
      </c>
      <c r="U314" s="12"/>
      <c r="V314" s="12"/>
    </row>
    <row r="315" spans="1:22" x14ac:dyDescent="0.25">
      <c r="A315" t="s">
        <v>1993</v>
      </c>
      <c r="B315">
        <v>10625</v>
      </c>
      <c r="U315" s="12"/>
      <c r="V315" s="12"/>
    </row>
    <row r="316" spans="1:22" x14ac:dyDescent="0.25">
      <c r="A316" t="s">
        <v>1996</v>
      </c>
      <c r="B316">
        <v>10626</v>
      </c>
      <c r="U316" s="12"/>
      <c r="V316" s="12"/>
    </row>
    <row r="317" spans="1:22" x14ac:dyDescent="0.25">
      <c r="A317" t="s">
        <v>1999</v>
      </c>
      <c r="B317">
        <v>10627</v>
      </c>
      <c r="U317" s="12"/>
      <c r="V317" s="12"/>
    </row>
    <row r="318" spans="1:22" x14ac:dyDescent="0.25">
      <c r="A318" t="s">
        <v>2002</v>
      </c>
      <c r="B318">
        <v>10628</v>
      </c>
      <c r="U318" s="12"/>
      <c r="V318" s="12"/>
    </row>
    <row r="319" spans="1:22" x14ac:dyDescent="0.25">
      <c r="A319" t="s">
        <v>2005</v>
      </c>
      <c r="B319">
        <v>10629</v>
      </c>
      <c r="U319" s="12"/>
      <c r="V319" s="12"/>
    </row>
    <row r="320" spans="1:22" x14ac:dyDescent="0.25">
      <c r="A320" t="s">
        <v>2023</v>
      </c>
      <c r="B320">
        <v>10647</v>
      </c>
      <c r="U320" s="12"/>
      <c r="V320" s="12"/>
    </row>
    <row r="321" spans="1:22" x14ac:dyDescent="0.25">
      <c r="A321" t="s">
        <v>2024</v>
      </c>
      <c r="B321">
        <v>10648</v>
      </c>
      <c r="U321" s="12"/>
      <c r="V321" s="12"/>
    </row>
    <row r="322" spans="1:22" x14ac:dyDescent="0.25">
      <c r="A322" t="s">
        <v>2025</v>
      </c>
      <c r="B322">
        <v>10649</v>
      </c>
      <c r="U322" s="12"/>
      <c r="V322" s="12"/>
    </row>
    <row r="323" spans="1:22" x14ac:dyDescent="0.25">
      <c r="A323" t="s">
        <v>2026</v>
      </c>
      <c r="B323">
        <v>10650</v>
      </c>
      <c r="U323" s="12"/>
      <c r="V323" s="12"/>
    </row>
    <row r="324" spans="1:22" x14ac:dyDescent="0.25">
      <c r="A324" t="s">
        <v>2027</v>
      </c>
      <c r="B324">
        <v>10651</v>
      </c>
      <c r="U324" s="12"/>
      <c r="V324" s="12"/>
    </row>
    <row r="325" spans="1:22" x14ac:dyDescent="0.25">
      <c r="A325" t="s">
        <v>2028</v>
      </c>
      <c r="B325">
        <v>10652</v>
      </c>
      <c r="U325" s="12"/>
      <c r="V325" s="12"/>
    </row>
    <row r="326" spans="1:22" x14ac:dyDescent="0.25">
      <c r="A326" t="s">
        <v>2029</v>
      </c>
      <c r="B326">
        <v>10653</v>
      </c>
      <c r="U326" s="12"/>
      <c r="V326" s="12"/>
    </row>
    <row r="327" spans="1:22" x14ac:dyDescent="0.25">
      <c r="A327" t="s">
        <v>2030</v>
      </c>
      <c r="B327">
        <v>10654</v>
      </c>
      <c r="U327" s="12"/>
      <c r="V327" s="12"/>
    </row>
    <row r="328" spans="1:22" x14ac:dyDescent="0.25">
      <c r="A328" t="s">
        <v>2031</v>
      </c>
      <c r="B328">
        <v>11058</v>
      </c>
      <c r="U328" s="12"/>
      <c r="V328" s="12"/>
    </row>
    <row r="329" spans="1:22" x14ac:dyDescent="0.25">
      <c r="A329" t="s">
        <v>2032</v>
      </c>
      <c r="B329">
        <v>11059</v>
      </c>
      <c r="U329" s="12"/>
      <c r="V329" s="12"/>
    </row>
    <row r="330" spans="1:22" x14ac:dyDescent="0.25">
      <c r="A330" t="s">
        <v>2033</v>
      </c>
      <c r="B330">
        <v>11060</v>
      </c>
      <c r="U330" s="12"/>
      <c r="V330" s="12"/>
    </row>
    <row r="331" spans="1:22" x14ac:dyDescent="0.25">
      <c r="A331" t="s">
        <v>2034</v>
      </c>
      <c r="B331">
        <v>11061</v>
      </c>
      <c r="U331" s="12"/>
      <c r="V331" s="12"/>
    </row>
    <row r="332" spans="1:22" x14ac:dyDescent="0.25">
      <c r="A332" t="s">
        <v>2035</v>
      </c>
      <c r="B332">
        <v>11062</v>
      </c>
      <c r="U332" s="12"/>
      <c r="V332" s="12"/>
    </row>
    <row r="333" spans="1:22" x14ac:dyDescent="0.25">
      <c r="A333" t="s">
        <v>2036</v>
      </c>
      <c r="B333">
        <v>11063</v>
      </c>
      <c r="U333" s="12"/>
      <c r="V333" s="12"/>
    </row>
    <row r="334" spans="1:22" x14ac:dyDescent="0.25">
      <c r="A334" t="s">
        <v>2037</v>
      </c>
      <c r="B334">
        <v>11066</v>
      </c>
      <c r="U334" s="12"/>
      <c r="V334" s="12"/>
    </row>
    <row r="335" spans="1:22" x14ac:dyDescent="0.25">
      <c r="A335" t="s">
        <v>2038</v>
      </c>
      <c r="B335">
        <v>11067</v>
      </c>
      <c r="U335" s="12"/>
      <c r="V335" s="12"/>
    </row>
    <row r="336" spans="1:22" x14ac:dyDescent="0.25">
      <c r="A336" t="s">
        <v>2039</v>
      </c>
      <c r="B336">
        <v>11074</v>
      </c>
      <c r="U336" s="12"/>
      <c r="V336" s="12"/>
    </row>
    <row r="337" spans="1:22" x14ac:dyDescent="0.25">
      <c r="A337" t="s">
        <v>2040</v>
      </c>
      <c r="B337">
        <v>11077</v>
      </c>
      <c r="U337" s="12"/>
      <c r="V337" s="12"/>
    </row>
    <row r="338" spans="1:22" x14ac:dyDescent="0.25">
      <c r="A338" t="s">
        <v>2041</v>
      </c>
      <c r="B338">
        <v>11114</v>
      </c>
      <c r="U338" s="12"/>
      <c r="V338" s="12"/>
    </row>
    <row r="339" spans="1:22" x14ac:dyDescent="0.25">
      <c r="A339" t="s">
        <v>2042</v>
      </c>
      <c r="B339">
        <v>11115</v>
      </c>
      <c r="U339" s="12"/>
      <c r="V339" s="12"/>
    </row>
    <row r="340" spans="1:22" x14ac:dyDescent="0.25">
      <c r="A340" t="s">
        <v>2043</v>
      </c>
      <c r="B340">
        <v>11116</v>
      </c>
      <c r="U340" s="12"/>
      <c r="V340" s="12"/>
    </row>
    <row r="341" spans="1:22" x14ac:dyDescent="0.25">
      <c r="A341" t="s">
        <v>2044</v>
      </c>
      <c r="B341">
        <v>11117</v>
      </c>
      <c r="U341" s="12"/>
      <c r="V341" s="12"/>
    </row>
    <row r="342" spans="1:22" x14ac:dyDescent="0.25">
      <c r="A342" t="s">
        <v>2045</v>
      </c>
      <c r="B342">
        <v>11118</v>
      </c>
      <c r="U342" s="12"/>
      <c r="V342" s="12"/>
    </row>
    <row r="343" spans="1:22" x14ac:dyDescent="0.25">
      <c r="A343" t="s">
        <v>2046</v>
      </c>
      <c r="B343">
        <v>11119</v>
      </c>
      <c r="U343" s="12"/>
      <c r="V343" s="12"/>
    </row>
    <row r="344" spans="1:22" x14ac:dyDescent="0.25">
      <c r="A344" t="s">
        <v>2047</v>
      </c>
      <c r="B344">
        <v>11120</v>
      </c>
      <c r="U344" s="12"/>
      <c r="V344" s="12"/>
    </row>
    <row r="345" spans="1:22" x14ac:dyDescent="0.25">
      <c r="A345" t="s">
        <v>2048</v>
      </c>
      <c r="B345">
        <v>11121</v>
      </c>
      <c r="U345" s="12"/>
      <c r="V345" s="12"/>
    </row>
    <row r="346" spans="1:22" x14ac:dyDescent="0.25">
      <c r="A346" t="s">
        <v>2049</v>
      </c>
      <c r="B346">
        <v>11122</v>
      </c>
    </row>
    <row r="347" spans="1:22" x14ac:dyDescent="0.25">
      <c r="A347" t="s">
        <v>2050</v>
      </c>
      <c r="B347">
        <v>11123</v>
      </c>
    </row>
    <row r="348" spans="1:22" x14ac:dyDescent="0.25">
      <c r="A348" t="s">
        <v>2051</v>
      </c>
      <c r="B348">
        <v>11124</v>
      </c>
      <c r="U348" s="14"/>
      <c r="V348" s="14"/>
    </row>
    <row r="349" spans="1:22" x14ac:dyDescent="0.25">
      <c r="A349" t="s">
        <v>2052</v>
      </c>
      <c r="B349">
        <v>11126</v>
      </c>
      <c r="U349" s="14"/>
      <c r="V349" s="14"/>
    </row>
    <row r="350" spans="1:22" x14ac:dyDescent="0.25">
      <c r="A350" t="s">
        <v>2053</v>
      </c>
      <c r="B350">
        <v>11128</v>
      </c>
      <c r="U350" s="14"/>
      <c r="V350" s="14"/>
    </row>
    <row r="351" spans="1:22" x14ac:dyDescent="0.25">
      <c r="A351" t="s">
        <v>2054</v>
      </c>
      <c r="B351">
        <v>11130</v>
      </c>
      <c r="Q351" s="13"/>
      <c r="U351" s="14"/>
      <c r="V351" s="14"/>
    </row>
    <row r="352" spans="1:22" x14ac:dyDescent="0.25">
      <c r="A352" t="s">
        <v>2055</v>
      </c>
      <c r="B352">
        <v>11131</v>
      </c>
      <c r="U352" s="14"/>
      <c r="V352" s="14"/>
    </row>
    <row r="353" spans="1:22" x14ac:dyDescent="0.25">
      <c r="A353" t="s">
        <v>2056</v>
      </c>
      <c r="B353">
        <v>11132</v>
      </c>
      <c r="U353" s="14"/>
      <c r="V353" s="14"/>
    </row>
    <row r="354" spans="1:22" x14ac:dyDescent="0.25">
      <c r="A354" t="s">
        <v>2057</v>
      </c>
      <c r="B354">
        <v>11133</v>
      </c>
      <c r="U354" s="14"/>
      <c r="V354" s="14"/>
    </row>
    <row r="355" spans="1:22" x14ac:dyDescent="0.25">
      <c r="A355" t="s">
        <v>2058</v>
      </c>
      <c r="B355">
        <v>11134</v>
      </c>
      <c r="U355" s="14"/>
      <c r="V355" s="14"/>
    </row>
    <row r="356" spans="1:22" x14ac:dyDescent="0.25">
      <c r="A356" t="s">
        <v>2059</v>
      </c>
      <c r="B356">
        <v>11135</v>
      </c>
      <c r="U356" s="14"/>
      <c r="V356" s="14"/>
    </row>
    <row r="357" spans="1:22" x14ac:dyDescent="0.25">
      <c r="A357" t="s">
        <v>2060</v>
      </c>
      <c r="B357">
        <v>11136</v>
      </c>
      <c r="U357" s="14"/>
      <c r="V357" s="14"/>
    </row>
    <row r="358" spans="1:22" x14ac:dyDescent="0.25">
      <c r="A358" t="s">
        <v>2061</v>
      </c>
      <c r="B358">
        <v>11137</v>
      </c>
      <c r="U358" s="14"/>
      <c r="V358" s="14"/>
    </row>
    <row r="359" spans="1:22" x14ac:dyDescent="0.25">
      <c r="A359" t="s">
        <v>2062</v>
      </c>
      <c r="B359">
        <v>11139</v>
      </c>
      <c r="U359" s="14"/>
      <c r="V359" s="14"/>
    </row>
    <row r="360" spans="1:22" x14ac:dyDescent="0.25">
      <c r="A360" t="s">
        <v>2063</v>
      </c>
      <c r="B360">
        <v>11140</v>
      </c>
      <c r="U360" s="14"/>
      <c r="V360" s="14"/>
    </row>
    <row r="361" spans="1:22" x14ac:dyDescent="0.25">
      <c r="A361" t="s">
        <v>2064</v>
      </c>
      <c r="B361">
        <v>11142</v>
      </c>
      <c r="U361" s="14"/>
      <c r="V361" s="14"/>
    </row>
    <row r="362" spans="1:22" x14ac:dyDescent="0.25">
      <c r="A362" t="s">
        <v>2065</v>
      </c>
      <c r="B362">
        <v>11143</v>
      </c>
      <c r="U362" s="14"/>
      <c r="V362" s="14"/>
    </row>
    <row r="363" spans="1:22" x14ac:dyDescent="0.25">
      <c r="A363" t="s">
        <v>2066</v>
      </c>
      <c r="B363">
        <v>11144</v>
      </c>
      <c r="U363" s="14"/>
      <c r="V363" s="14"/>
    </row>
    <row r="364" spans="1:22" x14ac:dyDescent="0.25">
      <c r="A364" t="s">
        <v>2067</v>
      </c>
      <c r="B364">
        <v>11145</v>
      </c>
      <c r="U364" s="14"/>
      <c r="V364" s="14"/>
    </row>
    <row r="365" spans="1:22" x14ac:dyDescent="0.25">
      <c r="A365" t="s">
        <v>2068</v>
      </c>
      <c r="B365">
        <v>11146</v>
      </c>
      <c r="U365" s="14"/>
      <c r="V365" s="14"/>
    </row>
    <row r="366" spans="1:22" x14ac:dyDescent="0.25">
      <c r="A366" t="s">
        <v>2069</v>
      </c>
      <c r="B366">
        <v>11148</v>
      </c>
      <c r="Q366" s="13"/>
      <c r="U366" s="14"/>
      <c r="V366" s="14"/>
    </row>
    <row r="367" spans="1:22" x14ac:dyDescent="0.25">
      <c r="A367" t="s">
        <v>2070</v>
      </c>
      <c r="B367">
        <v>11150</v>
      </c>
      <c r="U367" s="14"/>
      <c r="V367" s="14"/>
    </row>
    <row r="368" spans="1:22" x14ac:dyDescent="0.25">
      <c r="A368" t="s">
        <v>2071</v>
      </c>
      <c r="B368">
        <v>11151</v>
      </c>
      <c r="U368" s="14"/>
      <c r="V368" s="14"/>
    </row>
    <row r="369" spans="1:22" x14ac:dyDescent="0.25">
      <c r="A369" t="s">
        <v>2072</v>
      </c>
      <c r="B369">
        <v>11152</v>
      </c>
      <c r="U369" s="14"/>
      <c r="V369" s="14"/>
    </row>
    <row r="370" spans="1:22" x14ac:dyDescent="0.25">
      <c r="A370" t="s">
        <v>2073</v>
      </c>
      <c r="B370">
        <v>11153</v>
      </c>
      <c r="U370" s="14"/>
      <c r="V370" s="14"/>
    </row>
    <row r="371" spans="1:22" x14ac:dyDescent="0.25">
      <c r="A371" t="s">
        <v>2074</v>
      </c>
      <c r="B371">
        <v>11156</v>
      </c>
      <c r="U371" s="14"/>
      <c r="V371" s="14"/>
    </row>
    <row r="372" spans="1:22" x14ac:dyDescent="0.25">
      <c r="A372" t="s">
        <v>2075</v>
      </c>
      <c r="B372">
        <v>11157</v>
      </c>
      <c r="U372" s="14"/>
      <c r="V372" s="14"/>
    </row>
    <row r="373" spans="1:22" x14ac:dyDescent="0.25">
      <c r="A373" t="s">
        <v>2076</v>
      </c>
      <c r="B373">
        <v>11158</v>
      </c>
      <c r="U373" s="14"/>
      <c r="V373" s="14"/>
    </row>
    <row r="374" spans="1:22" x14ac:dyDescent="0.25">
      <c r="A374" t="s">
        <v>2077</v>
      </c>
      <c r="B374">
        <v>11160</v>
      </c>
      <c r="U374" s="14"/>
      <c r="V374" s="14"/>
    </row>
    <row r="375" spans="1:22" x14ac:dyDescent="0.25">
      <c r="A375" t="s">
        <v>2078</v>
      </c>
      <c r="B375">
        <v>11161</v>
      </c>
      <c r="U375" s="14"/>
      <c r="V375" s="14"/>
    </row>
    <row r="376" spans="1:22" x14ac:dyDescent="0.25">
      <c r="A376" t="s">
        <v>2079</v>
      </c>
      <c r="B376">
        <v>11162</v>
      </c>
      <c r="U376" s="14"/>
      <c r="V376" s="14"/>
    </row>
    <row r="377" spans="1:22" x14ac:dyDescent="0.25">
      <c r="A377" t="s">
        <v>2080</v>
      </c>
      <c r="B377">
        <v>11166</v>
      </c>
      <c r="U377" s="14"/>
      <c r="V377" s="14"/>
    </row>
    <row r="378" spans="1:22" x14ac:dyDescent="0.25">
      <c r="A378" t="s">
        <v>2081</v>
      </c>
      <c r="B378">
        <v>11167</v>
      </c>
      <c r="U378" s="14"/>
      <c r="V378" s="14"/>
    </row>
    <row r="379" spans="1:22" x14ac:dyDescent="0.25">
      <c r="A379" t="s">
        <v>2082</v>
      </c>
      <c r="B379">
        <v>11169</v>
      </c>
      <c r="U379" s="14"/>
      <c r="V379" s="14"/>
    </row>
    <row r="380" spans="1:22" x14ac:dyDescent="0.25">
      <c r="A380" t="s">
        <v>2083</v>
      </c>
      <c r="B380">
        <v>11172</v>
      </c>
      <c r="U380" s="14"/>
      <c r="V380" s="14"/>
    </row>
    <row r="381" spans="1:22" x14ac:dyDescent="0.25">
      <c r="A381" t="s">
        <v>2084</v>
      </c>
      <c r="B381">
        <v>11174</v>
      </c>
      <c r="U381" s="14"/>
      <c r="V381" s="14"/>
    </row>
    <row r="382" spans="1:22" x14ac:dyDescent="0.25">
      <c r="A382" t="s">
        <v>2085</v>
      </c>
      <c r="B382">
        <v>11177</v>
      </c>
      <c r="U382" s="14"/>
      <c r="V382" s="14"/>
    </row>
    <row r="383" spans="1:22" x14ac:dyDescent="0.25">
      <c r="A383" t="s">
        <v>2086</v>
      </c>
      <c r="B383">
        <v>11179</v>
      </c>
      <c r="U383" s="14"/>
      <c r="V383" s="14"/>
    </row>
    <row r="384" spans="1:22" x14ac:dyDescent="0.25">
      <c r="A384" t="s">
        <v>2087</v>
      </c>
      <c r="B384">
        <v>11181</v>
      </c>
      <c r="U384" s="14"/>
      <c r="V384" s="14"/>
    </row>
    <row r="385" spans="1:22" x14ac:dyDescent="0.25">
      <c r="A385" t="s">
        <v>2088</v>
      </c>
      <c r="B385">
        <v>11182</v>
      </c>
      <c r="U385" s="14"/>
      <c r="V385" s="14"/>
    </row>
    <row r="386" spans="1:22" x14ac:dyDescent="0.25">
      <c r="A386" t="s">
        <v>2089</v>
      </c>
      <c r="B386">
        <v>11185</v>
      </c>
      <c r="U386" s="14"/>
      <c r="V386" s="14"/>
    </row>
    <row r="387" spans="1:22" x14ac:dyDescent="0.25">
      <c r="A387" t="s">
        <v>2090</v>
      </c>
      <c r="B387">
        <v>11186</v>
      </c>
      <c r="U387" s="14"/>
      <c r="V387" s="14"/>
    </row>
    <row r="388" spans="1:22" x14ac:dyDescent="0.25">
      <c r="A388" t="s">
        <v>2091</v>
      </c>
      <c r="B388">
        <v>11187</v>
      </c>
      <c r="Q388" s="13"/>
      <c r="U388" s="14"/>
      <c r="V388" s="14"/>
    </row>
    <row r="389" spans="1:22" x14ac:dyDescent="0.25">
      <c r="A389" t="s">
        <v>2092</v>
      </c>
      <c r="B389">
        <v>11188</v>
      </c>
      <c r="U389" s="14"/>
      <c r="V389" s="14"/>
    </row>
    <row r="390" spans="1:22" x14ac:dyDescent="0.25">
      <c r="A390" t="s">
        <v>2093</v>
      </c>
      <c r="B390">
        <v>11191</v>
      </c>
      <c r="U390" s="14"/>
      <c r="V390" s="14"/>
    </row>
    <row r="391" spans="1:22" x14ac:dyDescent="0.25">
      <c r="A391" t="s">
        <v>2094</v>
      </c>
      <c r="B391">
        <v>11193</v>
      </c>
      <c r="U391" s="14"/>
      <c r="V391" s="14"/>
    </row>
    <row r="392" spans="1:22" x14ac:dyDescent="0.25">
      <c r="A392" t="s">
        <v>2095</v>
      </c>
      <c r="B392">
        <v>11194</v>
      </c>
      <c r="U392" s="14"/>
      <c r="V392" s="14"/>
    </row>
    <row r="393" spans="1:22" x14ac:dyDescent="0.25">
      <c r="A393" t="s">
        <v>2096</v>
      </c>
      <c r="B393">
        <v>11196</v>
      </c>
      <c r="U393" s="14"/>
      <c r="V393" s="14"/>
    </row>
    <row r="394" spans="1:22" x14ac:dyDescent="0.25">
      <c r="A394" t="s">
        <v>2097</v>
      </c>
      <c r="B394">
        <v>11206</v>
      </c>
      <c r="U394" s="14"/>
      <c r="V394" s="14"/>
    </row>
    <row r="395" spans="1:22" x14ac:dyDescent="0.25">
      <c r="A395" t="s">
        <v>2098</v>
      </c>
      <c r="B395">
        <v>11209</v>
      </c>
      <c r="U395" s="14"/>
      <c r="V395" s="14"/>
    </row>
    <row r="396" spans="1:22" x14ac:dyDescent="0.25">
      <c r="A396" t="s">
        <v>2099</v>
      </c>
      <c r="B396">
        <v>11215</v>
      </c>
      <c r="U396" s="14"/>
      <c r="V396" s="14"/>
    </row>
    <row r="397" spans="1:22" x14ac:dyDescent="0.25">
      <c r="A397" t="s">
        <v>2100</v>
      </c>
      <c r="B397">
        <v>11216</v>
      </c>
      <c r="U397" s="14"/>
      <c r="V397" s="14"/>
    </row>
    <row r="398" spans="1:22" x14ac:dyDescent="0.25">
      <c r="A398" t="s">
        <v>2101</v>
      </c>
      <c r="B398">
        <v>11231</v>
      </c>
      <c r="U398" s="14"/>
      <c r="V398" s="14"/>
    </row>
    <row r="399" spans="1:22" x14ac:dyDescent="0.25">
      <c r="A399" t="s">
        <v>2102</v>
      </c>
      <c r="B399">
        <v>11238</v>
      </c>
      <c r="U399" s="14"/>
      <c r="V399" s="14"/>
    </row>
    <row r="400" spans="1:22" x14ac:dyDescent="0.25">
      <c r="A400" t="s">
        <v>2103</v>
      </c>
      <c r="B400">
        <v>11257</v>
      </c>
      <c r="U400" s="14"/>
      <c r="V400" s="14"/>
    </row>
    <row r="401" spans="1:24" x14ac:dyDescent="0.25">
      <c r="A401" t="s">
        <v>931</v>
      </c>
      <c r="B401">
        <v>11276</v>
      </c>
      <c r="U401" s="14"/>
      <c r="V401" s="14"/>
    </row>
    <row r="402" spans="1:24" x14ac:dyDescent="0.25">
      <c r="A402" t="s">
        <v>932</v>
      </c>
      <c r="B402">
        <v>11277</v>
      </c>
      <c r="U402" s="14"/>
      <c r="V402" s="14"/>
    </row>
    <row r="403" spans="1:24" x14ac:dyDescent="0.25">
      <c r="A403" t="s">
        <v>933</v>
      </c>
      <c r="B403">
        <v>12277</v>
      </c>
      <c r="U403" s="14"/>
      <c r="V403" s="14"/>
    </row>
    <row r="404" spans="1:24" x14ac:dyDescent="0.25">
      <c r="A404" t="s">
        <v>934</v>
      </c>
      <c r="B404">
        <v>12278</v>
      </c>
      <c r="U404" s="14"/>
      <c r="V404" s="14"/>
    </row>
    <row r="405" spans="1:24" x14ac:dyDescent="0.25">
      <c r="A405" t="s">
        <v>2104</v>
      </c>
      <c r="B405">
        <v>12609</v>
      </c>
      <c r="U405" s="14"/>
      <c r="V405" s="14"/>
    </row>
    <row r="406" spans="1:24" x14ac:dyDescent="0.25">
      <c r="A406" t="s">
        <v>2105</v>
      </c>
      <c r="B406">
        <v>12612</v>
      </c>
      <c r="U406" s="14"/>
      <c r="V406" s="14"/>
    </row>
    <row r="407" spans="1:24" x14ac:dyDescent="0.25">
      <c r="A407" t="s">
        <v>2106</v>
      </c>
      <c r="B407">
        <v>12613</v>
      </c>
      <c r="U407" s="14"/>
      <c r="V407" s="14"/>
    </row>
    <row r="408" spans="1:24" x14ac:dyDescent="0.25">
      <c r="A408" t="s">
        <v>2107</v>
      </c>
      <c r="B408">
        <v>12616</v>
      </c>
      <c r="U408" s="14"/>
      <c r="V408" s="14"/>
    </row>
    <row r="409" spans="1:24" x14ac:dyDescent="0.25">
      <c r="A409" t="s">
        <v>2108</v>
      </c>
      <c r="B409">
        <v>12716</v>
      </c>
      <c r="U409" s="14"/>
      <c r="V409" s="14"/>
    </row>
    <row r="410" spans="1:24" x14ac:dyDescent="0.25">
      <c r="A410" t="s">
        <v>2109</v>
      </c>
      <c r="B410">
        <v>12723</v>
      </c>
      <c r="U410" s="14"/>
      <c r="V410" s="14"/>
    </row>
    <row r="411" spans="1:24" x14ac:dyDescent="0.25">
      <c r="A411" t="s">
        <v>2110</v>
      </c>
      <c r="B411">
        <v>12772</v>
      </c>
      <c r="U411" s="14"/>
      <c r="V411" s="14"/>
    </row>
    <row r="412" spans="1:24" x14ac:dyDescent="0.25">
      <c r="A412" t="s">
        <v>2111</v>
      </c>
      <c r="B412">
        <v>12774</v>
      </c>
      <c r="U412" s="14"/>
      <c r="V412" s="14"/>
    </row>
    <row r="413" spans="1:24" x14ac:dyDescent="0.25">
      <c r="A413" t="s">
        <v>2016</v>
      </c>
      <c r="B413">
        <v>12888</v>
      </c>
      <c r="U413" s="14"/>
      <c r="V413" s="14"/>
    </row>
    <row r="414" spans="1:24" x14ac:dyDescent="0.25">
      <c r="A414" t="s">
        <v>2019</v>
      </c>
      <c r="B414">
        <v>12889</v>
      </c>
      <c r="U414" s="14"/>
      <c r="V414" s="14"/>
    </row>
    <row r="415" spans="1:24" x14ac:dyDescent="0.25">
      <c r="W415" s="14"/>
      <c r="X415" s="14"/>
    </row>
    <row r="416" spans="1:24" x14ac:dyDescent="0.25">
      <c r="A416" t="s">
        <v>2112</v>
      </c>
      <c r="W416" s="14"/>
      <c r="X416" s="14"/>
    </row>
    <row r="417" spans="1:2" x14ac:dyDescent="0.25">
      <c r="A417" t="s">
        <v>3</v>
      </c>
      <c r="B417" s="9" t="s">
        <v>1283</v>
      </c>
    </row>
    <row r="418" spans="1:2" x14ac:dyDescent="0.25">
      <c r="A418" t="s">
        <v>1304</v>
      </c>
      <c r="B418">
        <v>9803</v>
      </c>
    </row>
    <row r="419" spans="1:2" x14ac:dyDescent="0.25">
      <c r="A419" t="s">
        <v>1312</v>
      </c>
      <c r="B419">
        <v>9804</v>
      </c>
    </row>
    <row r="420" spans="1:2" x14ac:dyDescent="0.25">
      <c r="A420" t="s">
        <v>1315</v>
      </c>
      <c r="B420">
        <v>9805</v>
      </c>
    </row>
    <row r="421" spans="1:2" x14ac:dyDescent="0.25">
      <c r="A421" t="s">
        <v>1319</v>
      </c>
      <c r="B421">
        <v>9806</v>
      </c>
    </row>
    <row r="422" spans="1:2" x14ac:dyDescent="0.25">
      <c r="A422" t="s">
        <v>1323</v>
      </c>
      <c r="B422">
        <v>9807</v>
      </c>
    </row>
    <row r="423" spans="1:2" x14ac:dyDescent="0.25">
      <c r="A423" t="s">
        <v>1327</v>
      </c>
      <c r="B423">
        <v>9808</v>
      </c>
    </row>
    <row r="424" spans="1:2" x14ac:dyDescent="0.25">
      <c r="A424" t="s">
        <v>1331</v>
      </c>
      <c r="B424">
        <v>9809</v>
      </c>
    </row>
    <row r="425" spans="1:2" x14ac:dyDescent="0.25">
      <c r="A425" t="s">
        <v>1335</v>
      </c>
      <c r="B425">
        <v>9810</v>
      </c>
    </row>
    <row r="426" spans="1:2" x14ac:dyDescent="0.25">
      <c r="A426" t="s">
        <v>1339</v>
      </c>
      <c r="B426">
        <v>9811</v>
      </c>
    </row>
    <row r="427" spans="1:2" x14ac:dyDescent="0.25">
      <c r="A427" t="s">
        <v>1343</v>
      </c>
      <c r="B427">
        <v>9812</v>
      </c>
    </row>
    <row r="428" spans="1:2" x14ac:dyDescent="0.25">
      <c r="A428" t="s">
        <v>1347</v>
      </c>
      <c r="B428">
        <v>9813</v>
      </c>
    </row>
    <row r="429" spans="1:2" x14ac:dyDescent="0.25">
      <c r="A429" t="s">
        <v>1351</v>
      </c>
      <c r="B429">
        <v>9814</v>
      </c>
    </row>
    <row r="430" spans="1:2" x14ac:dyDescent="0.25">
      <c r="A430" t="s">
        <v>1355</v>
      </c>
      <c r="B430">
        <v>9815</v>
      </c>
    </row>
    <row r="431" spans="1:2" x14ac:dyDescent="0.25">
      <c r="A431" t="s">
        <v>1359</v>
      </c>
      <c r="B431">
        <v>9816</v>
      </c>
    </row>
    <row r="432" spans="1:2" x14ac:dyDescent="0.25">
      <c r="A432" t="s">
        <v>1363</v>
      </c>
      <c r="B432">
        <v>9817</v>
      </c>
    </row>
    <row r="433" spans="1:2" x14ac:dyDescent="0.25">
      <c r="A433" t="s">
        <v>1367</v>
      </c>
      <c r="B433">
        <v>9818</v>
      </c>
    </row>
    <row r="434" spans="1:2" x14ac:dyDescent="0.25">
      <c r="A434" t="s">
        <v>1371</v>
      </c>
      <c r="B434">
        <v>9819</v>
      </c>
    </row>
    <row r="435" spans="1:2" x14ac:dyDescent="0.25">
      <c r="A435" t="s">
        <v>1375</v>
      </c>
      <c r="B435">
        <v>9820</v>
      </c>
    </row>
    <row r="436" spans="1:2" x14ac:dyDescent="0.25">
      <c r="A436" t="s">
        <v>1379</v>
      </c>
      <c r="B436">
        <v>9821</v>
      </c>
    </row>
    <row r="437" spans="1:2" x14ac:dyDescent="0.25">
      <c r="A437" t="s">
        <v>1383</v>
      </c>
      <c r="B437">
        <v>9822</v>
      </c>
    </row>
    <row r="438" spans="1:2" x14ac:dyDescent="0.25">
      <c r="A438" t="s">
        <v>1387</v>
      </c>
      <c r="B438">
        <v>9823</v>
      </c>
    </row>
    <row r="439" spans="1:2" x14ac:dyDescent="0.25">
      <c r="A439" t="s">
        <v>1391</v>
      </c>
      <c r="B439">
        <v>9824</v>
      </c>
    </row>
    <row r="440" spans="1:2" x14ac:dyDescent="0.25">
      <c r="A440" t="s">
        <v>1395</v>
      </c>
      <c r="B440">
        <v>9825</v>
      </c>
    </row>
    <row r="441" spans="1:2" x14ac:dyDescent="0.25">
      <c r="A441" t="s">
        <v>1399</v>
      </c>
      <c r="B441">
        <v>9826</v>
      </c>
    </row>
    <row r="442" spans="1:2" x14ac:dyDescent="0.25">
      <c r="A442" t="s">
        <v>1403</v>
      </c>
      <c r="B442">
        <v>9827</v>
      </c>
    </row>
    <row r="443" spans="1:2" x14ac:dyDescent="0.25">
      <c r="A443" t="s">
        <v>1407</v>
      </c>
      <c r="B443">
        <v>9828</v>
      </c>
    </row>
    <row r="444" spans="1:2" x14ac:dyDescent="0.25">
      <c r="A444" t="s">
        <v>1411</v>
      </c>
      <c r="B444">
        <v>9829</v>
      </c>
    </row>
    <row r="445" spans="1:2" x14ac:dyDescent="0.25">
      <c r="A445" t="s">
        <v>1415</v>
      </c>
      <c r="B445">
        <v>9830</v>
      </c>
    </row>
    <row r="446" spans="1:2" x14ac:dyDescent="0.25">
      <c r="A446" t="s">
        <v>1419</v>
      </c>
      <c r="B446">
        <v>9831</v>
      </c>
    </row>
    <row r="447" spans="1:2" x14ac:dyDescent="0.25">
      <c r="A447" t="s">
        <v>1423</v>
      </c>
      <c r="B447">
        <v>9832</v>
      </c>
    </row>
    <row r="448" spans="1:2" x14ac:dyDescent="0.25">
      <c r="A448" t="s">
        <v>1427</v>
      </c>
      <c r="B448">
        <v>9833</v>
      </c>
    </row>
    <row r="449" spans="1:2" x14ac:dyDescent="0.25">
      <c r="A449" t="s">
        <v>1431</v>
      </c>
      <c r="B449">
        <v>9834</v>
      </c>
    </row>
    <row r="450" spans="1:2" x14ac:dyDescent="0.25">
      <c r="A450" t="s">
        <v>1435</v>
      </c>
      <c r="B450">
        <v>9835</v>
      </c>
    </row>
    <row r="451" spans="1:2" x14ac:dyDescent="0.25">
      <c r="A451" t="s">
        <v>1439</v>
      </c>
      <c r="B451">
        <v>9836</v>
      </c>
    </row>
    <row r="452" spans="1:2" x14ac:dyDescent="0.25">
      <c r="A452" t="s">
        <v>1443</v>
      </c>
      <c r="B452">
        <v>9837</v>
      </c>
    </row>
    <row r="453" spans="1:2" x14ac:dyDescent="0.25">
      <c r="A453" t="s">
        <v>1447</v>
      </c>
      <c r="B453">
        <v>9838</v>
      </c>
    </row>
    <row r="454" spans="1:2" x14ac:dyDescent="0.25">
      <c r="A454" t="s">
        <v>1451</v>
      </c>
      <c r="B454">
        <v>9839</v>
      </c>
    </row>
    <row r="455" spans="1:2" x14ac:dyDescent="0.25">
      <c r="A455" t="s">
        <v>1455</v>
      </c>
      <c r="B455">
        <v>9840</v>
      </c>
    </row>
    <row r="456" spans="1:2" x14ac:dyDescent="0.25">
      <c r="A456" t="s">
        <v>1459</v>
      </c>
      <c r="B456">
        <v>9841</v>
      </c>
    </row>
    <row r="457" spans="1:2" x14ac:dyDescent="0.25">
      <c r="A457" t="s">
        <v>1463</v>
      </c>
      <c r="B457">
        <v>9842</v>
      </c>
    </row>
    <row r="458" spans="1:2" x14ac:dyDescent="0.25">
      <c r="A458" t="s">
        <v>1467</v>
      </c>
      <c r="B458">
        <v>9843</v>
      </c>
    </row>
    <row r="459" spans="1:2" x14ac:dyDescent="0.25">
      <c r="A459" t="s">
        <v>1471</v>
      </c>
      <c r="B459">
        <v>9844</v>
      </c>
    </row>
    <row r="460" spans="1:2" x14ac:dyDescent="0.25">
      <c r="A460" t="s">
        <v>1475</v>
      </c>
      <c r="B460">
        <v>9845</v>
      </c>
    </row>
    <row r="461" spans="1:2" x14ac:dyDescent="0.25">
      <c r="A461" t="s">
        <v>1479</v>
      </c>
      <c r="B461">
        <v>9846</v>
      </c>
    </row>
    <row r="462" spans="1:2" x14ac:dyDescent="0.25">
      <c r="A462" t="s">
        <v>1483</v>
      </c>
      <c r="B462">
        <v>9847</v>
      </c>
    </row>
    <row r="463" spans="1:2" x14ac:dyDescent="0.25">
      <c r="A463" t="s">
        <v>1487</v>
      </c>
      <c r="B463">
        <v>9848</v>
      </c>
    </row>
    <row r="464" spans="1:2" x14ac:dyDescent="0.25">
      <c r="A464" t="s">
        <v>1491</v>
      </c>
      <c r="B464">
        <v>9849</v>
      </c>
    </row>
    <row r="465" spans="1:2" x14ac:dyDescent="0.25">
      <c r="A465" t="s">
        <v>1495</v>
      </c>
      <c r="B465">
        <v>9850</v>
      </c>
    </row>
    <row r="466" spans="1:2" x14ac:dyDescent="0.25">
      <c r="A466" t="s">
        <v>1499</v>
      </c>
      <c r="B466">
        <v>9851</v>
      </c>
    </row>
    <row r="467" spans="1:2" x14ac:dyDescent="0.25">
      <c r="A467" t="s">
        <v>1503</v>
      </c>
      <c r="B467">
        <v>9852</v>
      </c>
    </row>
    <row r="468" spans="1:2" x14ac:dyDescent="0.25">
      <c r="A468" t="s">
        <v>1507</v>
      </c>
      <c r="B468">
        <v>9853</v>
      </c>
    </row>
    <row r="469" spans="1:2" x14ac:dyDescent="0.25">
      <c r="A469" t="s">
        <v>1511</v>
      </c>
      <c r="B469">
        <v>9854</v>
      </c>
    </row>
    <row r="470" spans="1:2" x14ac:dyDescent="0.25">
      <c r="A470" t="s">
        <v>1515</v>
      </c>
      <c r="B470">
        <v>9855</v>
      </c>
    </row>
    <row r="471" spans="1:2" x14ac:dyDescent="0.25">
      <c r="A471" t="s">
        <v>1519</v>
      </c>
      <c r="B471">
        <v>9856</v>
      </c>
    </row>
    <row r="472" spans="1:2" x14ac:dyDescent="0.25">
      <c r="A472" t="s">
        <v>1523</v>
      </c>
      <c r="B472">
        <v>9857</v>
      </c>
    </row>
    <row r="473" spans="1:2" x14ac:dyDescent="0.25">
      <c r="A473" t="s">
        <v>1527</v>
      </c>
      <c r="B473">
        <v>9858</v>
      </c>
    </row>
    <row r="474" spans="1:2" x14ac:dyDescent="0.25">
      <c r="A474" t="s">
        <v>1531</v>
      </c>
      <c r="B474">
        <v>9859</v>
      </c>
    </row>
    <row r="475" spans="1:2" x14ac:dyDescent="0.25">
      <c r="A475" t="s">
        <v>1535</v>
      </c>
      <c r="B475">
        <v>9860</v>
      </c>
    </row>
    <row r="476" spans="1:2" x14ac:dyDescent="0.25">
      <c r="A476" t="s">
        <v>1539</v>
      </c>
      <c r="B476">
        <v>9861</v>
      </c>
    </row>
    <row r="477" spans="1:2" x14ac:dyDescent="0.25">
      <c r="A477" t="s">
        <v>1543</v>
      </c>
      <c r="B477">
        <v>9862</v>
      </c>
    </row>
    <row r="478" spans="1:2" x14ac:dyDescent="0.25">
      <c r="A478" t="s">
        <v>1547</v>
      </c>
      <c r="B478">
        <v>9863</v>
      </c>
    </row>
    <row r="479" spans="1:2" x14ac:dyDescent="0.25">
      <c r="A479" t="s">
        <v>1551</v>
      </c>
      <c r="B479">
        <v>9864</v>
      </c>
    </row>
    <row r="480" spans="1:2" x14ac:dyDescent="0.25">
      <c r="A480" t="s">
        <v>1555</v>
      </c>
      <c r="B480">
        <v>9865</v>
      </c>
    </row>
    <row r="481" spans="1:2" x14ac:dyDescent="0.25">
      <c r="A481" t="s">
        <v>1559</v>
      </c>
      <c r="B481">
        <v>9866</v>
      </c>
    </row>
    <row r="482" spans="1:2" x14ac:dyDescent="0.25">
      <c r="A482" t="s">
        <v>1563</v>
      </c>
      <c r="B482">
        <v>9867</v>
      </c>
    </row>
    <row r="483" spans="1:2" x14ac:dyDescent="0.25">
      <c r="A483" t="s">
        <v>1567</v>
      </c>
      <c r="B483">
        <v>9868</v>
      </c>
    </row>
    <row r="484" spans="1:2" x14ac:dyDescent="0.25">
      <c r="A484" t="s">
        <v>1571</v>
      </c>
      <c r="B484">
        <v>9869</v>
      </c>
    </row>
    <row r="485" spans="1:2" x14ac:dyDescent="0.25">
      <c r="A485" t="s">
        <v>1575</v>
      </c>
      <c r="B485">
        <v>9870</v>
      </c>
    </row>
    <row r="486" spans="1:2" x14ac:dyDescent="0.25">
      <c r="A486" t="s">
        <v>1579</v>
      </c>
      <c r="B486">
        <v>9871</v>
      </c>
    </row>
    <row r="487" spans="1:2" x14ac:dyDescent="0.25">
      <c r="A487" t="s">
        <v>1583</v>
      </c>
      <c r="B487">
        <v>9872</v>
      </c>
    </row>
    <row r="488" spans="1:2" x14ac:dyDescent="0.25">
      <c r="A488" t="s">
        <v>1587</v>
      </c>
      <c r="B488">
        <v>9873</v>
      </c>
    </row>
    <row r="489" spans="1:2" x14ac:dyDescent="0.25">
      <c r="A489" t="s">
        <v>1591</v>
      </c>
      <c r="B489">
        <v>9874</v>
      </c>
    </row>
    <row r="490" spans="1:2" x14ac:dyDescent="0.25">
      <c r="A490" t="s">
        <v>1595</v>
      </c>
      <c r="B490">
        <v>9875</v>
      </c>
    </row>
    <row r="491" spans="1:2" x14ac:dyDescent="0.25">
      <c r="A491" t="s">
        <v>1599</v>
      </c>
      <c r="B491">
        <v>9876</v>
      </c>
    </row>
    <row r="492" spans="1:2" x14ac:dyDescent="0.25">
      <c r="A492" t="s">
        <v>1603</v>
      </c>
      <c r="B492">
        <v>9877</v>
      </c>
    </row>
    <row r="493" spans="1:2" x14ac:dyDescent="0.25">
      <c r="A493" t="s">
        <v>1607</v>
      </c>
      <c r="B493">
        <v>9878</v>
      </c>
    </row>
    <row r="494" spans="1:2" x14ac:dyDescent="0.25">
      <c r="A494" t="s">
        <v>1611</v>
      </c>
      <c r="B494">
        <v>9879</v>
      </c>
    </row>
    <row r="495" spans="1:2" x14ac:dyDescent="0.25">
      <c r="A495" t="s">
        <v>1615</v>
      </c>
      <c r="B495">
        <v>9880</v>
      </c>
    </row>
    <row r="496" spans="1:2" x14ac:dyDescent="0.25">
      <c r="A496" t="s">
        <v>1619</v>
      </c>
      <c r="B496">
        <v>9881</v>
      </c>
    </row>
    <row r="497" spans="1:2" x14ac:dyDescent="0.25">
      <c r="A497" t="s">
        <v>1623</v>
      </c>
      <c r="B497">
        <v>9882</v>
      </c>
    </row>
    <row r="498" spans="1:2" x14ac:dyDescent="0.25">
      <c r="A498" t="s">
        <v>1627</v>
      </c>
      <c r="B498">
        <v>9883</v>
      </c>
    </row>
    <row r="499" spans="1:2" x14ac:dyDescent="0.25">
      <c r="A499" t="s">
        <v>1631</v>
      </c>
      <c r="B499">
        <v>9884</v>
      </c>
    </row>
    <row r="500" spans="1:2" x14ac:dyDescent="0.25">
      <c r="A500" t="s">
        <v>1635</v>
      </c>
      <c r="B500">
        <v>9885</v>
      </c>
    </row>
    <row r="501" spans="1:2" x14ac:dyDescent="0.25">
      <c r="A501" t="s">
        <v>1639</v>
      </c>
      <c r="B501">
        <v>9886</v>
      </c>
    </row>
    <row r="502" spans="1:2" x14ac:dyDescent="0.25">
      <c r="A502" t="s">
        <v>1643</v>
      </c>
      <c r="B502">
        <v>9887</v>
      </c>
    </row>
    <row r="503" spans="1:2" x14ac:dyDescent="0.25">
      <c r="A503" t="s">
        <v>1647</v>
      </c>
      <c r="B503">
        <v>9888</v>
      </c>
    </row>
    <row r="504" spans="1:2" x14ac:dyDescent="0.25">
      <c r="A504" t="s">
        <v>1651</v>
      </c>
      <c r="B504">
        <v>9889</v>
      </c>
    </row>
    <row r="505" spans="1:2" x14ac:dyDescent="0.25">
      <c r="A505" t="s">
        <v>1655</v>
      </c>
      <c r="B505">
        <v>9890</v>
      </c>
    </row>
    <row r="506" spans="1:2" x14ac:dyDescent="0.25">
      <c r="A506" t="s">
        <v>1659</v>
      </c>
      <c r="B506">
        <v>9891</v>
      </c>
    </row>
    <row r="507" spans="1:2" x14ac:dyDescent="0.25">
      <c r="A507" t="s">
        <v>1663</v>
      </c>
      <c r="B507">
        <v>9892</v>
      </c>
    </row>
    <row r="508" spans="1:2" x14ac:dyDescent="0.25">
      <c r="A508" t="s">
        <v>1667</v>
      </c>
      <c r="B508">
        <v>9893</v>
      </c>
    </row>
    <row r="509" spans="1:2" x14ac:dyDescent="0.25">
      <c r="A509" t="s">
        <v>1671</v>
      </c>
      <c r="B509">
        <v>9894</v>
      </c>
    </row>
    <row r="510" spans="1:2" x14ac:dyDescent="0.25">
      <c r="A510" t="s">
        <v>1675</v>
      </c>
      <c r="B510">
        <v>9895</v>
      </c>
    </row>
    <row r="511" spans="1:2" x14ac:dyDescent="0.25">
      <c r="A511" t="s">
        <v>1679</v>
      </c>
      <c r="B511">
        <v>9896</v>
      </c>
    </row>
    <row r="512" spans="1:2" x14ac:dyDescent="0.25">
      <c r="A512" t="s">
        <v>1683</v>
      </c>
      <c r="B512">
        <v>9897</v>
      </c>
    </row>
    <row r="513" spans="1:2" x14ac:dyDescent="0.25">
      <c r="A513" t="s">
        <v>1687</v>
      </c>
      <c r="B513">
        <v>9898</v>
      </c>
    </row>
    <row r="514" spans="1:2" x14ac:dyDescent="0.25">
      <c r="A514" t="s">
        <v>1691</v>
      </c>
      <c r="B514">
        <v>9899</v>
      </c>
    </row>
    <row r="515" spans="1:2" x14ac:dyDescent="0.25">
      <c r="A515" t="s">
        <v>1695</v>
      </c>
      <c r="B515">
        <v>9900</v>
      </c>
    </row>
    <row r="516" spans="1:2" x14ac:dyDescent="0.25">
      <c r="A516" t="s">
        <v>1699</v>
      </c>
      <c r="B516">
        <v>9901</v>
      </c>
    </row>
    <row r="517" spans="1:2" x14ac:dyDescent="0.25">
      <c r="A517" t="s">
        <v>1703</v>
      </c>
      <c r="B517">
        <v>9902</v>
      </c>
    </row>
    <row r="518" spans="1:2" x14ac:dyDescent="0.25">
      <c r="A518" t="s">
        <v>1707</v>
      </c>
      <c r="B518">
        <v>9903</v>
      </c>
    </row>
    <row r="519" spans="1:2" x14ac:dyDescent="0.25">
      <c r="A519" t="s">
        <v>1711</v>
      </c>
      <c r="B519">
        <v>9904</v>
      </c>
    </row>
    <row r="520" spans="1:2" x14ac:dyDescent="0.25">
      <c r="A520" t="s">
        <v>1715</v>
      </c>
      <c r="B520">
        <v>9905</v>
      </c>
    </row>
    <row r="521" spans="1:2" x14ac:dyDescent="0.25">
      <c r="A521" t="s">
        <v>1719</v>
      </c>
      <c r="B521">
        <v>9906</v>
      </c>
    </row>
    <row r="522" spans="1:2" x14ac:dyDescent="0.25">
      <c r="A522" t="s">
        <v>1723</v>
      </c>
      <c r="B522">
        <v>9907</v>
      </c>
    </row>
    <row r="523" spans="1:2" x14ac:dyDescent="0.25">
      <c r="A523" t="s">
        <v>1727</v>
      </c>
      <c r="B523">
        <v>9908</v>
      </c>
    </row>
    <row r="524" spans="1:2" x14ac:dyDescent="0.25">
      <c r="A524" t="s">
        <v>1731</v>
      </c>
      <c r="B524">
        <v>9909</v>
      </c>
    </row>
    <row r="525" spans="1:2" x14ac:dyDescent="0.25">
      <c r="A525" t="s">
        <v>1735</v>
      </c>
      <c r="B525">
        <v>9910</v>
      </c>
    </row>
    <row r="526" spans="1:2" x14ac:dyDescent="0.25">
      <c r="A526" t="s">
        <v>1739</v>
      </c>
      <c r="B526">
        <v>9911</v>
      </c>
    </row>
    <row r="527" spans="1:2" x14ac:dyDescent="0.25">
      <c r="A527" t="s">
        <v>1743</v>
      </c>
      <c r="B527">
        <v>9912</v>
      </c>
    </row>
    <row r="528" spans="1:2" x14ac:dyDescent="0.25">
      <c r="A528" t="s">
        <v>1747</v>
      </c>
      <c r="B528">
        <v>9913</v>
      </c>
    </row>
    <row r="529" spans="1:2" x14ac:dyDescent="0.25">
      <c r="A529" t="s">
        <v>1751</v>
      </c>
      <c r="B529">
        <v>9914</v>
      </c>
    </row>
    <row r="530" spans="1:2" x14ac:dyDescent="0.25">
      <c r="A530" t="s">
        <v>1755</v>
      </c>
      <c r="B530">
        <v>9915</v>
      </c>
    </row>
    <row r="531" spans="1:2" x14ac:dyDescent="0.25">
      <c r="A531" t="s">
        <v>1759</v>
      </c>
      <c r="B531">
        <v>9916</v>
      </c>
    </row>
    <row r="532" spans="1:2" x14ac:dyDescent="0.25">
      <c r="A532" t="s">
        <v>1763</v>
      </c>
      <c r="B532">
        <v>9917</v>
      </c>
    </row>
    <row r="533" spans="1:2" x14ac:dyDescent="0.25">
      <c r="A533" t="s">
        <v>1767</v>
      </c>
      <c r="B533">
        <v>9918</v>
      </c>
    </row>
    <row r="534" spans="1:2" x14ac:dyDescent="0.25">
      <c r="A534" t="s">
        <v>1771</v>
      </c>
      <c r="B534">
        <v>9919</v>
      </c>
    </row>
    <row r="535" spans="1:2" x14ac:dyDescent="0.25">
      <c r="A535" t="s">
        <v>1775</v>
      </c>
      <c r="B535">
        <v>9920</v>
      </c>
    </row>
    <row r="536" spans="1:2" x14ac:dyDescent="0.25">
      <c r="A536" t="s">
        <v>1779</v>
      </c>
      <c r="B536">
        <v>9921</v>
      </c>
    </row>
    <row r="537" spans="1:2" x14ac:dyDescent="0.25">
      <c r="A537" t="s">
        <v>1783</v>
      </c>
      <c r="B537">
        <v>9922</v>
      </c>
    </row>
    <row r="538" spans="1:2" x14ac:dyDescent="0.25">
      <c r="A538" t="s">
        <v>1787</v>
      </c>
      <c r="B538">
        <v>9923</v>
      </c>
    </row>
    <row r="557" spans="16:16" x14ac:dyDescent="0.25">
      <c r="P557" s="13"/>
    </row>
    <row r="589" spans="16:16" x14ac:dyDescent="0.25">
      <c r="P589" s="13"/>
    </row>
    <row r="594" spans="16:16" x14ac:dyDescent="0.25">
      <c r="P594" s="13"/>
    </row>
    <row r="617" spans="16:16" x14ac:dyDescent="0.25">
      <c r="P617" s="1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URL_ALL</vt:lpstr>
      <vt:lpstr>Hoja1</vt:lpstr>
      <vt:lpstr>Orden de Imagen</vt:lpstr>
      <vt:lpstr>URL PARA REFERIDO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Othman Garcia Carpio (ADM)</dc:creator>
  <dc:description/>
  <cp:lastModifiedBy>Othman Garcia Carpio (ADM)</cp:lastModifiedBy>
  <cp:revision>0</cp:revision>
  <dcterms:created xsi:type="dcterms:W3CDTF">2025-08-25T14:56:59Z</dcterms:created>
  <dcterms:modified xsi:type="dcterms:W3CDTF">2026-06-10T20:53:27Z</dcterms:modified>
  <dc:language>en-US</dc:language>
</cp:coreProperties>
</file>